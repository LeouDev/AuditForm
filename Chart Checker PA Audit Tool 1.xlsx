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hgazure-my.sharepoint.com/personal/paolo_c_dacanay_optum_com/Documents/Domain Expert/"/>
    </mc:Choice>
  </mc:AlternateContent>
  <xr:revisionPtr revIDLastSave="0" documentId="8_{E6BAD1B8-FB0D-47BC-899B-6D9B72C3645D}" xr6:coauthVersionLast="47" xr6:coauthVersionMax="47" xr10:uidLastSave="{00000000-0000-0000-0000-000000000000}"/>
  <bookViews>
    <workbookView xWindow="28680" yWindow="-120" windowWidth="29040" windowHeight="15840" xr2:uid="{2C8230A0-2EC3-425C-9987-F93EC0AE00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 l="1"/>
  <c r="B32" i="1"/>
  <c r="D31" i="1"/>
  <c r="F31" i="1" s="1"/>
  <c r="D30" i="1"/>
  <c r="F30" i="1" s="1"/>
  <c r="D29" i="1"/>
  <c r="F29" i="1" s="1"/>
  <c r="F32" i="1" s="1"/>
  <c r="D18" i="1" s="1"/>
  <c r="E25" i="1"/>
  <c r="B25" i="1"/>
  <c r="D24" i="1"/>
  <c r="F24" i="1" s="1"/>
  <c r="D23" i="1"/>
  <c r="F23" i="1" s="1"/>
  <c r="F22" i="1"/>
  <c r="D22" i="1"/>
  <c r="F25" i="1" l="1"/>
  <c r="C18" i="1" s="1"/>
  <c r="E18" i="1" s="1"/>
  <c r="F18" i="1" s="1"/>
  <c r="G18" i="1" s="1"/>
  <c r="D25" i="1"/>
  <c r="D32" i="1"/>
</calcChain>
</file>

<file path=xl/sharedStrings.xml><?xml version="1.0" encoding="utf-8"?>
<sst xmlns="http://schemas.openxmlformats.org/spreadsheetml/2006/main" count="39" uniqueCount="30">
  <si>
    <t>Current State</t>
  </si>
  <si>
    <t>Chart Checker is a new process that has been put in to help validate the necessary clinical information that exists on the chart notes and select applicable radio button in CG for tech level approval.</t>
  </si>
  <si>
    <t>Problem Statement</t>
  </si>
  <si>
    <t>Recommendation</t>
  </si>
  <si>
    <t>Solution Creation</t>
  </si>
  <si>
    <t>Applicability</t>
  </si>
  <si>
    <t>Pre-Time</t>
  </si>
  <si>
    <t>Post Time</t>
  </si>
  <si>
    <t>Saved Time</t>
  </si>
  <si>
    <t>Annual Saved Time</t>
  </si>
  <si>
    <t>$ Savings</t>
  </si>
  <si>
    <t>(mins)</t>
  </si>
  <si>
    <t>(hours)</t>
  </si>
  <si>
    <t>Pre-project</t>
  </si>
  <si>
    <t>Minutes</t>
  </si>
  <si>
    <t>HC</t>
  </si>
  <si>
    <t>Total Time</t>
  </si>
  <si>
    <t>Frequency</t>
  </si>
  <si>
    <t>Time (last 12mos)</t>
  </si>
  <si>
    <t>Spent</t>
  </si>
  <si>
    <t>Time spent filling out the QA Excel sheet</t>
  </si>
  <si>
    <t>Data analysis of prev audits</t>
  </si>
  <si>
    <t>Sups Sending Internal QA Eval to Tech manually</t>
  </si>
  <si>
    <t>Grand Total</t>
  </si>
  <si>
    <t>Post-project</t>
  </si>
  <si>
    <t>Time</t>
  </si>
  <si>
    <t>Time spent filling out the Chart Checker Audit Form</t>
  </si>
  <si>
    <t>Chart Checker Audit Tool</t>
  </si>
  <si>
    <t xml:space="preserve">ePA cases route to the EnhancedInboundWB if system detects chart note attachments and if CG history has been answered favorably by provider. Chart checkers will validate the attachment and answer the CG radio button accordingly based on the avaialble Dx. There's currently no quality guidelines and evaluations in place to check if cases are being worked with accurancy. Their accuracy rate is based on IOs incurred over fax productivity. This puts GLP cases at risk for being approved at tech level or pended to rph inappropriately which defeats the purposes of the processes enhacement. Also, internal quality evaluations are currently being done by filling up an excel form wherein auditors manually copy and paste it and sent via email to each chart checkers. </t>
  </si>
  <si>
    <t>We recommend to create a quality guideline for the chart checker process. The guideline will consist of standard attributes such as provider, member, drug entries, case handling and documentation. The clinical guidelines attributes will measure accuracy of chart checker process specific. This will ensure that chart checker process specific will be put in check including other critical information that is standard in case review such as provider, member, drug entry and case handling. We also recommend to automate the audit processes by adding Chart Checker as an audit type in our existing PA Audit tool. This ease the audit process and be included in the auto email feature of the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</si>
</sst>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8" x14ac:knownFonts="1">
    <font>
      <sz val="11"/>
      <color theme="1"/>
      <name val="Aptos Narrow"/>
      <family val="2"/>
      <scheme val="minor"/>
    </font>
    <font>
      <sz val="11"/>
      <color theme="1"/>
      <name val="Aptos Narrow"/>
      <family val="2"/>
      <scheme val="minor"/>
    </font>
    <font>
      <b/>
      <sz val="10"/>
      <color theme="0"/>
      <name val="Arial"/>
      <family val="2"/>
    </font>
    <font>
      <b/>
      <sz val="9"/>
      <color rgb="FFFFFFFF"/>
      <name val="Arial"/>
      <family val="2"/>
    </font>
    <font>
      <sz val="9"/>
      <color rgb="FF000000"/>
      <name val="Arial"/>
      <family val="2"/>
    </font>
    <font>
      <sz val="9"/>
      <name val="Arial"/>
      <family val="2"/>
    </font>
    <font>
      <b/>
      <sz val="9"/>
      <color rgb="FF002677"/>
      <name val="Arial"/>
      <family val="2"/>
    </font>
    <font>
      <sz val="9"/>
      <color theme="1"/>
      <name val="Aptos Narrow"/>
      <family val="2"/>
      <scheme val="minor"/>
    </font>
  </fonts>
  <fills count="10">
    <fill>
      <patternFill patternType="none"/>
    </fill>
    <fill>
      <patternFill patternType="gray125"/>
    </fill>
    <fill>
      <patternFill patternType="solid">
        <fgColor theme="3"/>
        <bgColor indexed="64"/>
      </patternFill>
    </fill>
    <fill>
      <patternFill patternType="solid">
        <fgColor rgb="FF002677"/>
        <bgColor indexed="64"/>
      </patternFill>
    </fill>
    <fill>
      <patternFill patternType="solid">
        <fgColor rgb="FFD9D9D9"/>
        <bgColor indexed="64"/>
      </patternFill>
    </fill>
    <fill>
      <patternFill patternType="solid">
        <fgColor rgb="FF92D050"/>
        <bgColor indexed="64"/>
      </patternFill>
    </fill>
    <fill>
      <patternFill patternType="solid">
        <fgColor rgb="FFD9F6FA"/>
        <bgColor indexed="64"/>
      </patternFill>
    </fill>
    <fill>
      <patternFill patternType="solid">
        <fgColor theme="5" tint="0.79998168889431442"/>
        <bgColor indexed="64"/>
      </patternFill>
    </fill>
    <fill>
      <patternFill patternType="solid">
        <fgColor theme="1"/>
        <bgColor indexed="64"/>
      </patternFill>
    </fill>
    <fill>
      <patternFill patternType="solid">
        <fgColor theme="9" tint="0.79998168889431442"/>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5">
    <xf numFmtId="0" fontId="0" fillId="0" borderId="0" xfId="0"/>
    <xf numFmtId="0" fontId="2" fillId="2" borderId="0" xfId="0" applyFont="1" applyFill="1" applyAlignment="1">
      <alignment horizontal="center" wrapText="1"/>
    </xf>
    <xf numFmtId="0" fontId="0" fillId="0" borderId="0" xfId="0" applyAlignment="1">
      <alignment wrapText="1"/>
    </xf>
    <xf numFmtId="0" fontId="0" fillId="0" borderId="0" xfId="0" applyAlignment="1">
      <alignment horizontal="left" vertical="top" wrapText="1"/>
    </xf>
    <xf numFmtId="0" fontId="2" fillId="2" borderId="0" xfId="0" applyFont="1" applyFill="1" applyAlignment="1">
      <alignment horizontal="center" vertical="top" wrapText="1"/>
    </xf>
    <xf numFmtId="0" fontId="3" fillId="3" borderId="1" xfId="1" applyFont="1" applyFill="1" applyBorder="1" applyAlignment="1">
      <alignment horizontal="center" vertical="center" wrapText="1" readingOrder="1"/>
    </xf>
    <xf numFmtId="0" fontId="3" fillId="3" borderId="1" xfId="1" applyFont="1" applyFill="1" applyBorder="1" applyAlignment="1">
      <alignment horizontal="center" vertical="center" wrapText="1" readingOrder="1"/>
    </xf>
    <xf numFmtId="0" fontId="3" fillId="3" borderId="2" xfId="1" applyFont="1" applyFill="1" applyBorder="1" applyAlignment="1">
      <alignment horizontal="center" vertical="center" wrapText="1" readingOrder="1"/>
    </xf>
    <xf numFmtId="0" fontId="3" fillId="3" borderId="2" xfId="1" applyFont="1" applyFill="1" applyBorder="1" applyAlignment="1">
      <alignment horizontal="center" vertical="center" wrapText="1" readingOrder="1"/>
    </xf>
    <xf numFmtId="0" fontId="4" fillId="0" borderId="3" xfId="1" applyFont="1" applyBorder="1" applyAlignment="1">
      <alignment horizontal="center" vertical="center" wrapText="1" readingOrder="1"/>
    </xf>
    <xf numFmtId="10" fontId="4" fillId="0" borderId="3" xfId="1" applyNumberFormat="1" applyFont="1" applyBorder="1" applyAlignment="1">
      <alignment horizontal="center" vertical="center" wrapText="1" readingOrder="1"/>
    </xf>
    <xf numFmtId="0" fontId="4" fillId="4" borderId="3" xfId="1" applyFont="1" applyFill="1" applyBorder="1" applyAlignment="1">
      <alignment horizontal="center" vertical="center" wrapText="1" readingOrder="1"/>
    </xf>
    <xf numFmtId="0" fontId="5" fillId="5" borderId="3" xfId="1" applyFont="1" applyFill="1" applyBorder="1" applyAlignment="1">
      <alignment horizontal="center" vertical="center" wrapText="1"/>
    </xf>
    <xf numFmtId="8" fontId="6" fillId="6" borderId="3" xfId="1" applyNumberFormat="1" applyFont="1" applyFill="1" applyBorder="1" applyAlignment="1">
      <alignment horizontal="center" vertical="center" wrapText="1" readingOrder="1"/>
    </xf>
    <xf numFmtId="0" fontId="5" fillId="0" borderId="4" xfId="1" applyFont="1" applyBorder="1" applyAlignment="1">
      <alignment horizontal="center" vertical="center" wrapText="1"/>
    </xf>
    <xf numFmtId="0" fontId="7" fillId="0" borderId="0" xfId="1" applyFont="1" applyAlignment="1">
      <alignment horizontal="center" vertical="center"/>
    </xf>
    <xf numFmtId="0" fontId="4" fillId="0" borderId="1" xfId="1" applyFont="1" applyBorder="1" applyAlignment="1">
      <alignment horizontal="center" vertical="center" wrapText="1" readingOrder="1"/>
    </xf>
    <xf numFmtId="0" fontId="5" fillId="7" borderId="3" xfId="1" applyFont="1" applyFill="1" applyBorder="1" applyAlignment="1">
      <alignment horizontal="center" vertical="center" wrapText="1"/>
    </xf>
    <xf numFmtId="0" fontId="5" fillId="8" borderId="3" xfId="1" applyFont="1" applyFill="1" applyBorder="1" applyAlignment="1">
      <alignment horizontal="center" vertical="center" wrapText="1"/>
    </xf>
    <xf numFmtId="0" fontId="5" fillId="0" borderId="0" xfId="1" applyFont="1" applyAlignment="1">
      <alignment horizontal="center" vertical="center" wrapText="1"/>
    </xf>
    <xf numFmtId="0" fontId="3" fillId="3" borderId="5" xfId="1" applyFont="1" applyFill="1" applyBorder="1" applyAlignment="1">
      <alignment horizontal="center" vertical="center" wrapText="1" readingOrder="1"/>
    </xf>
    <xf numFmtId="0" fontId="7" fillId="0" borderId="1" xfId="1" applyFont="1" applyBorder="1" applyAlignment="1">
      <alignment horizontal="center" vertical="center"/>
    </xf>
    <xf numFmtId="0" fontId="5" fillId="9" borderId="3" xfId="1" applyFont="1" applyFill="1" applyBorder="1" applyAlignment="1">
      <alignment horizontal="center" vertical="center" wrapText="1"/>
    </xf>
    <xf numFmtId="0" fontId="0" fillId="0" borderId="6" xfId="0" applyBorder="1" applyAlignment="1">
      <alignment horizontal="center" vertical="top" wrapText="1"/>
    </xf>
    <xf numFmtId="0" fontId="0" fillId="0" borderId="6" xfId="0" applyBorder="1" applyAlignment="1">
      <alignment horizontal="center" wrapText="1"/>
    </xf>
  </cellXfs>
  <cellStyles count="2">
    <cellStyle name="Normal" xfId="0" builtinId="0"/>
    <cellStyle name="Normal 5" xfId="1" xr:uid="{9D34BE02-4A92-4268-BAD5-7079FAA35A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BDC7-67EF-4B8A-BB20-D21194A3C5A9}">
  <dimension ref="A1:G32"/>
  <sheetViews>
    <sheetView tabSelected="1" topLeftCell="A9" workbookViewId="0">
      <selection activeCell="F14" sqref="F14"/>
    </sheetView>
  </sheetViews>
  <sheetFormatPr defaultRowHeight="14.5" x14ac:dyDescent="0.35"/>
  <cols>
    <col min="1" max="1" width="34.81640625" customWidth="1"/>
    <col min="2" max="2" width="34.90625" customWidth="1"/>
    <col min="3" max="3" width="18.81640625" customWidth="1"/>
    <col min="4" max="4" width="18.54296875" customWidth="1"/>
    <col min="5" max="5" width="17.1796875" customWidth="1"/>
    <col min="6" max="6" width="21.54296875" customWidth="1"/>
    <col min="7" max="7" width="26.54296875" customWidth="1"/>
  </cols>
  <sheetData>
    <row r="1" spans="1:7" x14ac:dyDescent="0.35">
      <c r="A1" s="1" t="s">
        <v>0</v>
      </c>
      <c r="B1" s="1"/>
      <c r="C1" s="1"/>
      <c r="D1" s="2"/>
      <c r="E1" s="2"/>
      <c r="F1" s="2"/>
      <c r="G1" s="2"/>
    </row>
    <row r="2" spans="1:7" ht="35.5" customHeight="1" x14ac:dyDescent="0.35">
      <c r="A2" s="23" t="s">
        <v>1</v>
      </c>
      <c r="B2" s="23"/>
      <c r="C2" s="23"/>
      <c r="D2" s="2"/>
      <c r="E2" s="2"/>
      <c r="F2" s="2"/>
      <c r="G2" s="2"/>
    </row>
    <row r="3" spans="1:7" ht="16" customHeight="1" x14ac:dyDescent="0.35">
      <c r="A3" s="23"/>
      <c r="B3" s="23"/>
      <c r="C3" s="23"/>
      <c r="D3" s="2"/>
      <c r="E3" s="2"/>
      <c r="F3" s="2"/>
      <c r="G3" s="2"/>
    </row>
    <row r="4" spans="1:7" x14ac:dyDescent="0.35">
      <c r="A4" s="23"/>
      <c r="B4" s="23"/>
      <c r="C4" s="23"/>
      <c r="D4" s="2"/>
      <c r="E4" s="2"/>
      <c r="F4" s="2"/>
      <c r="G4" s="2"/>
    </row>
    <row r="5" spans="1:7" x14ac:dyDescent="0.35">
      <c r="A5" s="3"/>
      <c r="B5" s="3"/>
      <c r="C5" s="2"/>
      <c r="D5" s="2"/>
      <c r="E5" s="2"/>
      <c r="F5" s="2"/>
      <c r="G5" s="2"/>
    </row>
    <row r="6" spans="1:7" x14ac:dyDescent="0.35">
      <c r="A6" s="4" t="s">
        <v>2</v>
      </c>
      <c r="B6" s="4"/>
      <c r="C6" s="4"/>
      <c r="D6" s="2"/>
      <c r="E6" s="2"/>
      <c r="F6" s="2"/>
      <c r="G6" s="2"/>
    </row>
    <row r="7" spans="1:7" ht="24.5" customHeight="1" x14ac:dyDescent="0.35">
      <c r="A7" s="23" t="s">
        <v>28</v>
      </c>
      <c r="B7" s="23"/>
      <c r="C7" s="23"/>
      <c r="D7" s="2"/>
      <c r="E7" s="2"/>
      <c r="F7" s="2"/>
      <c r="G7" s="2"/>
    </row>
    <row r="8" spans="1:7" x14ac:dyDescent="0.35">
      <c r="A8" s="23"/>
      <c r="B8" s="23"/>
      <c r="C8" s="23"/>
      <c r="D8" s="2"/>
      <c r="E8" s="2"/>
      <c r="F8" s="2"/>
      <c r="G8" s="2"/>
    </row>
    <row r="9" spans="1:7" ht="94" customHeight="1" x14ac:dyDescent="0.35">
      <c r="A9" s="23"/>
      <c r="B9" s="23"/>
      <c r="C9" s="23"/>
      <c r="D9" s="2"/>
      <c r="E9" s="2"/>
      <c r="F9" s="2"/>
      <c r="G9" s="2"/>
    </row>
    <row r="10" spans="1:7" x14ac:dyDescent="0.35">
      <c r="A10" s="3"/>
      <c r="B10" s="3"/>
      <c r="C10" s="2"/>
      <c r="D10" s="2"/>
      <c r="E10" s="2"/>
      <c r="F10" s="2"/>
      <c r="G10" s="2"/>
    </row>
    <row r="11" spans="1:7" x14ac:dyDescent="0.35">
      <c r="A11" s="1" t="s">
        <v>3</v>
      </c>
      <c r="B11" s="1"/>
      <c r="C11" s="1"/>
      <c r="D11" s="2"/>
      <c r="E11" s="2"/>
      <c r="F11" s="2"/>
      <c r="G11" s="2"/>
    </row>
    <row r="12" spans="1:7" ht="41" customHeight="1" x14ac:dyDescent="0.35">
      <c r="A12" s="24" t="s">
        <v>29</v>
      </c>
      <c r="B12" s="24"/>
      <c r="C12" s="24"/>
      <c r="D12" s="2"/>
      <c r="E12" s="2"/>
      <c r="F12" s="2"/>
      <c r="G12" s="2"/>
    </row>
    <row r="13" spans="1:7" ht="23" customHeight="1" x14ac:dyDescent="0.35">
      <c r="A13" s="24"/>
      <c r="B13" s="24"/>
      <c r="C13" s="24"/>
      <c r="D13" s="2"/>
      <c r="E13" s="2"/>
      <c r="F13" s="2"/>
      <c r="G13" s="2"/>
    </row>
    <row r="14" spans="1:7" ht="24.5" customHeight="1" x14ac:dyDescent="0.35">
      <c r="A14" s="24"/>
      <c r="B14" s="24"/>
      <c r="C14" s="24"/>
      <c r="D14" s="2"/>
      <c r="E14" s="2"/>
      <c r="F14" s="2"/>
      <c r="G14" s="2"/>
    </row>
    <row r="15" spans="1:7" x14ac:dyDescent="0.35">
      <c r="A15" s="2"/>
      <c r="B15" s="2"/>
      <c r="C15" s="2"/>
      <c r="D15" s="2"/>
      <c r="E15" s="2"/>
      <c r="F15" s="2"/>
      <c r="G15" s="2"/>
    </row>
    <row r="16" spans="1:7" x14ac:dyDescent="0.35">
      <c r="A16" s="5" t="s">
        <v>4</v>
      </c>
      <c r="B16" s="6" t="s">
        <v>5</v>
      </c>
      <c r="C16" s="6" t="s">
        <v>6</v>
      </c>
      <c r="D16" s="6" t="s">
        <v>7</v>
      </c>
      <c r="E16" s="5" t="s">
        <v>8</v>
      </c>
      <c r="F16" s="6" t="s">
        <v>9</v>
      </c>
      <c r="G16" s="6" t="s">
        <v>10</v>
      </c>
    </row>
    <row r="17" spans="1:7" x14ac:dyDescent="0.35">
      <c r="A17" s="7"/>
      <c r="B17" s="8"/>
      <c r="C17" s="8" t="s">
        <v>11</v>
      </c>
      <c r="D17" s="8" t="s">
        <v>11</v>
      </c>
      <c r="E17" s="7"/>
      <c r="F17" s="8" t="s">
        <v>12</v>
      </c>
      <c r="G17" s="8"/>
    </row>
    <row r="18" spans="1:7" x14ac:dyDescent="0.35">
      <c r="A18" s="9" t="s">
        <v>27</v>
      </c>
      <c r="B18" s="10">
        <v>1</v>
      </c>
      <c r="C18" s="11">
        <f>F25</f>
        <v>27456</v>
      </c>
      <c r="D18" s="11">
        <f>F32</f>
        <v>8736</v>
      </c>
      <c r="E18" s="12">
        <f>C18-D18</f>
        <v>18720</v>
      </c>
      <c r="F18" s="12">
        <f>E18/60</f>
        <v>312</v>
      </c>
      <c r="G18" s="13">
        <f>F18*12.65*B18</f>
        <v>3946.8</v>
      </c>
    </row>
    <row r="19" spans="1:7" x14ac:dyDescent="0.35">
      <c r="A19" s="14"/>
      <c r="B19" s="14"/>
      <c r="C19" s="14"/>
      <c r="D19" s="14"/>
      <c r="E19" s="14"/>
      <c r="F19" s="14"/>
      <c r="G19" s="14"/>
    </row>
    <row r="20" spans="1:7" x14ac:dyDescent="0.35">
      <c r="A20" s="5" t="s">
        <v>13</v>
      </c>
      <c r="B20" s="5" t="s">
        <v>14</v>
      </c>
      <c r="C20" s="5" t="s">
        <v>15</v>
      </c>
      <c r="D20" s="6" t="s">
        <v>16</v>
      </c>
      <c r="E20" s="5" t="s">
        <v>17</v>
      </c>
      <c r="F20" s="5" t="s">
        <v>18</v>
      </c>
      <c r="G20" s="15"/>
    </row>
    <row r="21" spans="1:7" x14ac:dyDescent="0.35">
      <c r="A21" s="7"/>
      <c r="B21" s="7"/>
      <c r="C21" s="7"/>
      <c r="D21" s="8" t="s">
        <v>19</v>
      </c>
      <c r="E21" s="7"/>
      <c r="F21" s="7"/>
      <c r="G21" s="15"/>
    </row>
    <row r="22" spans="1:7" ht="23" x14ac:dyDescent="0.35">
      <c r="A22" s="9" t="s">
        <v>20</v>
      </c>
      <c r="B22" s="9">
        <v>3</v>
      </c>
      <c r="C22" s="9">
        <v>24</v>
      </c>
      <c r="D22" s="9">
        <f>C22*B22</f>
        <v>72</v>
      </c>
      <c r="E22" s="9">
        <v>2</v>
      </c>
      <c r="F22" s="9">
        <f>E22*D22*52*1</f>
        <v>7488</v>
      </c>
      <c r="G22" s="15"/>
    </row>
    <row r="23" spans="1:7" x14ac:dyDescent="0.35">
      <c r="A23" s="16" t="s">
        <v>21</v>
      </c>
      <c r="B23" s="16">
        <v>120</v>
      </c>
      <c r="C23" s="16">
        <v>2</v>
      </c>
      <c r="D23" s="9">
        <f>C23*B23</f>
        <v>240</v>
      </c>
      <c r="E23" s="16">
        <v>1</v>
      </c>
      <c r="F23" s="9">
        <f>E23*D23*52*1</f>
        <v>12480</v>
      </c>
      <c r="G23" s="15"/>
    </row>
    <row r="24" spans="1:7" ht="23" x14ac:dyDescent="0.35">
      <c r="A24" s="16" t="s">
        <v>22</v>
      </c>
      <c r="B24" s="16">
        <v>3</v>
      </c>
      <c r="C24" s="16">
        <v>24</v>
      </c>
      <c r="D24" s="9">
        <f>C24*B24</f>
        <v>72</v>
      </c>
      <c r="E24" s="16">
        <v>2</v>
      </c>
      <c r="F24" s="9">
        <f>E24*D24*52*1</f>
        <v>7488</v>
      </c>
      <c r="G24" s="15"/>
    </row>
    <row r="25" spans="1:7" x14ac:dyDescent="0.35">
      <c r="A25" s="17" t="s">
        <v>23</v>
      </c>
      <c r="B25" s="17">
        <f>SUM(B22:B24)</f>
        <v>126</v>
      </c>
      <c r="C25" s="18"/>
      <c r="D25" s="17">
        <f>SUM(D22:D24)</f>
        <v>384</v>
      </c>
      <c r="E25" s="17">
        <f>SUM(E22:E24)</f>
        <v>5</v>
      </c>
      <c r="F25" s="17">
        <f>SUM(F22:F24)</f>
        <v>27456</v>
      </c>
      <c r="G25" s="15"/>
    </row>
    <row r="26" spans="1:7" x14ac:dyDescent="0.35">
      <c r="A26" s="19"/>
      <c r="B26" s="19"/>
      <c r="C26" s="19"/>
      <c r="D26" s="19"/>
      <c r="E26" s="19"/>
      <c r="F26" s="19"/>
      <c r="G26" s="15"/>
    </row>
    <row r="27" spans="1:7" x14ac:dyDescent="0.35">
      <c r="A27" s="6" t="s">
        <v>24</v>
      </c>
      <c r="B27" s="6" t="s">
        <v>14</v>
      </c>
      <c r="C27" s="6" t="s">
        <v>15</v>
      </c>
      <c r="D27" s="6" t="s">
        <v>16</v>
      </c>
      <c r="E27" s="6" t="s">
        <v>17</v>
      </c>
      <c r="F27" s="6" t="s">
        <v>25</v>
      </c>
      <c r="G27" s="15"/>
    </row>
    <row r="28" spans="1:7" x14ac:dyDescent="0.35">
      <c r="A28" s="8"/>
      <c r="B28" s="20"/>
      <c r="C28" s="20"/>
      <c r="D28" s="20" t="s">
        <v>19</v>
      </c>
      <c r="E28" s="20"/>
      <c r="F28" s="20"/>
      <c r="G28" s="15"/>
    </row>
    <row r="29" spans="1:7" ht="23" x14ac:dyDescent="0.35">
      <c r="A29" s="9" t="s">
        <v>26</v>
      </c>
      <c r="B29" s="9">
        <v>1</v>
      </c>
      <c r="C29" s="9">
        <v>24</v>
      </c>
      <c r="D29" s="9">
        <f>C29*B29</f>
        <v>24</v>
      </c>
      <c r="E29" s="9">
        <v>2</v>
      </c>
      <c r="F29" s="9">
        <f>E29*D29*52*1</f>
        <v>2496</v>
      </c>
      <c r="G29" s="15"/>
    </row>
    <row r="30" spans="1:7" x14ac:dyDescent="0.35">
      <c r="A30" s="16" t="s">
        <v>21</v>
      </c>
      <c r="B30" s="21">
        <v>60</v>
      </c>
      <c r="C30" s="21">
        <v>2</v>
      </c>
      <c r="D30" s="9">
        <f>C30*B30</f>
        <v>120</v>
      </c>
      <c r="E30" s="21">
        <v>1</v>
      </c>
      <c r="F30" s="9">
        <f>E30*D30*52*1</f>
        <v>6240</v>
      </c>
      <c r="G30" s="15"/>
    </row>
    <row r="31" spans="1:7" ht="23" x14ac:dyDescent="0.35">
      <c r="A31" s="16" t="s">
        <v>22</v>
      </c>
      <c r="B31" s="16">
        <v>0</v>
      </c>
      <c r="C31" s="16">
        <v>24</v>
      </c>
      <c r="D31" s="9">
        <f>C31*B31</f>
        <v>0</v>
      </c>
      <c r="E31" s="16">
        <v>2</v>
      </c>
      <c r="F31" s="9">
        <f>E31*D31*52*1</f>
        <v>0</v>
      </c>
      <c r="G31" s="15"/>
    </row>
    <row r="32" spans="1:7" x14ac:dyDescent="0.35">
      <c r="A32" s="22" t="s">
        <v>23</v>
      </c>
      <c r="B32" s="22">
        <f>SUM(B29:B31)</f>
        <v>61</v>
      </c>
      <c r="C32" s="18"/>
      <c r="D32" s="22">
        <f>SUM(D29:D31)</f>
        <v>144</v>
      </c>
      <c r="E32" s="22">
        <f>SUM(E29:E31)</f>
        <v>5</v>
      </c>
      <c r="F32" s="22">
        <f>SUM(F29:F31)</f>
        <v>8736</v>
      </c>
      <c r="G32" s="15"/>
    </row>
  </sheetData>
  <mergeCells count="13">
    <mergeCell ref="F20:F21"/>
    <mergeCell ref="A12:C14"/>
    <mergeCell ref="A7:C9"/>
    <mergeCell ref="A2:C4"/>
    <mergeCell ref="A1:C1"/>
    <mergeCell ref="A6:C6"/>
    <mergeCell ref="A11:C11"/>
    <mergeCell ref="A16:A17"/>
    <mergeCell ref="E16:E17"/>
    <mergeCell ref="A20:A21"/>
    <mergeCell ref="B20:B21"/>
    <mergeCell ref="C20:C21"/>
    <mergeCell ref="E20: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Dacanay, Paolo C</dc:creator>
  <cp:lastModifiedBy>Dacanay, Paolo C</cp:lastModifiedBy>
  <dcterms:created xsi:type="dcterms:W3CDTF">2025-06-02T13:20:41Z</dcterms:created>
  <dcterms:modified xsi:type="dcterms:W3CDTF">2025-06-02T13:46:09Z</dcterms:modified>
</cp:coreProperties>
</file>