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202300"/>
  <mc:AlternateContent xmlns:mc="http://schemas.openxmlformats.org/markup-compatibility/2006">
    <mc:Choice Requires="x15">
      <x15ac:absPath xmlns:x15ac="http://schemas.microsoft.com/office/spreadsheetml/2010/11/ac" url="https://uhgazure-my.sharepoint.com/personal/paolo_c_dacanay_optum_com/Documents/Domain Expert/"/>
    </mc:Choice>
  </mc:AlternateContent>
  <xr:revisionPtr revIDLastSave="395" documentId="8_{5C80CA86-F48C-427B-AC6F-A10AADAC61FB}" xr6:coauthVersionLast="47" xr6:coauthVersionMax="47" xr10:uidLastSave="{111DD957-9FCE-474F-8FDD-72DA20073730}"/>
  <bookViews>
    <workbookView xWindow="-110" yWindow="-110" windowWidth="19420" windowHeight="10420" firstSheet="4" activeTab="5" xr2:uid="{65DC0CD4-93E6-4B6C-8838-9995AC05E9D5}"/>
  </bookViews>
  <sheets>
    <sheet name="Sheet1" sheetId="1" state="hidden" r:id="rId1"/>
    <sheet name="Sheet2" sheetId="2" state="hidden" r:id="rId2"/>
    <sheet name="MPA Outreach QA Form" sheetId="3" state="hidden" r:id="rId3"/>
    <sheet name="2025" sheetId="4" state="hidden" r:id="rId4"/>
    <sheet name="2025 MPA QA FORM" sheetId="5" r:id="rId5"/>
    <sheet name="2025 MPA QA FORM (2)" sheetId="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5" i="7" l="1"/>
  <c r="E93" i="7"/>
  <c r="F5" i="7"/>
  <c r="F4" i="7"/>
  <c r="E5" i="5" l="1"/>
  <c r="E4" i="5"/>
  <c r="D53" i="5"/>
  <c r="D51" i="5"/>
  <c r="D47" i="3"/>
  <c r="D45" i="3"/>
</calcChain>
</file>

<file path=xl/sharedStrings.xml><?xml version="1.0" encoding="utf-8"?>
<sst xmlns="http://schemas.openxmlformats.org/spreadsheetml/2006/main" count="713" uniqueCount="279">
  <si>
    <r>
      <t xml:space="preserve">Evaluation Form for                            </t>
    </r>
    <r>
      <rPr>
        <b/>
        <sz val="11"/>
        <color theme="1"/>
        <rFont val="Aptos Narrow"/>
        <family val="2"/>
        <scheme val="minor"/>
      </rPr>
      <t xml:space="preserve">Echavez, Michele </t>
    </r>
  </si>
  <si>
    <r>
      <t xml:space="preserve">Overall Score                                     </t>
    </r>
    <r>
      <rPr>
        <sz val="10"/>
        <color theme="1"/>
        <rFont val="Arial,Bold"/>
      </rPr>
      <t>100</t>
    </r>
    <r>
      <rPr>
        <sz val="10"/>
        <color theme="1"/>
        <rFont val="Arial"/>
        <family val="2"/>
      </rPr>
      <t xml:space="preserve"> / 100 (100.00%)</t>
    </r>
  </si>
  <si>
    <r>
      <t xml:space="preserve">Template/Version                               </t>
    </r>
    <r>
      <rPr>
        <sz val="10"/>
        <color theme="1"/>
        <rFont val="Arial"/>
        <family val="2"/>
      </rPr>
      <t xml:space="preserve">OPT_ORX_PA Outreach Phone </t>
    </r>
  </si>
  <si>
    <r>
      <t xml:space="preserve">Evaluator                                            </t>
    </r>
    <r>
      <rPr>
        <sz val="10"/>
        <color theme="1"/>
        <rFont val="Arial"/>
        <family val="2"/>
      </rPr>
      <t>Keisha Mangindin</t>
    </r>
  </si>
  <si>
    <r>
      <t xml:space="preserve">Evaluation Date/Time                          </t>
    </r>
    <r>
      <rPr>
        <sz val="10"/>
        <color theme="1"/>
        <rFont val="Arial"/>
        <family val="2"/>
      </rPr>
      <t>5/10/2024</t>
    </r>
  </si>
  <si>
    <t xml:space="preserve">Primary Media File                            </t>
  </si>
  <si>
    <r>
      <t xml:space="preserve">File Date/Time                                     </t>
    </r>
    <r>
      <rPr>
        <sz val="10"/>
        <color theme="1"/>
        <rFont val="Arial"/>
        <family val="2"/>
      </rPr>
      <t>5/9/2024 2:50:44 PM</t>
    </r>
  </si>
  <si>
    <t>Additional Media Files</t>
  </si>
  <si>
    <t>Metadata</t>
  </si>
  <si>
    <t xml:space="preserve">Agent                                                    Echavez, Michele </t>
  </si>
  <si>
    <r>
      <t xml:space="preserve">Date/Time                                           </t>
    </r>
    <r>
      <rPr>
        <sz val="10"/>
        <color theme="1"/>
        <rFont val="Arial,Bold"/>
      </rPr>
      <t xml:space="preserve">  5/9/2024 2:50:44 PM</t>
    </r>
  </si>
  <si>
    <r>
      <t xml:space="preserve">Evaluator                                         </t>
    </r>
    <r>
      <rPr>
        <sz val="10"/>
        <color theme="1"/>
        <rFont val="Arial,Bold"/>
      </rPr>
      <t xml:space="preserve">     Keisha Mangindin</t>
    </r>
  </si>
  <si>
    <r>
      <t xml:space="preserve">Workgroup                                          </t>
    </r>
    <r>
      <rPr>
        <sz val="10"/>
        <color theme="1"/>
        <rFont val="Arial,Bold"/>
      </rPr>
      <t xml:space="preserve"> ORX_PA_QC_</t>
    </r>
  </si>
  <si>
    <t>Notes for Coaching Session:</t>
  </si>
  <si>
    <t>Agent Coaching Notes</t>
  </si>
  <si>
    <t>Notes for entire Evaluation</t>
  </si>
  <si>
    <t>PA-D0841327</t>
  </si>
  <si>
    <t>Categories / Scores</t>
  </si>
  <si>
    <t>S00_Classifications</t>
  </si>
  <si>
    <t>Status: n/a</t>
  </si>
  <si>
    <t>Score: 0 / 0</t>
  </si>
  <si>
    <t>Weighted score: n/a</t>
  </si>
  <si>
    <t>Question: S00Q01_Audit Type</t>
  </si>
  <si>
    <t>Answer: Statistical Sampling</t>
  </si>
  <si>
    <t>Score: 0/0</t>
  </si>
  <si>
    <t>Question: S00Q02_Carrier Code</t>
  </si>
  <si>
    <t>Answer: MPDOVA</t>
  </si>
  <si>
    <t>Question: S00Q03_Carrier Name</t>
  </si>
  <si>
    <t>Answer: UHCMR MAPD</t>
  </si>
  <si>
    <t>Notes for S00_Classifications</t>
  </si>
  <si>
    <t>S00Z_Date of Contact</t>
  </si>
  <si>
    <t>Question: S00ZQ01_Year</t>
  </si>
  <si>
    <t>Answer: 2024</t>
  </si>
  <si>
    <t>Question: S00ZQ02_Month</t>
  </si>
  <si>
    <t>Answer: May</t>
  </si>
  <si>
    <t>Notes for S00Z_Date of Contact</t>
  </si>
  <si>
    <t>S00X_Calibrations</t>
  </si>
  <si>
    <t>Question: S00XQ01_Calibration</t>
  </si>
  <si>
    <t>Answer: n/a</t>
  </si>
  <si>
    <t>Score: n/a</t>
  </si>
  <si>
    <t>Notes for S00X_Calibrations</t>
  </si>
  <si>
    <t>S01_PAS Accuracy</t>
  </si>
  <si>
    <t>Score: 39 / 39</t>
  </si>
  <si>
    <t>Question: S01Q01_Provider Information</t>
  </si>
  <si>
    <t>Answer: Yes</t>
  </si>
  <si>
    <t>Score: 12/12</t>
  </si>
  <si>
    <t>Question: S01Q02_Provider Information Documentation</t>
  </si>
  <si>
    <t>Score: 1/1</t>
  </si>
  <si>
    <t>Question: S01Q03_Member</t>
  </si>
  <si>
    <t>Question: S01Q04_Member Documentation</t>
  </si>
  <si>
    <t>Question: S01Q05_Drug</t>
  </si>
  <si>
    <t>Question: S01Q06_Drug Documentation</t>
  </si>
  <si>
    <t>Notes for S01_PAS Accuracy</t>
  </si>
  <si>
    <t>S02_Case Handling</t>
  </si>
  <si>
    <t>Score: 61 / 61</t>
  </si>
  <si>
    <t>Question: S02Q01_Case Handling-Verification and Authentication</t>
  </si>
  <si>
    <t>Score: 13/13</t>
  </si>
  <si>
    <t>Question: S02Q02_Case Handling-Verification and Authentication Doc</t>
  </si>
  <si>
    <t>Question: S02Q03_Case Handling- Meaningful Outreach</t>
  </si>
  <si>
    <t>Answer: Questions/Attempts to speak to someone</t>
  </si>
  <si>
    <t>Score: 4/13</t>
  </si>
  <si>
    <t>Question:</t>
  </si>
  <si>
    <t>Answer: Attempts to get clinical before offering Fax</t>
  </si>
  <si>
    <t>Score: 2/13</t>
  </si>
  <si>
    <t>Answer: Offers Formulary Alternatives</t>
  </si>
  <si>
    <t>Score: 1/13</t>
  </si>
  <si>
    <t>Answer: Includes all required info in voicemail/live message</t>
  </si>
  <si>
    <t>Answer: Pages on call Physician</t>
  </si>
  <si>
    <t>Answer: Answers all questions mdo may have</t>
  </si>
  <si>
    <t>Question: P_S02Q04_Case Handling- Meaningful Outreach Documentation</t>
  </si>
  <si>
    <t>Question: P_S02Q05_Phone Handling- Communication/Clarity</t>
  </si>
  <si>
    <t>Score: 5/5</t>
  </si>
  <si>
    <t>Question: P_S02Q06_Phone Handling- Transfer</t>
  </si>
  <si>
    <t>Score: 2/2</t>
  </si>
  <si>
    <t>Question: P_S02Q07_Phone Handling- Hold</t>
  </si>
  <si>
    <t>Question: F_S02Q08_Case Handling- Case Submission</t>
  </si>
  <si>
    <t>Question: P_S02Q09_Case Handling- Case Submission Documentation</t>
  </si>
  <si>
    <t>Question: F_S02Q10_Cancellation/Rework/Exclusion</t>
  </si>
  <si>
    <t>Score: 9/9</t>
  </si>
  <si>
    <t>Question: F_S02Q11_Cancellation/Rework/Exclusion Documentation</t>
  </si>
  <si>
    <t>Notes for S02_Case Handling</t>
  </si>
  <si>
    <t>S03_Compliance Auto Fail Section</t>
  </si>
  <si>
    <t>Question: S03Q01_Agent cancels an MPA without calling the member first</t>
  </si>
  <si>
    <t xml:space="preserve">Answer: </t>
  </si>
  <si>
    <t>Question: S03Q02_Agent submits a case for the wrong PA type (e.g., Tier Cost box is checked</t>
  </si>
  <si>
    <t>for a dual review MPA Case)</t>
  </si>
  <si>
    <t>Question: S03Q03_The agent does not look for a valid NDC if medication is NOT a true plan</t>
  </si>
  <si>
    <t>exclusion</t>
  </si>
  <si>
    <t>Notes for S03_Compliance Auto Fail Section</t>
  </si>
  <si>
    <t>Weighted score: 39/39</t>
  </si>
  <si>
    <t>Report label</t>
  </si>
  <si>
    <t>Yes</t>
  </si>
  <si>
    <t>No</t>
  </si>
  <si>
    <t>The agent ensures the NPI is used for the provider.</t>
  </si>
  <si>
    <t>The agent selects/updates the provider information if verified with the MDO on MPA cases and documents any changes made.</t>
  </si>
  <si>
    <t>The agent verifies provider information in the Provider Tab with the fax image if attached updates as needed.</t>
  </si>
  <si>
    <t>The agent is required to convert DEA to NPI any time it is provided.
Note: The DEA number is not allowed.</t>
  </si>
  <si>
    <t>For incomplete cases:
The agent verifies three identifiers for the member are present on incomplete fax cases and ensures the information is correct.</t>
  </si>
  <si>
    <t>For incomplete cases:
For incomplete cases, medication is selected from the fax image.</t>
  </si>
  <si>
    <t>PAS ACCURACY</t>
  </si>
  <si>
    <t>CASE HANDLING</t>
  </si>
  <si>
    <t>Weighted score: 61/61</t>
  </si>
  <si>
    <t>F_S02Q01_Case Handling-Verification and Authentication</t>
  </si>
  <si>
    <t>P_S02Q02_Case Handling-Verification and Authentication Doc</t>
  </si>
  <si>
    <t>F_S01Q01_Provider Information</t>
  </si>
  <si>
    <t>F_S01Q01_Required Behavior:</t>
  </si>
  <si>
    <t xml:space="preserve"> P_S01Q02_Provider Information Documentation</t>
  </si>
  <si>
    <t>F_S01Q03_Member</t>
  </si>
  <si>
    <t>F_S01Q03_Required Behavior:</t>
  </si>
  <si>
    <t>P_S01Q04_Member Documentation</t>
  </si>
  <si>
    <t>F_S01Q05_Drug</t>
  </si>
  <si>
    <t>F_S01Q05_Required Behavior:</t>
  </si>
  <si>
    <t>P_S01Q06_Drug Documentation</t>
  </si>
  <si>
    <t>F_S02Q03_Case Handling- Meaningful Outreach</t>
  </si>
  <si>
    <t>Attempts to get clinical before offering Fax</t>
  </si>
  <si>
    <t>P_S02Q04_Case Handling- Meaningful Outreach Documentation</t>
  </si>
  <si>
    <t>P_S02Q05_Phone Handling- Communication/Clarity</t>
  </si>
  <si>
    <t>No- Agent did not speak clearly without mumbling, using jargon, or slang</t>
  </si>
  <si>
    <t>No- Agent did not adapt to the caller’s needs through pace or their speech and volume of their voice, as    appropriate</t>
  </si>
  <si>
    <t>No- Agent did not avoid using terms of endearment when addressing the caller (e.g., honey, dear, etc.)</t>
  </si>
  <si>
    <t>No- Agent did not use appropriate and professional language</t>
  </si>
  <si>
    <t>No - Agent did not spell out the medication that they cannot pronounce to the caller</t>
  </si>
  <si>
    <t>P_S02Q06_Phone Handling- Transfer</t>
  </si>
  <si>
    <t>No- Agent did not explain reason/need to transfer caller</t>
  </si>
  <si>
    <t>No- Agent did not gain permission from the caller to transfer</t>
  </si>
  <si>
    <t>No- Agent did not provide the name and number (if available) to the department they are being transferred to externally/internally</t>
  </si>
  <si>
    <t>No- Agent did not warm/cold transfer according to current policy</t>
  </si>
  <si>
    <t>P_S02Q06_Reason for missed Transfer</t>
  </si>
  <si>
    <t>P_S02Q05_Reason for missed Communication</t>
  </si>
  <si>
    <t>F_S02Q03_ Reason for missed Meaningful Outreach</t>
  </si>
  <si>
    <t>F_S02Q01_Reason for missed Verification and Authentication</t>
  </si>
  <si>
    <t>No - Agent did not selects the correct PA Type and checks the SLA time. 
No - Agent did not provide documentation when rework is required for PA type or SLA error.
No - Agent did not thoroughly checks the history and paperclip notes before making an outbound call attempt.</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</si>
  <si>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t>
  </si>
  <si>
    <t>P_S02Q07_Phone Handling- Hold</t>
  </si>
  <si>
    <t>P_S02Q07_Reason for missed Hold</t>
  </si>
  <si>
    <t>No- Agent did not return to the caller from hold after initial two minutes</t>
  </si>
  <si>
    <t>No- Agent did not request permission before placing caller on hold</t>
  </si>
  <si>
    <t>No- Agent did not thank the caller upon returning from the hold</t>
  </si>
  <si>
    <t>F_S02Q08_Case Handling- Case Submission</t>
  </si>
  <si>
    <t>F_S02Q08_Required Behavior:</t>
  </si>
  <si>
    <t>The agent will select the correct situation/verbiage for the outreach attempt as outlined in the Outreach Process Job Aid.</t>
  </si>
  <si>
    <t>The agent Selects the Continue Case button when:
          A new fax is attached to the case.
          A case needs to be auto-denied.
          A case needs to be marked as incomplete again.
          A case needs to be pended to the clinician's workbasket.</t>
  </si>
  <si>
    <t>Select the send fax option before hitting submit (unsuccessful call attempt outreach).</t>
  </si>
  <si>
    <t>The agent enters the correct phone and fax number for the provider.</t>
  </si>
  <si>
    <t>P_S02Q09_Case Handling- Case Submission Documentation</t>
  </si>
  <si>
    <t>F_S02Q10_Cancellation/Rework/Exclusion</t>
  </si>
  <si>
    <t>F_S02Q11_Cancellation/Rework/Exclusion Documentation</t>
  </si>
  <si>
    <t>F_S02Q10_Required Behavior:</t>
  </si>
  <si>
    <t>The agent reworks cases only when necessary (e.g., incorrect PA type, incorrect priority, wrong SLA time, wrong fax number, incorrect physician, and incorrect drug in the 2nd attempt MPA) and with the appropriate re-entry type.</t>
  </si>
  <si>
    <t>The agent selects the correct cancel reason code (rework cancel reason).</t>
  </si>
  <si>
    <t>The agent cancels and reworks a misrouted case as per outbound call attempt documentation notes. The agent calls the member to advise of a misroute and is required to submit a new MPA case if new provider information is provided. If unable to contact the member, this case must be pended for denial. The case must also be logged on Prior Auth Privacy Team Log SharePoint.</t>
  </si>
  <si>
    <t>Agent cancels an MPA without calling the member first</t>
  </si>
  <si>
    <t>P</t>
  </si>
  <si>
    <t>F</t>
  </si>
  <si>
    <t>Agent submits a case for the wrong PA type</t>
  </si>
  <si>
    <t>Agent failed to look for a valid NDC for medication that is NOT a true plan exclusion.</t>
  </si>
  <si>
    <t>F_S02Q08_Reason for missed  Case Submission</t>
  </si>
  <si>
    <t>No- Agent did not input the direction for use and quantity provided by the caller.</t>
  </si>
  <si>
    <t>The agent should submit or answer the incomplete  notes correctly.</t>
  </si>
  <si>
    <t>P_S02Q04_Reason for missed Meaningful Outreach Documentation</t>
  </si>
  <si>
    <t xml:space="preserve">Pages on call Physician </t>
  </si>
  <si>
    <t>No- Agent did not document all provided information by the provider.</t>
  </si>
  <si>
    <t>Questions/Attempts to speak to someone</t>
  </si>
  <si>
    <t>Offers Formulary Alternatives</t>
  </si>
  <si>
    <t>Includes all required info in voicemail/live message</t>
  </si>
  <si>
    <t xml:space="preserve">No </t>
  </si>
  <si>
    <t>No- Agent did not wait on hold for 5 minutes</t>
  </si>
  <si>
    <t>No- Agent failed to obtain direction for use</t>
  </si>
  <si>
    <t>No- Agent did not ask all CG question as listed.</t>
  </si>
  <si>
    <t>No- Agent documented wrong phone number used for outreach</t>
  </si>
  <si>
    <t>No- Agent did not document the representative's name</t>
  </si>
  <si>
    <t>No- Agent did not leave a voicemail message/ attempts to leave a message to a live representative</t>
  </si>
  <si>
    <t>No- Agent did not stay/wait on the line for 5 mins</t>
  </si>
  <si>
    <t>No- Agent failed to make another attempt to the provider's office</t>
  </si>
  <si>
    <t>P_S01Q02_Reason for missed Provider Information Documentation</t>
  </si>
  <si>
    <t>No- Agent did not document and failed to log the case to SP ( Misroutes, Rework)</t>
  </si>
  <si>
    <t>No- Agent failed to provide correct information to the provider/member</t>
  </si>
  <si>
    <t>No- Agent failed to leave proper outreach documentation/phone number used for outreach .</t>
  </si>
  <si>
    <t xml:space="preserve"> Answers all questions MDO may have</t>
  </si>
  <si>
    <t>Compliance Auto fail Section(Failure to follow required behavior will result in call score of zero.)</t>
  </si>
  <si>
    <t>CALL INFORMATION</t>
  </si>
  <si>
    <t>Agent Name:</t>
  </si>
  <si>
    <t xml:space="preserve">Date/Time: </t>
  </si>
  <si>
    <t>PA Number:</t>
  </si>
  <si>
    <t>Reason of Call:</t>
  </si>
  <si>
    <t>Attributes</t>
  </si>
  <si>
    <t>Opportunities</t>
  </si>
  <si>
    <t>PAS Accuracy</t>
  </si>
  <si>
    <t>Provider Information</t>
  </si>
  <si>
    <t>The agent ensures the NPI is used for the provider.
The agent selects/updates the provider information if verified with the MDO on MPA cases and documents any changes made.
The agent verifies provider information in the Provider Tab with the fax image if attached updates as needed.
"The agent is required to convert DEA to NPI any time it is provided.
Note: The DEA number is not allowed."</t>
  </si>
  <si>
    <t>Provider Information Documentation</t>
  </si>
  <si>
    <t>Member</t>
  </si>
  <si>
    <t>Member Documentation</t>
  </si>
  <si>
    <t>Drug</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</si>
  <si>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
For incomplete cases:
For incomplete cases, medication is selected from the fax image.</t>
  </si>
  <si>
    <t>Drug Documentation</t>
  </si>
  <si>
    <t>No - Agent did not document and failed to log the case to SP (Misroutes, Rework)</t>
  </si>
  <si>
    <t>Case Handling-Verification and Authentication</t>
  </si>
  <si>
    <t>Case Handling-Verification and Authentication Doc</t>
  </si>
  <si>
    <t>Case Handling- Meaningful Outreach</t>
  </si>
  <si>
    <t>Attempts to speak to someone
No- Agent did not leave a voicemail message/ attempts to leave a message to a live representative
No- Agent did not stay/wait on the line for 5 mins
No- Agent failed to provide correct information to the provider/member
No- Agent failed to make another attempt to the provider's office</t>
  </si>
  <si>
    <t>Case Handling- Meaningful Outreach Documentation</t>
  </si>
  <si>
    <t>No- Agent failed to leave proper outreach documentation/phone number used for outreach .
No- Agent documented wrong phone number used for outreach
No- Agent did not document the representative's name</t>
  </si>
  <si>
    <t>Phone Handling- Communication/Clarity</t>
  </si>
  <si>
    <t>Reason for missed Communication
No- Agent did not speak clearly without mumbling, using jargon, or slang
No- Agent did not adapt to the caller’s needs through pace or their speech and volume of their voice, as    appropriate
No- Agent did not avoid using terms of endearment when addressing the caller (e.g., honey, dear, etc.)
No- Agent did not use appropriate and professional language
No - Agent did not spell out the medication that they cannot pronounce to the caller</t>
  </si>
  <si>
    <t>Phone Handling- Transfer</t>
  </si>
  <si>
    <t>No- Agent did not explain reason/need to transfer caller
No- Agent did not gain permission from the caller to transfer
No- Agent did not provide the name and number (if available) to the department they are being transferred to externally/internally
No- Agent did not warm/cold transfer according to current policy</t>
  </si>
  <si>
    <t>Phone Handling- Hold</t>
  </si>
  <si>
    <t>Reason for missed Hold
No- Agent did not return to the caller from hold after initial two minutes
No- Agent did not request permission before placing caller on hold
No- Agent did not wait on hold for 5 minutes
No- Agent did not thank the caller upon returning from the hold</t>
  </si>
  <si>
    <t>Case Handling- Case Submission</t>
  </si>
  <si>
    <t>No- Agent did not document all provided information by the provider.
No- Agent did not ask all CG question as listed.
No- Agent failed to obtain direction for use
No- Agent did not input the direction for use and quantity provided by the caller.</t>
  </si>
  <si>
    <t>Case Handling- Case Submission Documentation</t>
  </si>
  <si>
    <t>Cancellation/Rework/Exclusion</t>
  </si>
  <si>
    <t>Required Behavior:
The agent reworks cases only when necessary (e.g., incorrect PA type, incorrect priority, wrong SLA time, wrong fax number, incorrect physician, and incorrect drug in the 2nd attempt MPA) and with the appropriate re-entry type.
The agent selects the correct cancel reason code (rework cancel reason).
The agent cancels and reworks a misrouted case as per outbound call attempt documentation notes. The agent calls the member to advise of a misroute and is required to submit a new MPA case if new provider information is provided. If unable to contact the member, this case must be pended for denial. The case must also be logged on Prior Auth Privacy Team Log SharePoint.</t>
  </si>
  <si>
    <t>Cancellation/Rework/Exclusion Documentation</t>
  </si>
  <si>
    <t>Case Handling</t>
  </si>
  <si>
    <t>Compliance Auto fail Section</t>
  </si>
  <si>
    <t>Total Points Earned</t>
  </si>
  <si>
    <t>Total Points Possible</t>
  </si>
  <si>
    <t>Overall Score</t>
  </si>
  <si>
    <t>PASS</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</si>
  <si>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 using the guidelines in the Medicare Testing Supplies for Techs Job Aid.</t>
  </si>
  <si>
    <t>Weighted score: 61</t>
  </si>
  <si>
    <t>The agent attempts to first get the clinical information over the phone before offering a fax form; the agent must make an effort to speak to someone to obtain clinical information. Refer to the Outreach Process Job Aid.</t>
  </si>
  <si>
    <t>The agent will offer formulary alternatives to the MDO representative when additional information is being obtained for clinical information on a non-formulary request when listed. The agent will ask if MDO is willing to convert to one of the formulary alternatives if available.</t>
  </si>
  <si>
    <t>The agent attempts to leave a voicemail or message when available and uses the appropriate voicemail verbiage with all appropriate information as outlined in the Outreach Process Job Aid. The message must contain the following information:</t>
  </si>
  <si>
    <t>The agent attempts to page the on-call physician when necessary according to the Outreach Process Job Aid.</t>
  </si>
  <si>
    <t>The agent accurately answers any questions the provider's office has regarding the pending case and offers other options.</t>
  </si>
  <si>
    <r>
      <t xml:space="preserve">No- Agent did not </t>
    </r>
    <r>
      <rPr>
        <sz val="11"/>
        <color rgb="FFFF0000"/>
        <rFont val="Aptos Narrow"/>
        <family val="2"/>
        <scheme val="minor"/>
      </rPr>
      <t>provide the name and number of the department to which the caller is being transferred to.</t>
    </r>
  </si>
  <si>
    <t xml:space="preserve">The agent will cancel the case appropriately when PA is not required (for MPA cases they will have to be sure to call to obtain permission from the member). Cancel Reason: Review Approval Formulary accessible.
</t>
  </si>
  <si>
    <t>The agent asks the appropriate questions to ensure they are speaking to the correct office if not confirmed on the automated system.
Confirm that the number dialed is for the correct provider (provider's first and last name).
Confirm that the patient is seen by the mentioned provider.
The agent makes all efforts to speak with someone at the office to obtain the clinical information (e.g., does not call and quickly hangs up).</t>
  </si>
  <si>
    <t xml:space="preserve">The agent Selects the Continue Case button when:
          A new fax is attached to the case.
          A case needs to be auto-denied.
          A case needs to be marked as incomplete again.
          A case needs to be pended to the clinician's workbasket.
The agent will select the correct situation/verbiage for the outreach attempt as outlined in the Outreach Process Job Aid.
Select the send fax option before hitting submit (unsuccessful call attempt outreach).
The agent enters the correct phone and fax number for the provider
The agent should submit or answer the incomplete  notes correctly.
</t>
  </si>
  <si>
    <t>No- Agent did not explain reason/need to transfer caller
No- Agent did not gain permission from the caller to transfer
No- Agent did not provide the name and number of the department to which the caller is being transferred to.
No- Agent did not warm/cold transfer according to current policy</t>
  </si>
  <si>
    <t>Required Behavior:
The agent reworks cases only when necessary (e.g., incorrect PA type, incorrect priority, wrong SLA time, wrong fax number, incorrect physician, and incorrect drug in the 2nd attempt MPA) and with the appropriate re-entry type.
The agent selects the correct cancel reason code (rework cancel reason).
The agent cancels and reworks a misrouted case as per outbound call attempt documentation notes. The agent calls the member to advise of a misroute and is required to submit a new MPA case if new provider information is provided. If unable to contact the member, this case must be pended for denial. The case must also be logged on Prior Auth Privacy Team Log SharePoint.
The agent will cancel the case appropriately when PA is not required (for MPA cases they will have to be sure to call to obtain permission from the member). Cancel Reason: Review Approval Formulary accessible.</t>
  </si>
  <si>
    <r>
      <t xml:space="preserve">Attempts to speak to someone
No- Agent did not leave a voicemail message/ attempts to leave a message to a live representative
No- Agent did not stay/wait on the line for 5 mins
No- Agent failed to provide correct information to the provider/member
No- Agent failed to make another attempt to the provider's office
</t>
    </r>
    <r>
      <rPr>
        <sz val="11"/>
        <rFont val="Arial Narrow"/>
        <family val="2"/>
      </rPr>
      <t>The agent asks the appropriate questions to ensure they are speaking to the correct office if not confirmed on the automated system.
Confirm that the number dialed is for the correct provider (provider's first and last name).
Confirm that the patient is seen by the mentioned provider.
The agent makes all efforts to speak with someone at the office to obtain the clinical information (e.g., does not call and quickly hangs up).</t>
    </r>
  </si>
  <si>
    <t>Evaluator</t>
  </si>
  <si>
    <t>How many "FAIL" in auto fail section</t>
  </si>
  <si>
    <r>
      <t xml:space="preserve">Result 
</t>
    </r>
    <r>
      <rPr>
        <b/>
        <sz val="8"/>
        <color rgb="FF000000"/>
        <rFont val="Arial Narrow"/>
        <family val="2"/>
      </rPr>
      <t>(If score is 98 and above tag as PASS, if with autofail or score is less than 98 change to Fail)</t>
    </r>
  </si>
  <si>
    <t>Validation</t>
  </si>
  <si>
    <t>a</t>
  </si>
  <si>
    <t>b</t>
  </si>
  <si>
    <t>c</t>
  </si>
  <si>
    <t>d</t>
  </si>
  <si>
    <t>Member call documentation</t>
  </si>
  <si>
    <t>The agent is required to convert DEA to NPI any time it is provided.
Note: The DEA number is not allowed</t>
  </si>
  <si>
    <t>e</t>
  </si>
  <si>
    <t xml:space="preserve">If both brand and generic claims are processing, the agent must call the member to verify (go by claims or B vs G flow chart if unable to obtain verification from the member). </t>
  </si>
  <si>
    <t>The agent must make an outbound call and document.</t>
  </si>
  <si>
    <t>The agent checks if the diabetic supply is preferred or non-preferred.</t>
  </si>
  <si>
    <t>The agent verifies the drug and formulation based on the claim’s history in PAS for MPA cases.</t>
  </si>
  <si>
    <t>For incomplete cases, medication is selected from the fax image.</t>
  </si>
  <si>
    <t>No - Agent did not provide documentation when rework is required for PA type or SLA error.</t>
  </si>
  <si>
    <t>No - Agent did not thoroughly checks the history and paperclip notes before making an outbound call attempt.</t>
  </si>
  <si>
    <t xml:space="preserve">No - Agent did not selects the correct PA Type and checks the SLA time. </t>
  </si>
  <si>
    <t>Case Handling- Meaningful Outreach (Questions/Attempts to speak to someone)</t>
  </si>
  <si>
    <t>f</t>
  </si>
  <si>
    <t>g</t>
  </si>
  <si>
    <t>h</t>
  </si>
  <si>
    <t>Attempts to speak to someone</t>
  </si>
  <si>
    <t>The agent asks the appropriate questions to ensure they are speaking to the correct office if not confirmed on the automated system.</t>
  </si>
  <si>
    <t>Confirm that the number dialed is for the correct provider (provider's first and last name</t>
  </si>
  <si>
    <t>i</t>
  </si>
  <si>
    <t>Confirm that the patient is seen by the mentioned provider.</t>
  </si>
  <si>
    <t>The agent makes all efforts to speak with someone at the office to obtain the clinical information (e.g., does not call and quickly hangs up)</t>
  </si>
  <si>
    <t xml:space="preserve">The agent attempts to first get the clinical information over the phone before offering a fax form; </t>
  </si>
  <si>
    <t>the agent must make an effort to speak to someone to obtain clinical information. Refer to the Outreach Process Job Aid.</t>
  </si>
  <si>
    <t xml:space="preserve">The agent will offer formulary alternatives to the MDO representative when additional information is being obtained for clinical information on a non-formulary request when listed. </t>
  </si>
  <si>
    <t>The agent will ask if MDO is willing to convert to one of the formulary alternatives if available.</t>
  </si>
  <si>
    <t xml:space="preserve">The agent attempts to leave a voicemail or message when available and uses the appropriate voicemail verbiage with all appropriate information as outlined in the Outreach Process Job Aid. </t>
  </si>
  <si>
    <t>Phone Handling- Communication/Clarity (Reason for missed Communication)</t>
  </si>
  <si>
    <t>No- Agent did not provide the name and number of the department to which the caller is being transferred to.</t>
  </si>
  <si>
    <t>Phone Handling- Hold (Reason for missed Hold)</t>
  </si>
  <si>
    <t>The agent enters the correct phone and fax number for the provider</t>
  </si>
  <si>
    <t>Case Submission Documentation</t>
  </si>
  <si>
    <t>Cancellation/Rework/Exclusion (Required Behavior)</t>
  </si>
  <si>
    <t xml:space="preserve">The agent cancels and reworks a misrouted case as per outbound call attempt documentation notes. </t>
  </si>
  <si>
    <t>The agent calls the member to advise of a misroute and is required to submit a new MPA case if new provider information is provided.</t>
  </si>
  <si>
    <t>If unable to contact the member, this case must be pended for denial. The case must also be logged on Prior Auth Privacy Team Log SharePoint.</t>
  </si>
  <si>
    <t>The agent will cancel the case appropriately when PA is not required (for MPA cases they will have to be sure to call to obtain permission from the member). Cancel Reason: Review Approval Formulary accessible.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</si>
</sst>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Aptos Narrow"/>
      <family val="2"/>
      <scheme val="minor"/>
    </font>
    <font>
      <b/>
      <sz val="11"/>
      <color theme="1"/>
      <name val="Aptos Narrow"/>
      <family val="2"/>
      <scheme val="minor"/>
    </font>
    <font>
      <b/>
      <sz val="10"/>
      <color theme="1"/>
      <name val="Arial,Bold"/>
    </font>
    <font>
      <sz val="10"/>
      <color theme="1"/>
      <name val="Arial,Bold"/>
    </font>
    <font>
      <sz val="10"/>
      <color theme="1"/>
      <name val="Arial"/>
      <family val="2"/>
    </font>
    <font>
      <b/>
      <sz val="10"/>
      <color rgb="FF808080"/>
      <name val="Arial,Bold"/>
    </font>
    <font>
      <b/>
      <sz val="10"/>
      <color rgb="FF7030A0"/>
      <name val="Arial"/>
      <family val="2"/>
    </font>
    <font>
      <b/>
      <sz val="10"/>
      <color theme="1"/>
      <name val="Arial"/>
      <family val="2"/>
    </font>
    <font>
      <sz val="11"/>
      <color rgb="FF000000"/>
      <name val="Aptos Narrow"/>
      <family val="2"/>
      <scheme val="minor"/>
    </font>
    <font>
      <b/>
      <sz val="11"/>
      <color rgb="FF212529"/>
      <name val="Aptos Narrow"/>
      <family val="2"/>
      <scheme val="minor"/>
    </font>
    <font>
      <b/>
      <sz val="16"/>
      <color theme="0"/>
      <name val="Calibri"/>
      <family val="2"/>
    </font>
    <font>
      <b/>
      <sz val="12"/>
      <color rgb="FF000000"/>
      <name val="Calibri"/>
      <family val="2"/>
    </font>
    <font>
      <b/>
      <sz val="9"/>
      <color rgb="FF000000"/>
      <name val="Calibri"/>
      <family val="2"/>
    </font>
    <font>
      <b/>
      <sz val="10"/>
      <color theme="0"/>
      <name val="Arial Narrow"/>
      <family val="2"/>
    </font>
    <font>
      <b/>
      <sz val="10"/>
      <name val="Arial Narrow"/>
      <family val="2"/>
    </font>
    <font>
      <b/>
      <sz val="16"/>
      <name val="Arial Narrow"/>
      <family val="2"/>
    </font>
    <font>
      <sz val="11"/>
      <name val="Aptos Narrow"/>
      <family val="2"/>
      <scheme val="minor"/>
    </font>
    <font>
      <sz val="11"/>
      <color rgb="FFFF0000"/>
      <name val="Aptos Narrow"/>
      <family val="2"/>
      <scheme val="minor"/>
    </font>
    <font>
      <b/>
      <sz val="11"/>
      <color rgb="FFFF0000"/>
      <name val="Aptos Narrow"/>
      <family val="2"/>
      <scheme val="minor"/>
    </font>
    <font>
      <b/>
      <sz val="11"/>
      <name val="Aptos Narrow"/>
      <family val="2"/>
      <scheme val="minor"/>
    </font>
    <font>
      <b/>
      <sz val="11"/>
      <color theme="0"/>
      <name val="Arial Narrow"/>
      <family val="2"/>
    </font>
    <font>
      <b/>
      <sz val="11"/>
      <name val="Arial Narrow"/>
      <family val="2"/>
    </font>
    <font>
      <sz val="11"/>
      <color theme="1"/>
      <name val="Arial Narrow"/>
      <family val="2"/>
    </font>
    <font>
      <b/>
      <sz val="11"/>
      <color theme="1"/>
      <name val="Arial Narrow"/>
      <family val="2"/>
    </font>
    <font>
      <sz val="11"/>
      <name val="Arial Narrow"/>
      <family val="2"/>
    </font>
    <font>
      <b/>
      <sz val="16"/>
      <color theme="0"/>
      <name val="Arial Narrow"/>
      <family val="2"/>
    </font>
    <font>
      <b/>
      <sz val="12"/>
      <color rgb="FF000000"/>
      <name val="Arial Narrow"/>
      <family val="2"/>
    </font>
    <font>
      <b/>
      <sz val="9"/>
      <color rgb="FF000000"/>
      <name val="Arial Narrow"/>
      <family val="2"/>
    </font>
    <font>
      <b/>
      <sz val="8"/>
      <color rgb="FF000000"/>
      <name val="Arial Narrow"/>
      <family val="2"/>
    </font>
    <font>
      <b/>
      <sz val="12"/>
      <name val="Arial Narrow"/>
      <family val="2"/>
    </font>
  </fonts>
  <fills count="1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B050"/>
        <bgColor indexed="64"/>
      </patternFill>
    </fill>
    <fill>
      <patternFill patternType="solid">
        <fgColor rgb="FF002060"/>
        <bgColor indexed="64"/>
      </patternFill>
    </fill>
    <fill>
      <patternFill patternType="solid">
        <fgColor theme="5"/>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7" tint="-0.249977111117893"/>
        <bgColor indexed="64"/>
      </patternFill>
    </fill>
    <fill>
      <patternFill patternType="solid">
        <fgColor theme="1"/>
        <bgColor indexed="64"/>
      </patternFill>
    </fill>
  </fills>
  <borders count="2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33">
    <xf numFmtId="0" fontId="0" fillId="0" borderId="0" xfId="0"/>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5" fillId="0" borderId="5" xfId="0" applyFont="1" applyBorder="1" applyAlignment="1">
      <alignment vertical="center" wrapText="1"/>
    </xf>
    <xf numFmtId="0" fontId="2" fillId="0" borderId="6" xfId="0" applyFont="1" applyBorder="1" applyAlignment="1">
      <alignment vertical="center" wrapText="1"/>
    </xf>
    <xf numFmtId="0" fontId="2" fillId="0" borderId="2" xfId="0" applyFont="1" applyBorder="1" applyAlignment="1">
      <alignment vertical="center" wrapText="1"/>
    </xf>
    <xf numFmtId="0" fontId="0" fillId="0" borderId="3" xfId="0" applyBorder="1" applyAlignment="1">
      <alignment vertical="center"/>
    </xf>
    <xf numFmtId="0" fontId="6" fillId="0" borderId="3" xfId="0" applyFont="1" applyBorder="1" applyAlignment="1">
      <alignment vertical="center"/>
    </xf>
    <xf numFmtId="0" fontId="4" fillId="0" borderId="3" xfId="0" applyFont="1" applyBorder="1" applyAlignment="1">
      <alignment vertical="center"/>
    </xf>
    <xf numFmtId="0" fontId="2" fillId="0" borderId="1" xfId="0" applyFont="1" applyBorder="1" applyAlignment="1">
      <alignment vertical="center" wrapText="1"/>
    </xf>
    <xf numFmtId="0" fontId="2" fillId="0" borderId="3" xfId="0" applyFont="1" applyBorder="1" applyAlignment="1">
      <alignment vertical="center" wrapText="1"/>
    </xf>
    <xf numFmtId="0" fontId="2" fillId="0" borderId="5" xfId="0" applyFont="1" applyBorder="1" applyAlignment="1">
      <alignment vertical="center" wrapText="1"/>
    </xf>
    <xf numFmtId="0" fontId="2" fillId="0" borderId="7" xfId="0" applyFont="1" applyBorder="1" applyAlignment="1">
      <alignment vertical="center" wrapText="1"/>
    </xf>
    <xf numFmtId="0" fontId="7" fillId="0" borderId="3" xfId="0" applyFont="1" applyBorder="1" applyAlignment="1">
      <alignment vertical="center"/>
    </xf>
    <xf numFmtId="0" fontId="1" fillId="0" borderId="13" xfId="0" applyFont="1" applyBorder="1"/>
    <xf numFmtId="0" fontId="1" fillId="2" borderId="9" xfId="0" applyFont="1" applyFill="1" applyBorder="1" applyAlignment="1">
      <alignment vertical="center"/>
    </xf>
    <xf numFmtId="0" fontId="1" fillId="2" borderId="8" xfId="0" applyFont="1" applyFill="1" applyBorder="1" applyAlignment="1">
      <alignment horizontal="left" vertical="center" wrapText="1"/>
    </xf>
    <xf numFmtId="0" fontId="1" fillId="2" borderId="9" xfId="0" applyFont="1" applyFill="1" applyBorder="1" applyAlignment="1">
      <alignment horizontal="left" vertical="center" wrapText="1"/>
    </xf>
    <xf numFmtId="0" fontId="0" fillId="0" borderId="18" xfId="0" applyBorder="1"/>
    <xf numFmtId="0" fontId="0" fillId="0" borderId="14" xfId="0" applyBorder="1"/>
    <xf numFmtId="0" fontId="0" fillId="0" borderId="15" xfId="0" applyBorder="1"/>
    <xf numFmtId="0" fontId="0" fillId="0" borderId="13" xfId="0" applyBorder="1"/>
    <xf numFmtId="0" fontId="0" fillId="0" borderId="13" xfId="0" applyBorder="1" applyAlignment="1">
      <alignment wrapText="1"/>
    </xf>
    <xf numFmtId="0" fontId="0" fillId="0" borderId="16" xfId="0" applyBorder="1" applyAlignment="1">
      <alignment horizontal="right"/>
    </xf>
    <xf numFmtId="0" fontId="0" fillId="0" borderId="17" xfId="0" applyBorder="1"/>
    <xf numFmtId="0" fontId="0" fillId="0" borderId="10" xfId="0" applyBorder="1"/>
    <xf numFmtId="0" fontId="1" fillId="0" borderId="11" xfId="0" applyFont="1" applyBorder="1"/>
    <xf numFmtId="0" fontId="0" fillId="0" borderId="12" xfId="0" applyBorder="1"/>
    <xf numFmtId="0" fontId="0" fillId="0" borderId="13" xfId="0" applyBorder="1" applyAlignment="1">
      <alignment vertical="top" wrapText="1"/>
    </xf>
    <xf numFmtId="0" fontId="0" fillId="0" borderId="12" xfId="0" applyBorder="1" applyAlignment="1">
      <alignment horizontal="right"/>
    </xf>
    <xf numFmtId="0" fontId="8" fillId="0" borderId="13" xfId="0" applyFont="1" applyBorder="1" applyAlignment="1">
      <alignment vertical="center"/>
    </xf>
    <xf numFmtId="0" fontId="8" fillId="0" borderId="13" xfId="0" applyFont="1" applyBorder="1"/>
    <xf numFmtId="0" fontId="9" fillId="0" borderId="13" xfId="0" applyFont="1" applyBorder="1"/>
    <xf numFmtId="0" fontId="8" fillId="0" borderId="13" xfId="0" applyFont="1" applyBorder="1" applyAlignment="1">
      <alignment vertical="top" wrapText="1"/>
    </xf>
    <xf numFmtId="0" fontId="1" fillId="0" borderId="13" xfId="0" applyFont="1" applyBorder="1" applyAlignment="1">
      <alignment vertical="top" wrapText="1"/>
    </xf>
    <xf numFmtId="0" fontId="1" fillId="5" borderId="12" xfId="0" applyFont="1" applyFill="1" applyBorder="1"/>
    <xf numFmtId="0" fontId="13" fillId="7" borderId="20" xfId="0" applyFont="1" applyFill="1" applyBorder="1" applyAlignment="1">
      <alignment horizontal="center" vertical="center"/>
    </xf>
    <xf numFmtId="0" fontId="13" fillId="8" borderId="19" xfId="0" applyFont="1" applyFill="1" applyBorder="1" applyAlignment="1">
      <alignment horizontal="left" wrapText="1"/>
    </xf>
    <xf numFmtId="0" fontId="0" fillId="0" borderId="19" xfId="0" applyBorder="1" applyAlignment="1">
      <alignment wrapText="1"/>
    </xf>
    <xf numFmtId="0" fontId="0" fillId="0" borderId="19" xfId="0" applyBorder="1"/>
    <xf numFmtId="0" fontId="13" fillId="8" borderId="19" xfId="0" applyFont="1" applyFill="1" applyBorder="1" applyAlignment="1">
      <alignment horizontal="left"/>
    </xf>
    <xf numFmtId="0" fontId="13" fillId="7" borderId="20" xfId="0" applyFont="1" applyFill="1" applyBorder="1" applyAlignment="1">
      <alignment horizontal="center"/>
    </xf>
    <xf numFmtId="0" fontId="0" fillId="0" borderId="19" xfId="0" applyBorder="1" applyAlignment="1">
      <alignment horizontal="center"/>
    </xf>
    <xf numFmtId="0" fontId="0" fillId="0" borderId="0" xfId="0" applyAlignment="1">
      <alignment horizontal="center"/>
    </xf>
    <xf numFmtId="0" fontId="11" fillId="0" borderId="19" xfId="0" applyFont="1" applyBorder="1" applyAlignment="1">
      <alignment horizontal="right" vertical="center"/>
    </xf>
    <xf numFmtId="0" fontId="11" fillId="0" borderId="19" xfId="0" applyFont="1" applyBorder="1" applyAlignment="1">
      <alignment horizontal="center" vertical="center"/>
    </xf>
    <xf numFmtId="0" fontId="11" fillId="0" borderId="19" xfId="0" applyFont="1" applyBorder="1" applyAlignment="1">
      <alignment horizontal="center"/>
    </xf>
    <xf numFmtId="0" fontId="11" fillId="0" borderId="19" xfId="0" applyFont="1" applyBorder="1" applyAlignment="1">
      <alignment horizontal="center" wrapText="1"/>
    </xf>
    <xf numFmtId="0" fontId="12" fillId="0" borderId="19" xfId="0" applyFont="1" applyBorder="1" applyAlignment="1">
      <alignment horizontal="center"/>
    </xf>
    <xf numFmtId="10" fontId="11" fillId="0" borderId="19" xfId="0" applyNumberFormat="1" applyFont="1" applyBorder="1" applyAlignment="1">
      <alignment horizontal="center" vertical="center"/>
    </xf>
    <xf numFmtId="0" fontId="16" fillId="0" borderId="19" xfId="0" applyFont="1" applyBorder="1"/>
    <xf numFmtId="0" fontId="16" fillId="0" borderId="0" xfId="0" applyFont="1"/>
    <xf numFmtId="0" fontId="17" fillId="0" borderId="12" xfId="0" applyFont="1" applyBorder="1"/>
    <xf numFmtId="0" fontId="18" fillId="5" borderId="12" xfId="0" applyFont="1" applyFill="1" applyBorder="1"/>
    <xf numFmtId="0" fontId="17" fillId="0" borderId="13" xfId="0" applyFont="1" applyBorder="1" applyAlignment="1">
      <alignment wrapText="1"/>
    </xf>
    <xf numFmtId="0" fontId="1" fillId="2" borderId="9" xfId="0" applyFont="1" applyFill="1" applyBorder="1" applyAlignment="1">
      <alignment vertical="center" wrapText="1"/>
    </xf>
    <xf numFmtId="0" fontId="1" fillId="0" borderId="11" xfId="0" applyFont="1" applyBorder="1" applyAlignment="1">
      <alignment wrapText="1"/>
    </xf>
    <xf numFmtId="0" fontId="1" fillId="0" borderId="13" xfId="0" applyFont="1" applyBorder="1" applyAlignment="1">
      <alignment wrapText="1"/>
    </xf>
    <xf numFmtId="0" fontId="0" fillId="10" borderId="13" xfId="0" applyFill="1" applyBorder="1" applyAlignment="1">
      <alignment wrapText="1"/>
    </xf>
    <xf numFmtId="0" fontId="0" fillId="0" borderId="15" xfId="0" applyBorder="1" applyAlignment="1">
      <alignment wrapText="1"/>
    </xf>
    <xf numFmtId="0" fontId="0" fillId="10" borderId="18" xfId="0" applyFill="1" applyBorder="1" applyAlignment="1">
      <alignment wrapText="1"/>
    </xf>
    <xf numFmtId="0" fontId="17" fillId="0" borderId="0" xfId="0" applyFont="1" applyAlignment="1">
      <alignment wrapText="1"/>
    </xf>
    <xf numFmtId="0" fontId="8" fillId="0" borderId="13" xfId="0" applyFont="1" applyBorder="1" applyAlignment="1">
      <alignment vertical="center" wrapText="1"/>
    </xf>
    <xf numFmtId="0" fontId="8" fillId="0" borderId="13" xfId="0" applyFont="1" applyBorder="1" applyAlignment="1">
      <alignment wrapText="1"/>
    </xf>
    <xf numFmtId="0" fontId="8" fillId="10" borderId="13" xfId="0" applyFont="1" applyFill="1" applyBorder="1" applyAlignment="1">
      <alignment vertical="center" wrapText="1"/>
    </xf>
    <xf numFmtId="0" fontId="9" fillId="0" borderId="13" xfId="0" applyFont="1" applyBorder="1" applyAlignment="1">
      <alignment wrapText="1"/>
    </xf>
    <xf numFmtId="0" fontId="0" fillId="0" borderId="17" xfId="0" applyBorder="1" applyAlignment="1">
      <alignment wrapText="1"/>
    </xf>
    <xf numFmtId="0" fontId="0" fillId="0" borderId="0" xfId="0" applyAlignment="1">
      <alignment wrapText="1"/>
    </xf>
    <xf numFmtId="0" fontId="19" fillId="0" borderId="12" xfId="0" applyFont="1" applyBorder="1"/>
    <xf numFmtId="0" fontId="0" fillId="10" borderId="13" xfId="0" applyFill="1" applyBorder="1" applyAlignment="1">
      <alignment vertical="top" wrapText="1"/>
    </xf>
    <xf numFmtId="0" fontId="20" fillId="7" borderId="20" xfId="0" applyFont="1" applyFill="1" applyBorder="1" applyAlignment="1">
      <alignment horizontal="center"/>
    </xf>
    <xf numFmtId="0" fontId="20" fillId="7" borderId="20" xfId="0" applyFont="1" applyFill="1" applyBorder="1" applyAlignment="1">
      <alignment horizontal="center" vertical="center"/>
    </xf>
    <xf numFmtId="0" fontId="21" fillId="9" borderId="19" xfId="0" applyFont="1" applyFill="1" applyBorder="1" applyAlignment="1">
      <alignment horizontal="center" vertical="center"/>
    </xf>
    <xf numFmtId="0" fontId="20" fillId="8" borderId="19" xfId="0" applyFont="1" applyFill="1" applyBorder="1" applyAlignment="1">
      <alignment horizontal="left" wrapText="1"/>
    </xf>
    <xf numFmtId="0" fontId="22" fillId="0" borderId="19" xfId="0" applyFont="1" applyBorder="1" applyAlignment="1">
      <alignment horizontal="center"/>
    </xf>
    <xf numFmtId="0" fontId="22" fillId="0" borderId="19" xfId="0" applyFont="1" applyBorder="1"/>
    <xf numFmtId="0" fontId="22" fillId="0" borderId="19" xfId="0" applyFont="1" applyBorder="1" applyAlignment="1">
      <alignment wrapText="1"/>
    </xf>
    <xf numFmtId="0" fontId="22" fillId="9" borderId="19" xfId="0" applyFont="1" applyFill="1" applyBorder="1" applyAlignment="1">
      <alignment wrapText="1"/>
    </xf>
    <xf numFmtId="0" fontId="20" fillId="8" borderId="19" xfId="0" applyFont="1" applyFill="1" applyBorder="1" applyAlignment="1">
      <alignment horizontal="left"/>
    </xf>
    <xf numFmtId="0" fontId="23" fillId="0" borderId="19" xfId="0" applyFont="1" applyBorder="1" applyAlignment="1">
      <alignment horizontal="center" vertical="center"/>
    </xf>
    <xf numFmtId="0" fontId="24" fillId="0" borderId="19" xfId="0" applyFont="1" applyBorder="1" applyAlignment="1">
      <alignment horizontal="left" wrapText="1"/>
    </xf>
    <xf numFmtId="0" fontId="24" fillId="0" borderId="19" xfId="0" applyFont="1" applyBorder="1" applyAlignment="1">
      <alignment wrapText="1"/>
    </xf>
    <xf numFmtId="0" fontId="20" fillId="11" borderId="19" xfId="0" applyFont="1" applyFill="1" applyBorder="1" applyAlignment="1">
      <alignment horizontal="left"/>
    </xf>
    <xf numFmtId="0" fontId="26" fillId="0" borderId="19" xfId="0" applyFont="1" applyBorder="1" applyAlignment="1">
      <alignment horizontal="right" vertical="center"/>
    </xf>
    <xf numFmtId="0" fontId="26" fillId="0" borderId="19" xfId="0" applyFont="1" applyBorder="1" applyAlignment="1">
      <alignment horizontal="center" vertical="center"/>
    </xf>
    <xf numFmtId="0" fontId="26" fillId="0" borderId="19" xfId="0" applyFont="1" applyBorder="1" applyAlignment="1">
      <alignment horizontal="center"/>
    </xf>
    <xf numFmtId="0" fontId="26" fillId="0" borderId="19" xfId="0" applyFont="1" applyBorder="1" applyAlignment="1">
      <alignment horizontal="center" wrapText="1"/>
    </xf>
    <xf numFmtId="10" fontId="26" fillId="0" borderId="19" xfId="0" applyNumberFormat="1" applyFont="1" applyBorder="1" applyAlignment="1">
      <alignment horizontal="center" vertical="center"/>
    </xf>
    <xf numFmtId="0" fontId="27" fillId="0" borderId="19" xfId="0" applyFont="1" applyBorder="1" applyAlignment="1">
      <alignment horizontal="center" wrapText="1"/>
    </xf>
    <xf numFmtId="0" fontId="22" fillId="0" borderId="0" xfId="0" applyFont="1"/>
    <xf numFmtId="0" fontId="24" fillId="0" borderId="19" xfId="0" applyFont="1" applyBorder="1"/>
    <xf numFmtId="0" fontId="24" fillId="0" borderId="0" xfId="0" applyFont="1"/>
    <xf numFmtId="0" fontId="23" fillId="0" borderId="0" xfId="0" applyFont="1"/>
    <xf numFmtId="0" fontId="23" fillId="0" borderId="19" xfId="0" applyFont="1" applyBorder="1" applyAlignment="1">
      <alignment horizontal="center" vertical="center" wrapText="1"/>
    </xf>
    <xf numFmtId="0" fontId="23" fillId="0" borderId="19" xfId="0" applyFont="1" applyBorder="1"/>
    <xf numFmtId="0" fontId="24" fillId="0" borderId="19" xfId="0" applyFont="1" applyBorder="1" applyAlignment="1">
      <alignment horizontal="left" vertical="top" wrapText="1"/>
    </xf>
    <xf numFmtId="0" fontId="22" fillId="0" borderId="19" xfId="0" applyFont="1" applyBorder="1" applyAlignment="1">
      <alignment vertical="top"/>
    </xf>
    <xf numFmtId="0" fontId="22" fillId="0" borderId="19" xfId="0" applyFont="1" applyBorder="1" applyAlignment="1">
      <alignment horizontal="left" vertical="center"/>
    </xf>
    <xf numFmtId="0" fontId="1" fillId="3" borderId="8" xfId="0" applyFont="1" applyFill="1" applyBorder="1" applyAlignment="1">
      <alignment horizontal="center" vertical="center"/>
    </xf>
    <xf numFmtId="0" fontId="1" fillId="3" borderId="9"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9" xfId="0" applyFont="1" applyFill="1" applyBorder="1" applyAlignment="1">
      <alignment horizontal="center" vertical="center"/>
    </xf>
    <xf numFmtId="0" fontId="13" fillId="7" borderId="21" xfId="0" applyFont="1" applyFill="1" applyBorder="1" applyAlignment="1">
      <alignment horizontal="center"/>
    </xf>
    <xf numFmtId="0" fontId="13" fillId="7" borderId="22" xfId="0" applyFont="1" applyFill="1" applyBorder="1" applyAlignment="1">
      <alignment horizontal="center"/>
    </xf>
    <xf numFmtId="0" fontId="10" fillId="6" borderId="19" xfId="0" applyFont="1" applyFill="1" applyBorder="1" applyAlignment="1">
      <alignment horizontal="center" vertical="center"/>
    </xf>
    <xf numFmtId="0" fontId="1" fillId="0" borderId="19" xfId="0" applyFont="1" applyBorder="1" applyAlignment="1">
      <alignment horizontal="center" vertical="center"/>
    </xf>
    <xf numFmtId="0" fontId="0" fillId="0" borderId="19" xfId="0" applyBorder="1" applyAlignment="1">
      <alignment horizontal="center" vertical="center" wrapText="1"/>
    </xf>
    <xf numFmtId="0" fontId="0" fillId="0" borderId="19" xfId="0" applyBorder="1" applyAlignment="1">
      <alignment horizontal="center"/>
    </xf>
    <xf numFmtId="0" fontId="14" fillId="9" borderId="19" xfId="0" applyFont="1" applyFill="1" applyBorder="1" applyAlignment="1">
      <alignment horizontal="center"/>
    </xf>
    <xf numFmtId="0" fontId="15" fillId="9" borderId="19" xfId="0" applyFont="1" applyFill="1" applyBorder="1" applyAlignment="1">
      <alignment horizontal="center"/>
    </xf>
    <xf numFmtId="0" fontId="14" fillId="9" borderId="19" xfId="0" applyFont="1" applyFill="1" applyBorder="1" applyAlignment="1">
      <alignment horizontal="center" vertical="center"/>
    </xf>
    <xf numFmtId="0" fontId="21" fillId="9" borderId="19" xfId="0" applyFont="1" applyFill="1" applyBorder="1" applyAlignment="1">
      <alignment horizontal="center"/>
    </xf>
    <xf numFmtId="0" fontId="22" fillId="0" borderId="19" xfId="0" applyFont="1" applyBorder="1" applyAlignment="1">
      <alignment horizontal="center"/>
    </xf>
    <xf numFmtId="0" fontId="25" fillId="6" borderId="19" xfId="0" applyFont="1" applyFill="1" applyBorder="1" applyAlignment="1">
      <alignment horizontal="center" vertical="center"/>
    </xf>
    <xf numFmtId="0" fontId="20" fillId="7" borderId="21" xfId="0" applyFont="1" applyFill="1" applyBorder="1" applyAlignment="1">
      <alignment horizontal="center"/>
    </xf>
    <xf numFmtId="0" fontId="20" fillId="7" borderId="22" xfId="0" applyFont="1" applyFill="1" applyBorder="1" applyAlignment="1">
      <alignment horizontal="center"/>
    </xf>
    <xf numFmtId="0" fontId="21" fillId="9" borderId="19" xfId="0" applyFont="1" applyFill="1" applyBorder="1" applyAlignment="1">
      <alignment horizontal="center" vertical="center"/>
    </xf>
    <xf numFmtId="0" fontId="23" fillId="0" borderId="19" xfId="0" applyFont="1" applyBorder="1" applyAlignment="1">
      <alignment horizontal="center" vertical="center"/>
    </xf>
    <xf numFmtId="0" fontId="23" fillId="0" borderId="19" xfId="0" applyFont="1" applyBorder="1" applyAlignment="1">
      <alignment horizontal="center" vertical="center" wrapText="1"/>
    </xf>
    <xf numFmtId="0" fontId="20" fillId="8" borderId="25" xfId="0" applyFont="1" applyFill="1" applyBorder="1" applyAlignment="1">
      <alignment horizontal="center" wrapText="1"/>
    </xf>
    <xf numFmtId="0" fontId="20" fillId="8" borderId="26" xfId="0" applyFont="1" applyFill="1" applyBorder="1" applyAlignment="1">
      <alignment horizontal="center" wrapText="1"/>
    </xf>
    <xf numFmtId="0" fontId="21" fillId="9" borderId="20" xfId="0" applyFont="1" applyFill="1" applyBorder="1" applyAlignment="1">
      <alignment horizontal="center" vertical="center"/>
    </xf>
    <xf numFmtId="0" fontId="21" fillId="9" borderId="23" xfId="0" applyFont="1" applyFill="1" applyBorder="1" applyAlignment="1">
      <alignment horizontal="center" vertical="center"/>
    </xf>
    <xf numFmtId="0" fontId="21" fillId="9" borderId="24" xfId="0" applyFont="1" applyFill="1" applyBorder="1" applyAlignment="1">
      <alignment horizontal="center" vertical="center"/>
    </xf>
    <xf numFmtId="0" fontId="20" fillId="8" borderId="25" xfId="0" applyFont="1" applyFill="1" applyBorder="1" applyAlignment="1">
      <alignment horizontal="center"/>
    </xf>
    <xf numFmtId="0" fontId="20" fillId="8" borderId="26" xfId="0" applyFont="1" applyFill="1" applyBorder="1" applyAlignment="1">
      <alignment horizontal="center"/>
    </xf>
    <xf numFmtId="0" fontId="23" fillId="0" borderId="20"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9" fillId="12" borderId="19" xfId="0" applyFont="1" applyFill="1" applyBorder="1" applyAlignment="1">
      <alignment horizontal="right" vertical="center"/>
    </xf>
    <xf numFmtId="0" fontId="29" fillId="12" borderId="19" xfId="0" applyFont="1" applyFill="1" applyBorder="1" applyAlignment="1">
      <alignment horizontal="center" vertical="center"/>
    </xf>
  </cellXfs>
  <cellStyles count="1">
    <cellStyle name="Normal" xfId="0" builtinId="0"/>
  </cellStyles>
  <dxfs count="10">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5E11D-7F8B-44FF-BD5A-389CF3D23D53}">
  <dimension ref="A1:A236"/>
  <sheetViews>
    <sheetView workbookViewId="0">
      <selection activeCell="B246" sqref="B246"/>
    </sheetView>
  </sheetViews>
  <sheetFormatPr defaultRowHeight="14.5"/>
  <cols>
    <col min="1" max="1" width="90.26953125" customWidth="1"/>
    <col min="2" max="2" width="49.453125" customWidth="1"/>
  </cols>
  <sheetData>
    <row r="1" spans="1:1">
      <c r="A1" s="1"/>
    </row>
    <row r="2" spans="1:1">
      <c r="A2" s="2" t="s">
        <v>0</v>
      </c>
    </row>
    <row r="3" spans="1:1">
      <c r="A3" s="3" t="s">
        <v>1</v>
      </c>
    </row>
    <row r="4" spans="1:1">
      <c r="A4" s="3" t="s">
        <v>2</v>
      </c>
    </row>
    <row r="5" spans="1:1">
      <c r="A5" s="3" t="s">
        <v>3</v>
      </c>
    </row>
    <row r="6" spans="1:1">
      <c r="A6" s="3" t="s">
        <v>4</v>
      </c>
    </row>
    <row r="7" spans="1:1">
      <c r="A7" s="3" t="s">
        <v>5</v>
      </c>
    </row>
    <row r="8" spans="1:1">
      <c r="A8" s="3" t="s">
        <v>6</v>
      </c>
    </row>
    <row r="9" spans="1:1">
      <c r="A9" s="4" t="s">
        <v>7</v>
      </c>
    </row>
    <row r="10" spans="1:1" ht="15" thickBot="1">
      <c r="A10" s="5"/>
    </row>
    <row r="11" spans="1:1">
      <c r="A11" s="3"/>
    </row>
    <row r="12" spans="1:1">
      <c r="A12" s="3" t="s">
        <v>8</v>
      </c>
    </row>
    <row r="13" spans="1:1">
      <c r="A13" s="6" t="s">
        <v>9</v>
      </c>
    </row>
    <row r="14" spans="1:1">
      <c r="A14" s="6" t="s">
        <v>10</v>
      </c>
    </row>
    <row r="15" spans="1:1">
      <c r="A15" s="6" t="s">
        <v>11</v>
      </c>
    </row>
    <row r="16" spans="1:1">
      <c r="A16" s="7" t="s">
        <v>12</v>
      </c>
    </row>
    <row r="17" spans="1:1">
      <c r="A17" s="8"/>
    </row>
    <row r="18" spans="1:1">
      <c r="A18" s="3" t="s">
        <v>13</v>
      </c>
    </row>
    <row r="19" spans="1:1">
      <c r="A19" s="3"/>
    </row>
    <row r="20" spans="1:1">
      <c r="A20" s="3"/>
    </row>
    <row r="21" spans="1:1">
      <c r="A21" s="3"/>
    </row>
    <row r="22" spans="1:1">
      <c r="A22" s="3" t="s">
        <v>14</v>
      </c>
    </row>
    <row r="23" spans="1:1">
      <c r="A23" s="3"/>
    </row>
    <row r="24" spans="1:1">
      <c r="A24" s="3" t="s">
        <v>15</v>
      </c>
    </row>
    <row r="25" spans="1:1">
      <c r="A25" s="9" t="s">
        <v>16</v>
      </c>
    </row>
    <row r="26" spans="1:1">
      <c r="A26" s="10"/>
    </row>
    <row r="27" spans="1:1" ht="15" thickBot="1">
      <c r="A27" s="3" t="s">
        <v>17</v>
      </c>
    </row>
    <row r="28" spans="1:1">
      <c r="A28" s="11" t="s">
        <v>18</v>
      </c>
    </row>
    <row r="29" spans="1:1">
      <c r="A29" s="12" t="s">
        <v>19</v>
      </c>
    </row>
    <row r="30" spans="1:1">
      <c r="A30" s="12" t="s">
        <v>20</v>
      </c>
    </row>
    <row r="31" spans="1:1">
      <c r="A31" s="12" t="s">
        <v>21</v>
      </c>
    </row>
    <row r="32" spans="1:1" ht="15" thickBot="1">
      <c r="A32" s="13"/>
    </row>
    <row r="33" spans="1:1">
      <c r="A33" s="3" t="s">
        <v>22</v>
      </c>
    </row>
    <row r="34" spans="1:1">
      <c r="A34" s="3" t="s">
        <v>23</v>
      </c>
    </row>
    <row r="35" spans="1:1">
      <c r="A35" s="3" t="s">
        <v>24</v>
      </c>
    </row>
    <row r="36" spans="1:1">
      <c r="A36" s="3"/>
    </row>
    <row r="37" spans="1:1">
      <c r="A37" s="3"/>
    </row>
    <row r="38" spans="1:1">
      <c r="A38" s="3" t="s">
        <v>25</v>
      </c>
    </row>
    <row r="39" spans="1:1">
      <c r="A39" s="3" t="s">
        <v>26</v>
      </c>
    </row>
    <row r="40" spans="1:1">
      <c r="A40" s="3" t="s">
        <v>24</v>
      </c>
    </row>
    <row r="41" spans="1:1">
      <c r="A41" s="3"/>
    </row>
    <row r="42" spans="1:1">
      <c r="A42" s="3"/>
    </row>
    <row r="43" spans="1:1">
      <c r="A43" s="3" t="s">
        <v>27</v>
      </c>
    </row>
    <row r="44" spans="1:1">
      <c r="A44" s="3" t="s">
        <v>28</v>
      </c>
    </row>
    <row r="45" spans="1:1">
      <c r="A45" s="3" t="s">
        <v>24</v>
      </c>
    </row>
    <row r="46" spans="1:1" ht="15" thickBot="1">
      <c r="A46" s="3"/>
    </row>
    <row r="47" spans="1:1" ht="15" thickBot="1">
      <c r="A47" s="14" t="s">
        <v>29</v>
      </c>
    </row>
    <row r="48" spans="1:1">
      <c r="A48" s="3"/>
    </row>
    <row r="49" spans="1:1">
      <c r="A49" s="3"/>
    </row>
    <row r="50" spans="1:1" ht="15" thickBot="1">
      <c r="A50" s="3"/>
    </row>
    <row r="51" spans="1:1">
      <c r="A51" s="11" t="s">
        <v>30</v>
      </c>
    </row>
    <row r="52" spans="1:1">
      <c r="A52" s="12" t="s">
        <v>19</v>
      </c>
    </row>
    <row r="53" spans="1:1">
      <c r="A53" s="12" t="s">
        <v>20</v>
      </c>
    </row>
    <row r="54" spans="1:1" ht="15" thickBot="1">
      <c r="A54" s="13" t="s">
        <v>21</v>
      </c>
    </row>
    <row r="55" spans="1:1">
      <c r="A55" s="3"/>
    </row>
    <row r="56" spans="1:1">
      <c r="A56" s="3" t="s">
        <v>31</v>
      </c>
    </row>
    <row r="57" spans="1:1">
      <c r="A57" s="3" t="s">
        <v>32</v>
      </c>
    </row>
    <row r="58" spans="1:1">
      <c r="A58" s="3" t="s">
        <v>24</v>
      </c>
    </row>
    <row r="59" spans="1:1">
      <c r="A59" s="3"/>
    </row>
    <row r="60" spans="1:1">
      <c r="A60" s="3"/>
    </row>
    <row r="61" spans="1:1">
      <c r="A61" s="3" t="s">
        <v>33</v>
      </c>
    </row>
    <row r="62" spans="1:1">
      <c r="A62" s="3" t="s">
        <v>34</v>
      </c>
    </row>
    <row r="63" spans="1:1">
      <c r="A63" s="3" t="s">
        <v>24</v>
      </c>
    </row>
    <row r="64" spans="1:1" ht="15" thickBot="1">
      <c r="A64" s="3"/>
    </row>
    <row r="65" spans="1:1" ht="15" thickBot="1">
      <c r="A65" s="14" t="s">
        <v>35</v>
      </c>
    </row>
    <row r="66" spans="1:1">
      <c r="A66" s="3"/>
    </row>
    <row r="67" spans="1:1">
      <c r="A67" s="3"/>
    </row>
    <row r="68" spans="1:1" ht="15" thickBot="1">
      <c r="A68" s="3"/>
    </row>
    <row r="69" spans="1:1">
      <c r="A69" s="11" t="s">
        <v>36</v>
      </c>
    </row>
    <row r="70" spans="1:1">
      <c r="A70" s="12" t="s">
        <v>19</v>
      </c>
    </row>
    <row r="71" spans="1:1">
      <c r="A71" s="12" t="s">
        <v>20</v>
      </c>
    </row>
    <row r="72" spans="1:1" ht="15" thickBot="1">
      <c r="A72" s="13" t="s">
        <v>21</v>
      </c>
    </row>
    <row r="73" spans="1:1">
      <c r="A73" s="3"/>
    </row>
    <row r="74" spans="1:1">
      <c r="A74" s="3" t="s">
        <v>37</v>
      </c>
    </row>
    <row r="75" spans="1:1">
      <c r="A75" s="3" t="s">
        <v>38</v>
      </c>
    </row>
    <row r="76" spans="1:1">
      <c r="A76" s="3" t="s">
        <v>39</v>
      </c>
    </row>
    <row r="77" spans="1:1">
      <c r="A77" s="3"/>
    </row>
    <row r="78" spans="1:1" ht="15" thickBot="1">
      <c r="A78" s="3"/>
    </row>
    <row r="79" spans="1:1" ht="15" thickBot="1">
      <c r="A79" s="14" t="s">
        <v>40</v>
      </c>
    </row>
    <row r="80" spans="1:1">
      <c r="A80" s="3"/>
    </row>
    <row r="81" spans="1:1">
      <c r="A81" s="3"/>
    </row>
    <row r="82" spans="1:1" ht="15" thickBot="1">
      <c r="A82" s="3"/>
    </row>
    <row r="83" spans="1:1">
      <c r="A83" s="11" t="s">
        <v>41</v>
      </c>
    </row>
    <row r="84" spans="1:1">
      <c r="A84" s="12" t="s">
        <v>19</v>
      </c>
    </row>
    <row r="85" spans="1:1">
      <c r="A85" s="12" t="s">
        <v>42</v>
      </c>
    </row>
    <row r="86" spans="1:1" ht="15" thickBot="1">
      <c r="A86" s="13" t="s">
        <v>21</v>
      </c>
    </row>
    <row r="87" spans="1:1">
      <c r="A87" s="3"/>
    </row>
    <row r="88" spans="1:1">
      <c r="A88" s="3" t="s">
        <v>43</v>
      </c>
    </row>
    <row r="89" spans="1:1">
      <c r="A89" s="3" t="s">
        <v>44</v>
      </c>
    </row>
    <row r="90" spans="1:1">
      <c r="A90" s="3" t="s">
        <v>45</v>
      </c>
    </row>
    <row r="91" spans="1:1">
      <c r="A91" s="3"/>
    </row>
    <row r="92" spans="1:1">
      <c r="A92" s="3"/>
    </row>
    <row r="93" spans="1:1">
      <c r="A93" s="3" t="s">
        <v>46</v>
      </c>
    </row>
    <row r="94" spans="1:1">
      <c r="A94" s="3" t="s">
        <v>44</v>
      </c>
    </row>
    <row r="95" spans="1:1">
      <c r="A95" s="3" t="s">
        <v>47</v>
      </c>
    </row>
    <row r="96" spans="1:1">
      <c r="A96" s="3"/>
    </row>
    <row r="97" spans="1:1">
      <c r="A97" s="3"/>
    </row>
    <row r="98" spans="1:1">
      <c r="A98" s="3" t="s">
        <v>48</v>
      </c>
    </row>
    <row r="99" spans="1:1">
      <c r="A99" s="3" t="s">
        <v>44</v>
      </c>
    </row>
    <row r="100" spans="1:1">
      <c r="A100" s="3" t="s">
        <v>45</v>
      </c>
    </row>
    <row r="101" spans="1:1">
      <c r="A101" s="3"/>
    </row>
    <row r="102" spans="1:1">
      <c r="A102" s="3"/>
    </row>
    <row r="103" spans="1:1">
      <c r="A103" s="3" t="s">
        <v>49</v>
      </c>
    </row>
    <row r="104" spans="1:1">
      <c r="A104" s="3" t="s">
        <v>44</v>
      </c>
    </row>
    <row r="105" spans="1:1">
      <c r="A105" s="3" t="s">
        <v>47</v>
      </c>
    </row>
    <row r="106" spans="1:1">
      <c r="A106" s="3"/>
    </row>
    <row r="107" spans="1:1">
      <c r="A107" s="3"/>
    </row>
    <row r="108" spans="1:1">
      <c r="A108" s="3" t="s">
        <v>50</v>
      </c>
    </row>
    <row r="109" spans="1:1">
      <c r="A109" s="3" t="s">
        <v>44</v>
      </c>
    </row>
    <row r="110" spans="1:1">
      <c r="A110" s="3" t="s">
        <v>45</v>
      </c>
    </row>
    <row r="111" spans="1:1">
      <c r="A111" s="3"/>
    </row>
    <row r="112" spans="1:1">
      <c r="A112" s="3"/>
    </row>
    <row r="113" spans="1:1">
      <c r="A113" s="3" t="s">
        <v>51</v>
      </c>
    </row>
    <row r="114" spans="1:1">
      <c r="A114" s="3" t="s">
        <v>44</v>
      </c>
    </row>
    <row r="115" spans="1:1">
      <c r="A115" s="3" t="s">
        <v>47</v>
      </c>
    </row>
    <row r="116" spans="1:1">
      <c r="A116" s="3"/>
    </row>
    <row r="117" spans="1:1" ht="15" thickBot="1">
      <c r="A117" s="3"/>
    </row>
    <row r="118" spans="1:1" ht="15" thickBot="1">
      <c r="A118" s="14" t="s">
        <v>52</v>
      </c>
    </row>
    <row r="119" spans="1:1">
      <c r="A119" s="3"/>
    </row>
    <row r="120" spans="1:1">
      <c r="A120" s="3"/>
    </row>
    <row r="121" spans="1:1" ht="15" thickBot="1">
      <c r="A121" s="3"/>
    </row>
    <row r="122" spans="1:1">
      <c r="A122" s="11" t="s">
        <v>53</v>
      </c>
    </row>
    <row r="123" spans="1:1">
      <c r="A123" s="12" t="s">
        <v>19</v>
      </c>
    </row>
    <row r="124" spans="1:1">
      <c r="A124" s="12" t="s">
        <v>54</v>
      </c>
    </row>
    <row r="125" spans="1:1" ht="15" thickBot="1">
      <c r="A125" s="13" t="s">
        <v>21</v>
      </c>
    </row>
    <row r="126" spans="1:1">
      <c r="A126" s="3"/>
    </row>
    <row r="127" spans="1:1">
      <c r="A127" s="3" t="s">
        <v>55</v>
      </c>
    </row>
    <row r="128" spans="1:1">
      <c r="A128" s="3" t="s">
        <v>44</v>
      </c>
    </row>
    <row r="129" spans="1:1">
      <c r="A129" s="3" t="s">
        <v>56</v>
      </c>
    </row>
    <row r="130" spans="1:1">
      <c r="A130" s="3"/>
    </row>
    <row r="131" spans="1:1">
      <c r="A131" s="3"/>
    </row>
    <row r="132" spans="1:1">
      <c r="A132" s="3" t="s">
        <v>57</v>
      </c>
    </row>
    <row r="133" spans="1:1">
      <c r="A133" s="3" t="s">
        <v>44</v>
      </c>
    </row>
    <row r="134" spans="1:1">
      <c r="A134" s="3" t="s">
        <v>47</v>
      </c>
    </row>
    <row r="135" spans="1:1">
      <c r="A135" s="3"/>
    </row>
    <row r="136" spans="1:1">
      <c r="A136" s="3"/>
    </row>
    <row r="137" spans="1:1">
      <c r="A137" s="3" t="s">
        <v>58</v>
      </c>
    </row>
    <row r="138" spans="1:1">
      <c r="A138" s="3" t="s">
        <v>59</v>
      </c>
    </row>
    <row r="139" spans="1:1">
      <c r="A139" s="3" t="s">
        <v>60</v>
      </c>
    </row>
    <row r="140" spans="1:1">
      <c r="A140" s="10"/>
    </row>
    <row r="141" spans="1:1">
      <c r="A141" s="10"/>
    </row>
    <row r="142" spans="1:1">
      <c r="A142" s="3" t="s">
        <v>61</v>
      </c>
    </row>
    <row r="143" spans="1:1">
      <c r="A143" s="3" t="s">
        <v>62</v>
      </c>
    </row>
    <row r="144" spans="1:1">
      <c r="A144" s="3" t="s">
        <v>63</v>
      </c>
    </row>
    <row r="145" spans="1:1">
      <c r="A145" s="10"/>
    </row>
    <row r="146" spans="1:1">
      <c r="A146" s="10"/>
    </row>
    <row r="147" spans="1:1">
      <c r="A147" s="3" t="s">
        <v>61</v>
      </c>
    </row>
    <row r="148" spans="1:1">
      <c r="A148" s="3" t="s">
        <v>64</v>
      </c>
    </row>
    <row r="149" spans="1:1">
      <c r="A149" s="3" t="s">
        <v>65</v>
      </c>
    </row>
    <row r="150" spans="1:1">
      <c r="A150" s="3"/>
    </row>
    <row r="151" spans="1:1">
      <c r="A151" s="3"/>
    </row>
    <row r="152" spans="1:1">
      <c r="A152" s="3" t="s">
        <v>61</v>
      </c>
    </row>
    <row r="153" spans="1:1">
      <c r="A153" s="3" t="s">
        <v>66</v>
      </c>
    </row>
    <row r="154" spans="1:1">
      <c r="A154" s="3" t="s">
        <v>60</v>
      </c>
    </row>
    <row r="155" spans="1:1">
      <c r="A155" s="3"/>
    </row>
    <row r="156" spans="1:1">
      <c r="A156" s="15"/>
    </row>
    <row r="157" spans="1:1">
      <c r="A157" s="3" t="s">
        <v>61</v>
      </c>
    </row>
    <row r="158" spans="1:1">
      <c r="A158" s="3" t="s">
        <v>67</v>
      </c>
    </row>
    <row r="159" spans="1:1">
      <c r="A159" s="3" t="s">
        <v>65</v>
      </c>
    </row>
    <row r="160" spans="1:1">
      <c r="A160" s="10"/>
    </row>
    <row r="161" spans="1:1">
      <c r="A161" s="10"/>
    </row>
    <row r="162" spans="1:1">
      <c r="A162" s="3" t="s">
        <v>61</v>
      </c>
    </row>
    <row r="163" spans="1:1">
      <c r="A163" s="3" t="s">
        <v>68</v>
      </c>
    </row>
    <row r="164" spans="1:1">
      <c r="A164" s="3" t="s">
        <v>65</v>
      </c>
    </row>
    <row r="165" spans="1:1">
      <c r="A165" s="10"/>
    </row>
    <row r="166" spans="1:1">
      <c r="A166" s="10"/>
    </row>
    <row r="167" spans="1:1">
      <c r="A167" s="3" t="s">
        <v>69</v>
      </c>
    </row>
    <row r="168" spans="1:1">
      <c r="A168" s="3" t="s">
        <v>44</v>
      </c>
    </row>
    <row r="169" spans="1:1">
      <c r="A169" s="3" t="s">
        <v>47</v>
      </c>
    </row>
    <row r="170" spans="1:1">
      <c r="A170" s="10"/>
    </row>
    <row r="171" spans="1:1">
      <c r="A171" s="10"/>
    </row>
    <row r="172" spans="1:1">
      <c r="A172" s="3" t="s">
        <v>70</v>
      </c>
    </row>
    <row r="173" spans="1:1">
      <c r="A173" s="3" t="s">
        <v>44</v>
      </c>
    </row>
    <row r="174" spans="1:1">
      <c r="A174" s="3" t="s">
        <v>71</v>
      </c>
    </row>
    <row r="175" spans="1:1">
      <c r="A175" s="3"/>
    </row>
    <row r="176" spans="1:1">
      <c r="A176" s="3"/>
    </row>
    <row r="177" spans="1:1">
      <c r="A177" s="3" t="s">
        <v>72</v>
      </c>
    </row>
    <row r="178" spans="1:1">
      <c r="A178" s="3" t="s">
        <v>44</v>
      </c>
    </row>
    <row r="179" spans="1:1">
      <c r="A179" s="3" t="s">
        <v>73</v>
      </c>
    </row>
    <row r="180" spans="1:1">
      <c r="A180" s="3"/>
    </row>
    <row r="181" spans="1:1">
      <c r="A181" s="3"/>
    </row>
    <row r="182" spans="1:1">
      <c r="A182" s="3" t="s">
        <v>74</v>
      </c>
    </row>
    <row r="183" spans="1:1">
      <c r="A183" s="3" t="s">
        <v>44</v>
      </c>
    </row>
    <row r="184" spans="1:1">
      <c r="A184" s="3" t="s">
        <v>73</v>
      </c>
    </row>
    <row r="185" spans="1:1">
      <c r="A185" s="3"/>
    </row>
    <row r="186" spans="1:1">
      <c r="A186" s="3"/>
    </row>
    <row r="187" spans="1:1">
      <c r="A187" s="3" t="s">
        <v>75</v>
      </c>
    </row>
    <row r="188" spans="1:1">
      <c r="A188" s="3" t="s">
        <v>44</v>
      </c>
    </row>
    <row r="189" spans="1:1">
      <c r="A189" s="3" t="s">
        <v>56</v>
      </c>
    </row>
    <row r="190" spans="1:1">
      <c r="A190" s="3"/>
    </row>
    <row r="191" spans="1:1">
      <c r="A191" s="3"/>
    </row>
    <row r="192" spans="1:1">
      <c r="A192" s="3"/>
    </row>
    <row r="193" spans="1:1">
      <c r="A193" s="3"/>
    </row>
    <row r="194" spans="1:1">
      <c r="A194" s="3" t="s">
        <v>76</v>
      </c>
    </row>
    <row r="195" spans="1:1">
      <c r="A195" s="3" t="s">
        <v>44</v>
      </c>
    </row>
    <row r="196" spans="1:1">
      <c r="A196" s="3" t="s">
        <v>47</v>
      </c>
    </row>
    <row r="197" spans="1:1">
      <c r="A197" s="3"/>
    </row>
    <row r="198" spans="1:1">
      <c r="A198" s="3"/>
    </row>
    <row r="199" spans="1:1">
      <c r="A199" s="3" t="s">
        <v>77</v>
      </c>
    </row>
    <row r="200" spans="1:1">
      <c r="A200" s="3" t="s">
        <v>44</v>
      </c>
    </row>
    <row r="201" spans="1:1">
      <c r="A201" s="3" t="s">
        <v>78</v>
      </c>
    </row>
    <row r="202" spans="1:1">
      <c r="A202" s="3"/>
    </row>
    <row r="203" spans="1:1">
      <c r="A203" s="3"/>
    </row>
    <row r="204" spans="1:1">
      <c r="A204" s="3" t="s">
        <v>79</v>
      </c>
    </row>
    <row r="205" spans="1:1">
      <c r="A205" s="3" t="s">
        <v>44</v>
      </c>
    </row>
    <row r="206" spans="1:1">
      <c r="A206" s="3" t="s">
        <v>47</v>
      </c>
    </row>
    <row r="207" spans="1:1">
      <c r="A207" s="3"/>
    </row>
    <row r="208" spans="1:1" ht="15" thickBot="1">
      <c r="A208" s="3"/>
    </row>
    <row r="209" spans="1:1" ht="15" thickBot="1">
      <c r="A209" s="14" t="s">
        <v>80</v>
      </c>
    </row>
    <row r="210" spans="1:1">
      <c r="A210" s="3"/>
    </row>
    <row r="211" spans="1:1">
      <c r="A211" s="3"/>
    </row>
    <row r="212" spans="1:1" ht="15" thickBot="1">
      <c r="A212" s="3"/>
    </row>
    <row r="213" spans="1:1">
      <c r="A213" s="11" t="s">
        <v>81</v>
      </c>
    </row>
    <row r="214" spans="1:1">
      <c r="A214" s="12" t="s">
        <v>19</v>
      </c>
    </row>
    <row r="215" spans="1:1">
      <c r="A215" s="12" t="s">
        <v>20</v>
      </c>
    </row>
    <row r="216" spans="1:1" ht="15" thickBot="1">
      <c r="A216" s="13" t="s">
        <v>21</v>
      </c>
    </row>
    <row r="217" spans="1:1">
      <c r="A217" s="3"/>
    </row>
    <row r="218" spans="1:1">
      <c r="A218" s="3"/>
    </row>
    <row r="219" spans="1:1">
      <c r="A219" s="3" t="s">
        <v>82</v>
      </c>
    </row>
    <row r="220" spans="1:1">
      <c r="A220" s="3" t="s">
        <v>83</v>
      </c>
    </row>
    <row r="221" spans="1:1">
      <c r="A221" s="3" t="s">
        <v>24</v>
      </c>
    </row>
    <row r="222" spans="1:1">
      <c r="A222" s="3"/>
    </row>
    <row r="223" spans="1:1">
      <c r="A223" s="3"/>
    </row>
    <row r="224" spans="1:1">
      <c r="A224" s="3" t="s">
        <v>84</v>
      </c>
    </row>
    <row r="225" spans="1:1">
      <c r="A225" s="3" t="s">
        <v>85</v>
      </c>
    </row>
    <row r="226" spans="1:1">
      <c r="A226" s="3" t="s">
        <v>83</v>
      </c>
    </row>
    <row r="227" spans="1:1">
      <c r="A227" s="3" t="s">
        <v>24</v>
      </c>
    </row>
    <row r="228" spans="1:1">
      <c r="A228" s="3"/>
    </row>
    <row r="229" spans="1:1">
      <c r="A229" s="3"/>
    </row>
    <row r="230" spans="1:1">
      <c r="A230" s="3" t="s">
        <v>86</v>
      </c>
    </row>
    <row r="231" spans="1:1">
      <c r="A231" s="3" t="s">
        <v>87</v>
      </c>
    </row>
    <row r="232" spans="1:1">
      <c r="A232" s="3" t="s">
        <v>83</v>
      </c>
    </row>
    <row r="233" spans="1:1">
      <c r="A233" s="3" t="s">
        <v>24</v>
      </c>
    </row>
    <row r="234" spans="1:1">
      <c r="A234" s="3"/>
    </row>
    <row r="235" spans="1:1" ht="15" thickBot="1">
      <c r="A235" s="3"/>
    </row>
    <row r="236" spans="1:1" ht="15" thickBot="1">
      <c r="A236" s="14" t="s">
        <v>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72F0D-9FD8-4FD1-AF20-2137FB976AEC}">
  <dimension ref="A1:B135"/>
  <sheetViews>
    <sheetView topLeftCell="A60" workbookViewId="0">
      <selection activeCell="B21" sqref="B21"/>
    </sheetView>
  </sheetViews>
  <sheetFormatPr defaultRowHeight="14.5"/>
  <cols>
    <col min="1" max="1" width="12.1796875" customWidth="1"/>
    <col min="2" max="2" width="123.26953125" customWidth="1"/>
    <col min="3" max="3" width="10.54296875" customWidth="1"/>
  </cols>
  <sheetData>
    <row r="1" spans="1:2" ht="26.15" customHeight="1" thickBot="1">
      <c r="A1" s="100" t="s">
        <v>99</v>
      </c>
      <c r="B1" s="101"/>
    </row>
    <row r="2" spans="1:2" ht="28.5" customHeight="1" thickBot="1">
      <c r="A2" s="18" t="s">
        <v>89</v>
      </c>
      <c r="B2" s="17" t="s">
        <v>90</v>
      </c>
    </row>
    <row r="3" spans="1:2">
      <c r="A3" s="27"/>
      <c r="B3" s="28" t="s">
        <v>104</v>
      </c>
    </row>
    <row r="4" spans="1:2">
      <c r="A4" s="29">
        <v>12</v>
      </c>
      <c r="B4" s="23" t="s">
        <v>91</v>
      </c>
    </row>
    <row r="5" spans="1:2">
      <c r="A5" s="29">
        <v>0</v>
      </c>
      <c r="B5" s="23" t="s">
        <v>92</v>
      </c>
    </row>
    <row r="6" spans="1:2">
      <c r="A6" s="29"/>
      <c r="B6" s="16" t="s">
        <v>105</v>
      </c>
    </row>
    <row r="7" spans="1:2">
      <c r="A7" s="29">
        <v>0</v>
      </c>
      <c r="B7" s="23" t="s">
        <v>93</v>
      </c>
    </row>
    <row r="8" spans="1:2">
      <c r="A8" s="29">
        <v>0</v>
      </c>
      <c r="B8" s="23" t="s">
        <v>94</v>
      </c>
    </row>
    <row r="9" spans="1:2">
      <c r="A9" s="29">
        <v>0</v>
      </c>
      <c r="B9" s="23" t="s">
        <v>95</v>
      </c>
    </row>
    <row r="10" spans="1:2" ht="45" customHeight="1">
      <c r="A10" s="29">
        <v>0</v>
      </c>
      <c r="B10" s="30" t="s">
        <v>96</v>
      </c>
    </row>
    <row r="11" spans="1:2">
      <c r="A11" s="29"/>
      <c r="B11" s="16" t="s">
        <v>106</v>
      </c>
    </row>
    <row r="12" spans="1:2">
      <c r="A12" s="29">
        <v>1</v>
      </c>
      <c r="B12" s="23" t="s">
        <v>91</v>
      </c>
    </row>
    <row r="13" spans="1:2">
      <c r="A13" s="29">
        <v>0</v>
      </c>
      <c r="B13" s="23" t="s">
        <v>92</v>
      </c>
    </row>
    <row r="14" spans="1:2">
      <c r="A14" s="29"/>
      <c r="B14" s="16" t="s">
        <v>174</v>
      </c>
    </row>
    <row r="15" spans="1:2">
      <c r="A15" s="29"/>
      <c r="B15" s="23" t="s">
        <v>175</v>
      </c>
    </row>
    <row r="16" spans="1:2">
      <c r="A16" s="29"/>
      <c r="B16" s="16" t="s">
        <v>107</v>
      </c>
    </row>
    <row r="17" spans="1:2">
      <c r="A17" s="29">
        <v>12</v>
      </c>
      <c r="B17" s="23" t="s">
        <v>91</v>
      </c>
    </row>
    <row r="18" spans="1:2">
      <c r="A18" s="29">
        <v>0</v>
      </c>
      <c r="B18" s="23" t="s">
        <v>92</v>
      </c>
    </row>
    <row r="19" spans="1:2">
      <c r="A19" s="29"/>
      <c r="B19" s="16" t="s">
        <v>108</v>
      </c>
    </row>
    <row r="20" spans="1:2" ht="29">
      <c r="A20" s="29">
        <v>0</v>
      </c>
      <c r="B20" s="30" t="s">
        <v>97</v>
      </c>
    </row>
    <row r="21" spans="1:2">
      <c r="A21" s="29"/>
      <c r="B21" s="16" t="s">
        <v>109</v>
      </c>
    </row>
    <row r="22" spans="1:2">
      <c r="A22" s="29">
        <v>1</v>
      </c>
      <c r="B22" s="23" t="s">
        <v>91</v>
      </c>
    </row>
    <row r="23" spans="1:2">
      <c r="A23" s="29">
        <v>0</v>
      </c>
      <c r="B23" s="23" t="s">
        <v>92</v>
      </c>
    </row>
    <row r="24" spans="1:2">
      <c r="A24" s="29"/>
      <c r="B24" s="16" t="s">
        <v>110</v>
      </c>
    </row>
    <row r="25" spans="1:2">
      <c r="A25" s="29">
        <v>12</v>
      </c>
      <c r="B25" s="23" t="s">
        <v>91</v>
      </c>
    </row>
    <row r="26" spans="1:2">
      <c r="A26" s="29">
        <v>0</v>
      </c>
      <c r="B26" s="23" t="s">
        <v>92</v>
      </c>
    </row>
    <row r="27" spans="1:2">
      <c r="A27" s="29"/>
      <c r="B27" s="16" t="s">
        <v>111</v>
      </c>
    </row>
    <row r="28" spans="1:2" ht="101.5" customHeight="1">
      <c r="A28" s="29">
        <v>0</v>
      </c>
      <c r="B28" s="35" t="s">
        <v>132</v>
      </c>
    </row>
    <row r="29" spans="1:2" ht="49.5" customHeight="1">
      <c r="A29" s="29">
        <v>0</v>
      </c>
      <c r="B29" s="30" t="s">
        <v>98</v>
      </c>
    </row>
    <row r="30" spans="1:2" ht="15" customHeight="1">
      <c r="A30" s="29"/>
      <c r="B30" s="36" t="s">
        <v>112</v>
      </c>
    </row>
    <row r="31" spans="1:2" ht="15" customHeight="1">
      <c r="A31" s="29">
        <v>1</v>
      </c>
      <c r="B31" s="30" t="s">
        <v>91</v>
      </c>
    </row>
    <row r="32" spans="1:2" ht="16" customHeight="1" thickBot="1">
      <c r="A32" s="21">
        <v>0</v>
      </c>
      <c r="B32" s="22" t="s">
        <v>92</v>
      </c>
    </row>
    <row r="33" spans="1:2" ht="34" customHeight="1" thickBot="1">
      <c r="A33" s="100" t="s">
        <v>100</v>
      </c>
      <c r="B33" s="101"/>
    </row>
    <row r="34" spans="1:2" ht="36" customHeight="1" thickBot="1">
      <c r="A34" s="18" t="s">
        <v>101</v>
      </c>
      <c r="B34" s="19" t="s">
        <v>90</v>
      </c>
    </row>
    <row r="35" spans="1:2">
      <c r="A35" s="27"/>
      <c r="B35" s="28" t="s">
        <v>102</v>
      </c>
    </row>
    <row r="36" spans="1:2">
      <c r="A36" s="29">
        <v>5</v>
      </c>
      <c r="B36" s="23" t="s">
        <v>91</v>
      </c>
    </row>
    <row r="37" spans="1:2">
      <c r="A37" s="29">
        <v>0</v>
      </c>
      <c r="B37" s="23" t="s">
        <v>92</v>
      </c>
    </row>
    <row r="38" spans="1:2">
      <c r="A38" s="29"/>
      <c r="B38" s="16" t="s">
        <v>130</v>
      </c>
    </row>
    <row r="39" spans="1:2" ht="43.5">
      <c r="A39" s="29">
        <v>0</v>
      </c>
      <c r="B39" s="30" t="s">
        <v>131</v>
      </c>
    </row>
    <row r="40" spans="1:2">
      <c r="A40" s="29"/>
      <c r="B40" s="16" t="s">
        <v>103</v>
      </c>
    </row>
    <row r="41" spans="1:2">
      <c r="A41" s="29">
        <v>5</v>
      </c>
      <c r="B41" s="23" t="s">
        <v>91</v>
      </c>
    </row>
    <row r="42" spans="1:2">
      <c r="A42" s="29">
        <v>0</v>
      </c>
      <c r="B42" s="23" t="s">
        <v>92</v>
      </c>
    </row>
    <row r="43" spans="1:2">
      <c r="A43" s="37"/>
      <c r="B43" s="16" t="s">
        <v>113</v>
      </c>
    </row>
    <row r="44" spans="1:2">
      <c r="B44" s="16" t="s">
        <v>162</v>
      </c>
    </row>
    <row r="45" spans="1:2">
      <c r="A45" s="29">
        <v>4</v>
      </c>
      <c r="B45" s="23" t="s">
        <v>91</v>
      </c>
    </row>
    <row r="46" spans="1:2">
      <c r="A46" s="29">
        <v>0</v>
      </c>
      <c r="B46" s="23" t="s">
        <v>92</v>
      </c>
    </row>
    <row r="47" spans="1:2">
      <c r="A47" s="29"/>
      <c r="B47" s="16" t="s">
        <v>129</v>
      </c>
    </row>
    <row r="48" spans="1:2">
      <c r="A48" s="29"/>
      <c r="B48" s="23" t="s">
        <v>171</v>
      </c>
    </row>
    <row r="49" spans="1:2">
      <c r="A49" s="29"/>
      <c r="B49" s="23" t="s">
        <v>172</v>
      </c>
    </row>
    <row r="50" spans="1:2">
      <c r="A50" s="29"/>
      <c r="B50" s="20" t="s">
        <v>176</v>
      </c>
    </row>
    <row r="51" spans="1:2">
      <c r="A51" s="31"/>
      <c r="B51" s="20" t="s">
        <v>173</v>
      </c>
    </row>
    <row r="52" spans="1:2">
      <c r="A52" s="31"/>
      <c r="B52" s="16" t="s">
        <v>114</v>
      </c>
    </row>
    <row r="53" spans="1:2">
      <c r="A53" s="29">
        <v>3</v>
      </c>
      <c r="B53" s="23" t="s">
        <v>91</v>
      </c>
    </row>
    <row r="54" spans="1:2">
      <c r="A54" s="29">
        <v>0</v>
      </c>
      <c r="B54" s="23" t="s">
        <v>92</v>
      </c>
    </row>
    <row r="55" spans="1:2">
      <c r="A55" s="31"/>
      <c r="B55" s="16" t="s">
        <v>163</v>
      </c>
    </row>
    <row r="56" spans="1:2">
      <c r="A56" s="31">
        <v>1</v>
      </c>
      <c r="B56" s="23" t="s">
        <v>91</v>
      </c>
    </row>
    <row r="57" spans="1:2">
      <c r="A57" s="31">
        <v>0</v>
      </c>
      <c r="B57" s="23" t="s">
        <v>165</v>
      </c>
    </row>
    <row r="58" spans="1:2">
      <c r="A58" s="31"/>
      <c r="B58" s="16" t="s">
        <v>164</v>
      </c>
    </row>
    <row r="59" spans="1:2">
      <c r="A59" s="29">
        <v>4</v>
      </c>
      <c r="B59" s="23" t="s">
        <v>91</v>
      </c>
    </row>
    <row r="60" spans="1:2">
      <c r="A60" s="29">
        <v>0</v>
      </c>
      <c r="B60" s="23" t="s">
        <v>92</v>
      </c>
    </row>
    <row r="61" spans="1:2">
      <c r="A61" s="31"/>
      <c r="B61" s="16" t="s">
        <v>160</v>
      </c>
    </row>
    <row r="62" spans="1:2">
      <c r="A62" s="31">
        <v>1</v>
      </c>
      <c r="B62" s="23" t="s">
        <v>91</v>
      </c>
    </row>
    <row r="63" spans="1:2">
      <c r="A63" s="31">
        <v>0</v>
      </c>
      <c r="B63" s="23" t="s">
        <v>165</v>
      </c>
    </row>
    <row r="64" spans="1:2">
      <c r="A64" s="31"/>
      <c r="B64" s="16" t="s">
        <v>178</v>
      </c>
    </row>
    <row r="65" spans="1:2">
      <c r="A65" s="31">
        <v>1</v>
      </c>
      <c r="B65" s="23" t="s">
        <v>91</v>
      </c>
    </row>
    <row r="66" spans="1:2">
      <c r="A66" s="31">
        <v>0</v>
      </c>
      <c r="B66" s="23" t="s">
        <v>92</v>
      </c>
    </row>
    <row r="67" spans="1:2">
      <c r="A67" s="29"/>
      <c r="B67" s="16" t="s">
        <v>115</v>
      </c>
    </row>
    <row r="68" spans="1:2">
      <c r="A68" s="29">
        <v>1</v>
      </c>
      <c r="B68" s="23" t="s">
        <v>91</v>
      </c>
    </row>
    <row r="69" spans="1:2">
      <c r="A69" s="29">
        <v>0</v>
      </c>
      <c r="B69" s="23" t="s">
        <v>92</v>
      </c>
    </row>
    <row r="70" spans="1:2">
      <c r="A70" s="29"/>
      <c r="B70" s="16" t="s">
        <v>159</v>
      </c>
    </row>
    <row r="71" spans="1:2">
      <c r="A71" s="29"/>
      <c r="B71" s="23" t="s">
        <v>177</v>
      </c>
    </row>
    <row r="72" spans="1:2">
      <c r="A72" s="29"/>
      <c r="B72" s="23" t="s">
        <v>169</v>
      </c>
    </row>
    <row r="73" spans="1:2">
      <c r="A73" s="29"/>
      <c r="B73" s="23" t="s">
        <v>170</v>
      </c>
    </row>
    <row r="74" spans="1:2">
      <c r="A74" s="29"/>
      <c r="B74" s="16" t="s">
        <v>116</v>
      </c>
    </row>
    <row r="75" spans="1:2">
      <c r="A75" s="29">
        <v>5</v>
      </c>
      <c r="B75" s="23" t="s">
        <v>91</v>
      </c>
    </row>
    <row r="76" spans="1:2">
      <c r="A76" s="29">
        <v>0</v>
      </c>
      <c r="B76" s="23" t="s">
        <v>92</v>
      </c>
    </row>
    <row r="77" spans="1:2">
      <c r="A77" s="29"/>
      <c r="B77" s="16" t="s">
        <v>128</v>
      </c>
    </row>
    <row r="78" spans="1:2">
      <c r="A78" s="29">
        <v>0</v>
      </c>
      <c r="B78" s="32" t="s">
        <v>117</v>
      </c>
    </row>
    <row r="79" spans="1:2">
      <c r="A79" s="29">
        <v>0</v>
      </c>
      <c r="B79" s="32" t="s">
        <v>118</v>
      </c>
    </row>
    <row r="80" spans="1:2">
      <c r="A80" s="29">
        <v>0</v>
      </c>
      <c r="B80" s="32" t="s">
        <v>119</v>
      </c>
    </row>
    <row r="81" spans="1:2">
      <c r="A81" s="29">
        <v>0</v>
      </c>
      <c r="B81" s="32" t="s">
        <v>120</v>
      </c>
    </row>
    <row r="82" spans="1:2">
      <c r="A82" s="29">
        <v>0</v>
      </c>
      <c r="B82" s="33" t="s">
        <v>121</v>
      </c>
    </row>
    <row r="83" spans="1:2">
      <c r="A83" s="29"/>
      <c r="B83" s="16" t="s">
        <v>122</v>
      </c>
    </row>
    <row r="84" spans="1:2">
      <c r="A84" s="29">
        <v>5</v>
      </c>
      <c r="B84" s="23" t="s">
        <v>91</v>
      </c>
    </row>
    <row r="85" spans="1:2">
      <c r="A85" s="29">
        <v>0</v>
      </c>
      <c r="B85" s="23" t="s">
        <v>92</v>
      </c>
    </row>
    <row r="86" spans="1:2">
      <c r="A86" s="29"/>
      <c r="B86" s="16" t="s">
        <v>127</v>
      </c>
    </row>
    <row r="87" spans="1:2">
      <c r="A87" s="29"/>
      <c r="B87" s="32" t="s">
        <v>123</v>
      </c>
    </row>
    <row r="88" spans="1:2">
      <c r="A88" s="29"/>
      <c r="B88" s="32" t="s">
        <v>124</v>
      </c>
    </row>
    <row r="89" spans="1:2">
      <c r="A89" s="29"/>
      <c r="B89" s="32" t="s">
        <v>125</v>
      </c>
    </row>
    <row r="90" spans="1:2">
      <c r="A90" s="29"/>
      <c r="B90" s="32" t="s">
        <v>126</v>
      </c>
    </row>
    <row r="91" spans="1:2">
      <c r="A91" s="29"/>
      <c r="B91" s="16" t="s">
        <v>133</v>
      </c>
    </row>
    <row r="92" spans="1:2">
      <c r="A92" s="29">
        <v>1</v>
      </c>
      <c r="B92" s="23" t="s">
        <v>91</v>
      </c>
    </row>
    <row r="93" spans="1:2">
      <c r="A93" s="29">
        <v>0</v>
      </c>
      <c r="B93" s="23" t="s">
        <v>92</v>
      </c>
    </row>
    <row r="94" spans="1:2">
      <c r="A94" s="29"/>
      <c r="B94" s="16" t="s">
        <v>134</v>
      </c>
    </row>
    <row r="95" spans="1:2">
      <c r="A95" s="29"/>
      <c r="B95" s="32" t="s">
        <v>135</v>
      </c>
    </row>
    <row r="96" spans="1:2">
      <c r="A96" s="29"/>
      <c r="B96" s="32" t="s">
        <v>136</v>
      </c>
    </row>
    <row r="97" spans="1:2">
      <c r="A97" s="29"/>
      <c r="B97" s="32" t="s">
        <v>166</v>
      </c>
    </row>
    <row r="98" spans="1:2">
      <c r="A98" s="29"/>
      <c r="B98" s="32" t="s">
        <v>137</v>
      </c>
    </row>
    <row r="99" spans="1:2">
      <c r="A99" s="29"/>
      <c r="B99" s="16" t="s">
        <v>138</v>
      </c>
    </row>
    <row r="100" spans="1:2">
      <c r="A100" s="29">
        <v>14</v>
      </c>
      <c r="B100" s="23" t="s">
        <v>91</v>
      </c>
    </row>
    <row r="101" spans="1:2">
      <c r="A101" s="29">
        <v>0</v>
      </c>
      <c r="B101" s="23" t="s">
        <v>92</v>
      </c>
    </row>
    <row r="102" spans="1:2">
      <c r="A102" s="29"/>
      <c r="B102" s="16" t="s">
        <v>139</v>
      </c>
    </row>
    <row r="103" spans="1:2" ht="77.150000000000006" customHeight="1">
      <c r="A103" s="29"/>
      <c r="B103" s="30" t="s">
        <v>141</v>
      </c>
    </row>
    <row r="104" spans="1:2">
      <c r="A104" s="29"/>
      <c r="B104" s="23" t="s">
        <v>140</v>
      </c>
    </row>
    <row r="105" spans="1:2">
      <c r="A105" s="29"/>
      <c r="B105" s="23" t="s">
        <v>142</v>
      </c>
    </row>
    <row r="106" spans="1:2">
      <c r="A106" s="29"/>
      <c r="B106" s="23" t="s">
        <v>143</v>
      </c>
    </row>
    <row r="107" spans="1:2">
      <c r="A107" s="29"/>
      <c r="B107" s="20" t="s">
        <v>158</v>
      </c>
    </row>
    <row r="108" spans="1:2">
      <c r="A108" s="29"/>
      <c r="B108" s="16" t="s">
        <v>156</v>
      </c>
    </row>
    <row r="109" spans="1:2">
      <c r="A109" s="29"/>
      <c r="B109" s="23" t="s">
        <v>161</v>
      </c>
    </row>
    <row r="110" spans="1:2">
      <c r="A110" s="29"/>
      <c r="B110" s="23" t="s">
        <v>168</v>
      </c>
    </row>
    <row r="111" spans="1:2">
      <c r="A111" s="29"/>
      <c r="B111" s="23" t="s">
        <v>167</v>
      </c>
    </row>
    <row r="112" spans="1:2">
      <c r="A112" s="29"/>
      <c r="B112" s="23" t="s">
        <v>157</v>
      </c>
    </row>
    <row r="113" spans="1:2">
      <c r="A113" s="29"/>
      <c r="B113" s="16" t="s">
        <v>144</v>
      </c>
    </row>
    <row r="114" spans="1:2">
      <c r="A114" s="29">
        <v>1</v>
      </c>
      <c r="B114" s="23" t="s">
        <v>91</v>
      </c>
    </row>
    <row r="115" spans="1:2">
      <c r="A115" s="29">
        <v>0</v>
      </c>
      <c r="B115" s="23" t="s">
        <v>92</v>
      </c>
    </row>
    <row r="116" spans="1:2">
      <c r="A116" s="29"/>
      <c r="B116" s="16" t="s">
        <v>145</v>
      </c>
    </row>
    <row r="117" spans="1:2">
      <c r="A117" s="29">
        <v>9</v>
      </c>
      <c r="B117" s="23" t="s">
        <v>91</v>
      </c>
    </row>
    <row r="118" spans="1:2">
      <c r="A118" s="29">
        <v>0</v>
      </c>
      <c r="B118" s="23" t="s">
        <v>92</v>
      </c>
    </row>
    <row r="119" spans="1:2">
      <c r="A119" s="29"/>
      <c r="B119" s="16" t="s">
        <v>147</v>
      </c>
    </row>
    <row r="120" spans="1:2" ht="29">
      <c r="A120" s="29"/>
      <c r="B120" s="24" t="s">
        <v>148</v>
      </c>
    </row>
    <row r="121" spans="1:2">
      <c r="A121" s="29"/>
      <c r="B121" s="23" t="s">
        <v>149</v>
      </c>
    </row>
    <row r="122" spans="1:2" ht="43.5">
      <c r="A122" s="29"/>
      <c r="B122" s="24" t="s">
        <v>150</v>
      </c>
    </row>
    <row r="123" spans="1:2">
      <c r="A123" s="29"/>
      <c r="B123" s="16" t="s">
        <v>146</v>
      </c>
    </row>
    <row r="124" spans="1:2">
      <c r="A124" s="29">
        <v>1</v>
      </c>
      <c r="B124" s="23" t="s">
        <v>91</v>
      </c>
    </row>
    <row r="125" spans="1:2" ht="15" thickBot="1">
      <c r="A125" s="21">
        <v>0</v>
      </c>
      <c r="B125" s="22" t="s">
        <v>92</v>
      </c>
    </row>
    <row r="126" spans="1:2" ht="37" customHeight="1" thickBot="1">
      <c r="A126" s="102" t="s">
        <v>179</v>
      </c>
      <c r="B126" s="103"/>
    </row>
    <row r="127" spans="1:2">
      <c r="A127" s="27"/>
      <c r="B127" s="28" t="s">
        <v>151</v>
      </c>
    </row>
    <row r="128" spans="1:2">
      <c r="A128" s="31" t="s">
        <v>152</v>
      </c>
      <c r="B128" s="23"/>
    </row>
    <row r="129" spans="1:2">
      <c r="A129" s="31" t="s">
        <v>153</v>
      </c>
      <c r="B129" s="23"/>
    </row>
    <row r="130" spans="1:2">
      <c r="A130" s="31"/>
      <c r="B130" s="16" t="s">
        <v>154</v>
      </c>
    </row>
    <row r="131" spans="1:2">
      <c r="A131" s="31" t="s">
        <v>152</v>
      </c>
      <c r="B131" s="23"/>
    </row>
    <row r="132" spans="1:2">
      <c r="A132" s="31" t="s">
        <v>153</v>
      </c>
      <c r="B132" s="23"/>
    </row>
    <row r="133" spans="1:2">
      <c r="A133" s="31"/>
      <c r="B133" s="34" t="s">
        <v>155</v>
      </c>
    </row>
    <row r="134" spans="1:2">
      <c r="A134" s="31" t="s">
        <v>152</v>
      </c>
      <c r="B134" s="23"/>
    </row>
    <row r="135" spans="1:2" ht="15" thickBot="1">
      <c r="A135" s="25" t="s">
        <v>153</v>
      </c>
      <c r="B135" s="26"/>
    </row>
  </sheetData>
  <mergeCells count="3">
    <mergeCell ref="A1:B1"/>
    <mergeCell ref="A33:B33"/>
    <mergeCell ref="A126:B1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0AC7-7592-4F22-B363-493DFB1F7D5B}">
  <dimension ref="B2:P47"/>
  <sheetViews>
    <sheetView showGridLines="0" zoomScale="90" zoomScaleNormal="90" workbookViewId="0">
      <selection activeCell="E9" sqref="E9"/>
    </sheetView>
  </sheetViews>
  <sheetFormatPr defaultRowHeight="14.5"/>
  <cols>
    <col min="2" max="2" width="16.26953125" customWidth="1"/>
    <col min="3" max="3" width="60" customWidth="1"/>
    <col min="4" max="4" width="15.1796875" style="45" customWidth="1"/>
    <col min="5" max="5" width="42.1796875" customWidth="1"/>
  </cols>
  <sheetData>
    <row r="2" spans="2:16" ht="21">
      <c r="B2" s="106" t="s">
        <v>180</v>
      </c>
      <c r="C2" s="106"/>
      <c r="D2" s="106"/>
      <c r="E2" s="106"/>
    </row>
    <row r="3" spans="2:16" ht="15.5">
      <c r="B3" s="46" t="s">
        <v>181</v>
      </c>
      <c r="C3" s="47"/>
      <c r="D3" s="48"/>
      <c r="E3" s="47"/>
    </row>
    <row r="4" spans="2:16" ht="15.5">
      <c r="B4" s="46" t="s">
        <v>182</v>
      </c>
      <c r="C4" s="47"/>
      <c r="D4" s="49"/>
      <c r="E4" s="47"/>
    </row>
    <row r="5" spans="2:16" ht="15.5">
      <c r="B5" s="46" t="s">
        <v>183</v>
      </c>
      <c r="C5" s="47"/>
      <c r="D5" s="50"/>
      <c r="E5" s="47"/>
    </row>
    <row r="6" spans="2:16" ht="15.5">
      <c r="B6" s="46" t="s">
        <v>184</v>
      </c>
      <c r="C6" s="47"/>
      <c r="D6" s="49"/>
      <c r="E6" s="51" t="s">
        <v>220</v>
      </c>
      <c r="H6" s="52">
        <v>12</v>
      </c>
      <c r="I6" s="52">
        <v>1</v>
      </c>
      <c r="J6" s="52">
        <v>5</v>
      </c>
      <c r="K6" s="52">
        <v>4</v>
      </c>
      <c r="L6" s="52">
        <v>3</v>
      </c>
      <c r="M6" s="52">
        <v>14</v>
      </c>
      <c r="N6" s="52">
        <v>9</v>
      </c>
      <c r="O6" s="52" t="s">
        <v>152</v>
      </c>
      <c r="P6" s="53"/>
    </row>
    <row r="7" spans="2:16">
      <c r="B7" s="104" t="s">
        <v>185</v>
      </c>
      <c r="C7" s="105"/>
      <c r="D7" s="43"/>
      <c r="E7" s="38" t="s">
        <v>186</v>
      </c>
      <c r="H7" s="52">
        <v>0</v>
      </c>
      <c r="I7" s="52">
        <v>0</v>
      </c>
      <c r="J7" s="52">
        <v>0</v>
      </c>
      <c r="K7" s="52">
        <v>0</v>
      </c>
      <c r="L7" s="52">
        <v>0</v>
      </c>
      <c r="M7" s="52">
        <v>0</v>
      </c>
      <c r="N7" s="52">
        <v>0</v>
      </c>
      <c r="O7" s="52" t="s">
        <v>153</v>
      </c>
      <c r="P7" s="53"/>
    </row>
    <row r="8" spans="2:16">
      <c r="B8" s="112" t="s">
        <v>187</v>
      </c>
      <c r="C8" s="39" t="s">
        <v>188</v>
      </c>
      <c r="D8" s="44">
        <v>12</v>
      </c>
      <c r="E8" s="41"/>
    </row>
    <row r="9" spans="2:16" ht="117" customHeight="1">
      <c r="B9" s="112"/>
      <c r="C9" s="40" t="s">
        <v>189</v>
      </c>
      <c r="D9" s="44"/>
      <c r="E9" s="41"/>
    </row>
    <row r="10" spans="2:16">
      <c r="B10" s="112"/>
      <c r="C10" s="39" t="s">
        <v>190</v>
      </c>
      <c r="D10" s="44">
        <v>1</v>
      </c>
      <c r="E10" s="41"/>
    </row>
    <row r="11" spans="2:16" ht="29">
      <c r="B11" s="112"/>
      <c r="C11" s="40" t="s">
        <v>196</v>
      </c>
      <c r="D11" s="44"/>
      <c r="E11" s="41"/>
    </row>
    <row r="12" spans="2:16">
      <c r="B12" s="112"/>
      <c r="C12" s="39" t="s">
        <v>191</v>
      </c>
      <c r="D12" s="44">
        <v>12</v>
      </c>
      <c r="E12" s="41"/>
    </row>
    <row r="13" spans="2:16" ht="43.5">
      <c r="B13" s="112"/>
      <c r="C13" s="40" t="s">
        <v>97</v>
      </c>
      <c r="D13" s="44"/>
      <c r="E13" s="41"/>
    </row>
    <row r="14" spans="2:16">
      <c r="B14" s="112"/>
      <c r="C14" s="39" t="s">
        <v>192</v>
      </c>
      <c r="D14" s="44">
        <v>1</v>
      </c>
      <c r="E14" s="41"/>
    </row>
    <row r="15" spans="2:16">
      <c r="B15" s="112"/>
      <c r="C15" s="39" t="s">
        <v>193</v>
      </c>
      <c r="D15" s="44">
        <v>12</v>
      </c>
      <c r="E15" s="41"/>
    </row>
    <row r="16" spans="2:16" ht="197.15" customHeight="1">
      <c r="B16" s="112"/>
      <c r="C16" s="40" t="s">
        <v>194</v>
      </c>
      <c r="D16" s="44"/>
      <c r="E16" s="41"/>
    </row>
    <row r="17" spans="2:5">
      <c r="B17" s="112"/>
      <c r="C17" s="42" t="s">
        <v>195</v>
      </c>
      <c r="D17" s="44">
        <v>1</v>
      </c>
      <c r="E17" s="41"/>
    </row>
    <row r="18" spans="2:5">
      <c r="B18" s="107" t="s">
        <v>215</v>
      </c>
      <c r="C18" s="42" t="s">
        <v>197</v>
      </c>
      <c r="D18" s="44">
        <v>5</v>
      </c>
      <c r="E18" s="41"/>
    </row>
    <row r="19" spans="2:5" ht="78" customHeight="1">
      <c r="B19" s="107"/>
      <c r="C19" s="40" t="s">
        <v>131</v>
      </c>
      <c r="D19" s="44"/>
      <c r="E19" s="41"/>
    </row>
    <row r="20" spans="2:5">
      <c r="B20" s="107"/>
      <c r="C20" s="42" t="s">
        <v>198</v>
      </c>
      <c r="D20" s="44">
        <v>5</v>
      </c>
      <c r="E20" s="41"/>
    </row>
    <row r="21" spans="2:5">
      <c r="B21" s="107"/>
      <c r="C21" s="42" t="s">
        <v>199</v>
      </c>
      <c r="D21" s="44">
        <v>4</v>
      </c>
      <c r="E21" s="41"/>
    </row>
    <row r="22" spans="2:5" ht="87">
      <c r="B22" s="107"/>
      <c r="C22" s="40" t="s">
        <v>200</v>
      </c>
      <c r="D22" s="44"/>
      <c r="E22" s="41"/>
    </row>
    <row r="23" spans="2:5">
      <c r="B23" s="107"/>
      <c r="C23" s="42" t="s">
        <v>114</v>
      </c>
      <c r="D23" s="44">
        <v>3</v>
      </c>
      <c r="E23" s="41"/>
    </row>
    <row r="24" spans="2:5">
      <c r="B24" s="107"/>
      <c r="C24" s="42" t="s">
        <v>163</v>
      </c>
      <c r="D24" s="44">
        <v>1</v>
      </c>
      <c r="E24" s="41"/>
    </row>
    <row r="25" spans="2:5">
      <c r="B25" s="107"/>
      <c r="C25" s="42" t="s">
        <v>164</v>
      </c>
      <c r="D25" s="44">
        <v>4</v>
      </c>
      <c r="E25" s="41"/>
    </row>
    <row r="26" spans="2:5">
      <c r="B26" s="107"/>
      <c r="C26" s="42" t="s">
        <v>160</v>
      </c>
      <c r="D26" s="44">
        <v>1</v>
      </c>
      <c r="E26" s="41"/>
    </row>
    <row r="27" spans="2:5">
      <c r="B27" s="107"/>
      <c r="C27" s="42" t="s">
        <v>178</v>
      </c>
      <c r="D27" s="44">
        <v>1</v>
      </c>
      <c r="E27" s="41"/>
    </row>
    <row r="28" spans="2:5">
      <c r="B28" s="107"/>
      <c r="C28" s="39" t="s">
        <v>201</v>
      </c>
      <c r="D28" s="44">
        <v>1</v>
      </c>
      <c r="E28" s="41"/>
    </row>
    <row r="29" spans="2:5" ht="58">
      <c r="B29" s="107"/>
      <c r="C29" s="40" t="s">
        <v>202</v>
      </c>
      <c r="D29" s="44"/>
      <c r="E29" s="41"/>
    </row>
    <row r="30" spans="2:5">
      <c r="B30" s="107"/>
      <c r="C30" s="42" t="s">
        <v>203</v>
      </c>
      <c r="D30" s="44">
        <v>5</v>
      </c>
      <c r="E30" s="41"/>
    </row>
    <row r="31" spans="2:5" ht="130.5">
      <c r="B31" s="107"/>
      <c r="C31" s="40" t="s">
        <v>204</v>
      </c>
      <c r="D31" s="44"/>
      <c r="E31" s="41"/>
    </row>
    <row r="32" spans="2:5">
      <c r="B32" s="107"/>
      <c r="C32" s="42" t="s">
        <v>205</v>
      </c>
      <c r="D32" s="44">
        <v>5</v>
      </c>
      <c r="E32" s="41"/>
    </row>
    <row r="33" spans="2:5" ht="72.5">
      <c r="B33" s="107"/>
      <c r="C33" s="40" t="s">
        <v>206</v>
      </c>
      <c r="D33" s="44"/>
      <c r="E33" s="41"/>
    </row>
    <row r="34" spans="2:5">
      <c r="B34" s="107"/>
      <c r="C34" s="42" t="s">
        <v>207</v>
      </c>
      <c r="D34" s="44">
        <v>1</v>
      </c>
      <c r="E34" s="41"/>
    </row>
    <row r="35" spans="2:5" ht="70.5" customHeight="1">
      <c r="B35" s="107"/>
      <c r="C35" s="40" t="s">
        <v>208</v>
      </c>
      <c r="D35" s="44"/>
      <c r="E35" s="41"/>
    </row>
    <row r="36" spans="2:5">
      <c r="B36" s="107"/>
      <c r="C36" s="42" t="s">
        <v>209</v>
      </c>
      <c r="D36" s="44">
        <v>14</v>
      </c>
      <c r="E36" s="41"/>
    </row>
    <row r="37" spans="2:5" ht="78.650000000000006" customHeight="1">
      <c r="B37" s="107"/>
      <c r="C37" s="40" t="s">
        <v>210</v>
      </c>
      <c r="D37" s="44"/>
      <c r="E37" s="41"/>
    </row>
    <row r="38" spans="2:5">
      <c r="B38" s="107"/>
      <c r="C38" s="42" t="s">
        <v>211</v>
      </c>
      <c r="D38" s="44">
        <v>1</v>
      </c>
      <c r="E38" s="41"/>
    </row>
    <row r="39" spans="2:5">
      <c r="B39" s="107"/>
      <c r="C39" s="42" t="s">
        <v>212</v>
      </c>
      <c r="D39" s="44">
        <v>9</v>
      </c>
      <c r="E39" s="41"/>
    </row>
    <row r="40" spans="2:5" ht="191.5" customHeight="1">
      <c r="B40" s="107"/>
      <c r="C40" s="40" t="s">
        <v>213</v>
      </c>
      <c r="D40" s="44"/>
      <c r="E40" s="41"/>
    </row>
    <row r="41" spans="2:5">
      <c r="B41" s="107"/>
      <c r="C41" s="42" t="s">
        <v>214</v>
      </c>
      <c r="D41" s="44">
        <v>1</v>
      </c>
      <c r="E41" s="41"/>
    </row>
    <row r="42" spans="2:5">
      <c r="B42" s="108" t="s">
        <v>216</v>
      </c>
      <c r="C42" s="42" t="s">
        <v>151</v>
      </c>
      <c r="D42" s="44" t="s">
        <v>152</v>
      </c>
      <c r="E42" s="41"/>
    </row>
    <row r="43" spans="2:5">
      <c r="B43" s="108"/>
      <c r="C43" s="42" t="s">
        <v>154</v>
      </c>
      <c r="D43" s="44" t="s">
        <v>152</v>
      </c>
      <c r="E43" s="41"/>
    </row>
    <row r="44" spans="2:5">
      <c r="B44" s="108"/>
      <c r="C44" s="42" t="s">
        <v>155</v>
      </c>
      <c r="D44" s="44" t="s">
        <v>152</v>
      </c>
      <c r="E44" s="41"/>
    </row>
    <row r="45" spans="2:5">
      <c r="B45" s="110" t="s">
        <v>217</v>
      </c>
      <c r="C45" s="110"/>
      <c r="D45" s="44">
        <f>SUM(D8:D41)</f>
        <v>100</v>
      </c>
      <c r="E45" s="109"/>
    </row>
    <row r="46" spans="2:5">
      <c r="B46" s="110" t="s">
        <v>218</v>
      </c>
      <c r="C46" s="110"/>
      <c r="D46" s="44">
        <v>100</v>
      </c>
      <c r="E46" s="109"/>
    </row>
    <row r="47" spans="2:5" ht="20">
      <c r="B47" s="111" t="s">
        <v>219</v>
      </c>
      <c r="C47" s="111"/>
      <c r="D47" s="44">
        <f>SUM(D8:D41)</f>
        <v>100</v>
      </c>
      <c r="E47" s="109"/>
    </row>
  </sheetData>
  <mergeCells count="9">
    <mergeCell ref="B7:C7"/>
    <mergeCell ref="B2:E2"/>
    <mergeCell ref="B18:B41"/>
    <mergeCell ref="B42:B44"/>
    <mergeCell ref="E45:E47"/>
    <mergeCell ref="B45:C45"/>
    <mergeCell ref="B46:C46"/>
    <mergeCell ref="B47:C47"/>
    <mergeCell ref="B8:B17"/>
  </mergeCells>
  <conditionalFormatting sqref="E6">
    <cfRule type="containsText" dxfId="9" priority="1" operator="containsText" text="PASS">
      <formula>NOT(ISERROR(SEARCH("PASS",E6)))</formula>
    </cfRule>
    <cfRule type="containsText" dxfId="8" priority="2" operator="containsText" text="FAIL">
      <formula>NOT(ISERROR(SEARCH("FAIL",E6)))</formula>
    </cfRule>
  </conditionalFormatting>
  <dataValidations count="9">
    <dataValidation type="list" allowBlank="1" showInputMessage="1" showErrorMessage="1" sqref="E6" xr:uid="{F6AB03B0-CDAE-4A57-BD99-4F6AFE7DDD93}">
      <formula1>"PASS, FAIL"</formula1>
    </dataValidation>
    <dataValidation type="list" allowBlank="1" showInputMessage="1" showErrorMessage="1" sqref="D8 D12 D15" xr:uid="{BD2F5A29-AEC5-4592-A23C-E4C1A8B1D369}">
      <formula1>$H$6:$H$7</formula1>
    </dataValidation>
    <dataValidation type="list" allowBlank="1" showInputMessage="1" showErrorMessage="1" sqref="D10 D14 D17 D24 D26:D28 D34 D38 D41" xr:uid="{3052E598-4525-45FE-B98C-315023F7276A}">
      <formula1>$I$6:$I$7</formula1>
    </dataValidation>
    <dataValidation type="list" allowBlank="1" showInputMessage="1" showErrorMessage="1" sqref="D18 D20 D30 D32" xr:uid="{324AC2B2-1880-4BA2-B3C2-B4C4FF91B6F2}">
      <formula1>$J$6:$J$7</formula1>
    </dataValidation>
    <dataValidation type="list" allowBlank="1" showInputMessage="1" showErrorMessage="1" sqref="D21 D25" xr:uid="{4D38F2C3-BBAB-40BF-8C30-D2D14E0B00ED}">
      <formula1>$K$6:$K$7</formula1>
    </dataValidation>
    <dataValidation type="list" allowBlank="1" showInputMessage="1" showErrorMessage="1" sqref="D23" xr:uid="{6299E328-8172-426A-A80D-B71AEFA11073}">
      <formula1>$L$6:$L$7</formula1>
    </dataValidation>
    <dataValidation type="list" allowBlank="1" showInputMessage="1" showErrorMessage="1" sqref="D36" xr:uid="{6899655E-FEAF-4121-B6F0-B2B0C43A4C57}">
      <formula1>$M$6:$M$7</formula1>
    </dataValidation>
    <dataValidation type="list" allowBlank="1" showInputMessage="1" showErrorMessage="1" sqref="D39" xr:uid="{D33BAE82-41B2-40AB-97E6-DD75DE4E7281}">
      <formula1>$N$6:$N$7</formula1>
    </dataValidation>
    <dataValidation type="list" allowBlank="1" showInputMessage="1" showErrorMessage="1" sqref="D42:D44" xr:uid="{5B150FB8-9F22-4B63-B54F-11E8FFC4363B}">
      <formula1>$O$6:$O$7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46D6E-9C31-4CF2-BA7F-8983587B99EF}">
  <dimension ref="A1:B136"/>
  <sheetViews>
    <sheetView topLeftCell="A45" workbookViewId="0">
      <selection activeCell="E56" sqref="E56"/>
    </sheetView>
  </sheetViews>
  <sheetFormatPr defaultRowHeight="14.5"/>
  <cols>
    <col min="1" max="1" width="12.1796875" customWidth="1"/>
    <col min="2" max="2" width="123.26953125" style="69" customWidth="1"/>
    <col min="3" max="3" width="10.54296875" customWidth="1"/>
  </cols>
  <sheetData>
    <row r="1" spans="1:2" ht="26.15" customHeight="1" thickBot="1">
      <c r="A1" s="100" t="s">
        <v>99</v>
      </c>
      <c r="B1" s="101"/>
    </row>
    <row r="2" spans="1:2" ht="28.5" customHeight="1" thickBot="1">
      <c r="A2" s="18" t="s">
        <v>89</v>
      </c>
      <c r="B2" s="57" t="s">
        <v>90</v>
      </c>
    </row>
    <row r="3" spans="1:2">
      <c r="A3" s="27"/>
      <c r="B3" s="58" t="s">
        <v>104</v>
      </c>
    </row>
    <row r="4" spans="1:2">
      <c r="A4" s="29">
        <v>12</v>
      </c>
      <c r="B4" s="24" t="s">
        <v>91</v>
      </c>
    </row>
    <row r="5" spans="1:2">
      <c r="A5" s="29">
        <v>0</v>
      </c>
      <c r="B5" s="24" t="s">
        <v>92</v>
      </c>
    </row>
    <row r="6" spans="1:2">
      <c r="A6" s="29"/>
      <c r="B6" s="59" t="s">
        <v>105</v>
      </c>
    </row>
    <row r="7" spans="1:2">
      <c r="A7" s="29">
        <v>0</v>
      </c>
      <c r="B7" s="24" t="s">
        <v>93</v>
      </c>
    </row>
    <row r="8" spans="1:2">
      <c r="A8" s="29">
        <v>0</v>
      </c>
      <c r="B8" s="24" t="s">
        <v>94</v>
      </c>
    </row>
    <row r="9" spans="1:2">
      <c r="A9" s="29">
        <v>0</v>
      </c>
      <c r="B9" s="24" t="s">
        <v>95</v>
      </c>
    </row>
    <row r="10" spans="1:2" ht="45" customHeight="1">
      <c r="A10" s="29">
        <v>0</v>
      </c>
      <c r="B10" s="30" t="s">
        <v>96</v>
      </c>
    </row>
    <row r="11" spans="1:2">
      <c r="A11" s="29"/>
      <c r="B11" s="59" t="s">
        <v>106</v>
      </c>
    </row>
    <row r="12" spans="1:2">
      <c r="A12" s="29">
        <v>1</v>
      </c>
      <c r="B12" s="24" t="s">
        <v>91</v>
      </c>
    </row>
    <row r="13" spans="1:2">
      <c r="A13" s="29">
        <v>0</v>
      </c>
      <c r="B13" s="24" t="s">
        <v>92</v>
      </c>
    </row>
    <row r="14" spans="1:2">
      <c r="A14" s="29"/>
      <c r="B14" s="59" t="s">
        <v>174</v>
      </c>
    </row>
    <row r="15" spans="1:2">
      <c r="A15" s="29"/>
      <c r="B15" s="60" t="s">
        <v>175</v>
      </c>
    </row>
    <row r="16" spans="1:2">
      <c r="A16" s="29"/>
      <c r="B16" s="59" t="s">
        <v>107</v>
      </c>
    </row>
    <row r="17" spans="1:2">
      <c r="A17" s="29">
        <v>12</v>
      </c>
      <c r="B17" s="24" t="s">
        <v>91</v>
      </c>
    </row>
    <row r="18" spans="1:2">
      <c r="A18" s="29">
        <v>0</v>
      </c>
      <c r="B18" s="24" t="s">
        <v>92</v>
      </c>
    </row>
    <row r="19" spans="1:2">
      <c r="A19" s="29"/>
      <c r="B19" s="59" t="s">
        <v>108</v>
      </c>
    </row>
    <row r="20" spans="1:2" ht="29">
      <c r="A20" s="29">
        <v>0</v>
      </c>
      <c r="B20" s="30" t="s">
        <v>97</v>
      </c>
    </row>
    <row r="21" spans="1:2">
      <c r="A21" s="29"/>
      <c r="B21" s="59" t="s">
        <v>109</v>
      </c>
    </row>
    <row r="22" spans="1:2">
      <c r="A22" s="29">
        <v>1</v>
      </c>
      <c r="B22" s="24" t="s">
        <v>91</v>
      </c>
    </row>
    <row r="23" spans="1:2">
      <c r="A23" s="29">
        <v>0</v>
      </c>
      <c r="B23" s="24" t="s">
        <v>92</v>
      </c>
    </row>
    <row r="24" spans="1:2">
      <c r="A24" s="29"/>
      <c r="B24" s="59" t="s">
        <v>110</v>
      </c>
    </row>
    <row r="25" spans="1:2">
      <c r="A25" s="29">
        <v>12</v>
      </c>
      <c r="B25" s="24" t="s">
        <v>91</v>
      </c>
    </row>
    <row r="26" spans="1:2">
      <c r="A26" s="29">
        <v>0</v>
      </c>
      <c r="B26" s="24" t="s">
        <v>92</v>
      </c>
    </row>
    <row r="27" spans="1:2">
      <c r="A27" s="29"/>
      <c r="B27" s="59" t="s">
        <v>111</v>
      </c>
    </row>
    <row r="28" spans="1:2" ht="101.5" customHeight="1">
      <c r="A28" s="29">
        <v>0</v>
      </c>
      <c r="B28" s="35" t="s">
        <v>221</v>
      </c>
    </row>
    <row r="29" spans="1:2" ht="49.5" customHeight="1">
      <c r="A29" s="29">
        <v>0</v>
      </c>
      <c r="B29" s="30" t="s">
        <v>98</v>
      </c>
    </row>
    <row r="30" spans="1:2" ht="15" customHeight="1">
      <c r="A30" s="29"/>
      <c r="B30" s="36" t="s">
        <v>112</v>
      </c>
    </row>
    <row r="31" spans="1:2" ht="15" customHeight="1">
      <c r="A31" s="29">
        <v>1</v>
      </c>
      <c r="B31" s="30" t="s">
        <v>91</v>
      </c>
    </row>
    <row r="32" spans="1:2" ht="16" customHeight="1" thickBot="1">
      <c r="A32" s="21">
        <v>0</v>
      </c>
      <c r="B32" s="61" t="s">
        <v>92</v>
      </c>
    </row>
    <row r="33" spans="1:2" ht="34" customHeight="1" thickBot="1">
      <c r="A33" s="100" t="s">
        <v>100</v>
      </c>
      <c r="B33" s="101"/>
    </row>
    <row r="34" spans="1:2" ht="36" customHeight="1" thickBot="1">
      <c r="A34" s="18" t="s">
        <v>222</v>
      </c>
      <c r="B34" s="19" t="s">
        <v>90</v>
      </c>
    </row>
    <row r="35" spans="1:2">
      <c r="A35" s="27"/>
      <c r="B35" s="58" t="s">
        <v>102</v>
      </c>
    </row>
    <row r="36" spans="1:2">
      <c r="A36" s="70">
        <v>5</v>
      </c>
      <c r="B36" s="24" t="s">
        <v>91</v>
      </c>
    </row>
    <row r="37" spans="1:2">
      <c r="A37" s="29">
        <v>0</v>
      </c>
      <c r="B37" s="24" t="s">
        <v>92</v>
      </c>
    </row>
    <row r="38" spans="1:2">
      <c r="A38" s="29"/>
      <c r="B38" s="59" t="s">
        <v>130</v>
      </c>
    </row>
    <row r="39" spans="1:2" ht="43.5">
      <c r="A39" s="29">
        <v>0</v>
      </c>
      <c r="B39" s="30" t="s">
        <v>131</v>
      </c>
    </row>
    <row r="40" spans="1:2">
      <c r="A40" s="29"/>
      <c r="B40" s="59" t="s">
        <v>103</v>
      </c>
    </row>
    <row r="41" spans="1:2">
      <c r="A41" s="54">
        <v>5</v>
      </c>
      <c r="B41" s="24" t="s">
        <v>91</v>
      </c>
    </row>
    <row r="42" spans="1:2">
      <c r="A42" s="29">
        <v>0</v>
      </c>
      <c r="B42" s="24" t="s">
        <v>92</v>
      </c>
    </row>
    <row r="43" spans="1:2">
      <c r="A43" s="55"/>
      <c r="B43" s="59" t="s">
        <v>113</v>
      </c>
    </row>
    <row r="44" spans="1:2">
      <c r="B44" s="59" t="s">
        <v>162</v>
      </c>
    </row>
    <row r="45" spans="1:2" ht="72.5">
      <c r="A45" s="29">
        <v>4</v>
      </c>
      <c r="B45" s="56" t="s">
        <v>230</v>
      </c>
    </row>
    <row r="46" spans="1:2">
      <c r="A46" s="29">
        <v>0</v>
      </c>
      <c r="B46" s="24" t="s">
        <v>92</v>
      </c>
    </row>
    <row r="47" spans="1:2">
      <c r="A47" s="29"/>
      <c r="B47" s="59" t="s">
        <v>129</v>
      </c>
    </row>
    <row r="48" spans="1:2">
      <c r="A48" s="29"/>
      <c r="B48" s="60" t="s">
        <v>171</v>
      </c>
    </row>
    <row r="49" spans="1:2">
      <c r="A49" s="29"/>
      <c r="B49" s="60" t="s">
        <v>172</v>
      </c>
    </row>
    <row r="50" spans="1:2">
      <c r="A50" s="29"/>
      <c r="B50" s="62" t="s">
        <v>176</v>
      </c>
    </row>
    <row r="51" spans="1:2">
      <c r="A51" s="31"/>
      <c r="B51" s="62" t="s">
        <v>173</v>
      </c>
    </row>
    <row r="52" spans="1:2">
      <c r="A52" s="31"/>
      <c r="B52" s="59" t="s">
        <v>114</v>
      </c>
    </row>
    <row r="53" spans="1:2" ht="29">
      <c r="A53" s="29">
        <v>3</v>
      </c>
      <c r="B53" s="56" t="s">
        <v>223</v>
      </c>
    </row>
    <row r="54" spans="1:2">
      <c r="A54" s="29">
        <v>0</v>
      </c>
      <c r="B54" s="24" t="s">
        <v>92</v>
      </c>
    </row>
    <row r="55" spans="1:2">
      <c r="A55" s="31"/>
      <c r="B55" s="59" t="s">
        <v>163</v>
      </c>
    </row>
    <row r="56" spans="1:2" ht="29">
      <c r="A56" s="31">
        <v>1</v>
      </c>
      <c r="B56" s="63" t="s">
        <v>224</v>
      </c>
    </row>
    <row r="57" spans="1:2">
      <c r="A57" s="31">
        <v>0</v>
      </c>
      <c r="B57" s="24" t="s">
        <v>165</v>
      </c>
    </row>
    <row r="58" spans="1:2">
      <c r="A58" s="31"/>
      <c r="B58" s="59" t="s">
        <v>164</v>
      </c>
    </row>
    <row r="59" spans="1:2" ht="29">
      <c r="A59" s="29">
        <v>4</v>
      </c>
      <c r="B59" s="56" t="s">
        <v>225</v>
      </c>
    </row>
    <row r="60" spans="1:2">
      <c r="A60" s="29">
        <v>0</v>
      </c>
      <c r="B60" s="24" t="s">
        <v>92</v>
      </c>
    </row>
    <row r="61" spans="1:2">
      <c r="A61" s="31"/>
      <c r="B61" s="59" t="s">
        <v>160</v>
      </c>
    </row>
    <row r="62" spans="1:2">
      <c r="A62" s="31">
        <v>1</v>
      </c>
      <c r="B62" s="56" t="s">
        <v>226</v>
      </c>
    </row>
    <row r="63" spans="1:2">
      <c r="A63" s="31">
        <v>0</v>
      </c>
      <c r="B63" s="24" t="s">
        <v>165</v>
      </c>
    </row>
    <row r="64" spans="1:2">
      <c r="A64" s="31"/>
      <c r="B64" s="59" t="s">
        <v>178</v>
      </c>
    </row>
    <row r="65" spans="1:2">
      <c r="A65" s="31">
        <v>1</v>
      </c>
      <c r="B65" s="56" t="s">
        <v>227</v>
      </c>
    </row>
    <row r="66" spans="1:2">
      <c r="A66" s="31">
        <v>0</v>
      </c>
      <c r="B66" s="24" t="s">
        <v>92</v>
      </c>
    </row>
    <row r="67" spans="1:2">
      <c r="A67" s="29"/>
      <c r="B67" s="59" t="s">
        <v>115</v>
      </c>
    </row>
    <row r="68" spans="1:2">
      <c r="A68" s="29">
        <v>1</v>
      </c>
      <c r="B68" s="24" t="s">
        <v>91</v>
      </c>
    </row>
    <row r="69" spans="1:2">
      <c r="A69" s="29">
        <v>0</v>
      </c>
      <c r="B69" s="24" t="s">
        <v>92</v>
      </c>
    </row>
    <row r="70" spans="1:2">
      <c r="A70" s="29"/>
      <c r="B70" s="59" t="s">
        <v>159</v>
      </c>
    </row>
    <row r="71" spans="1:2">
      <c r="A71" s="29"/>
      <c r="B71" s="60" t="s">
        <v>177</v>
      </c>
    </row>
    <row r="72" spans="1:2">
      <c r="A72" s="29"/>
      <c r="B72" s="60" t="s">
        <v>169</v>
      </c>
    </row>
    <row r="73" spans="1:2">
      <c r="A73" s="29"/>
      <c r="B73" s="60" t="s">
        <v>170</v>
      </c>
    </row>
    <row r="74" spans="1:2">
      <c r="A74" s="29"/>
      <c r="B74" s="59" t="s">
        <v>116</v>
      </c>
    </row>
    <row r="75" spans="1:2">
      <c r="A75" s="29">
        <v>5</v>
      </c>
      <c r="B75" s="24" t="s">
        <v>91</v>
      </c>
    </row>
    <row r="76" spans="1:2">
      <c r="A76" s="29">
        <v>0</v>
      </c>
      <c r="B76" s="24" t="s">
        <v>92</v>
      </c>
    </row>
    <row r="77" spans="1:2">
      <c r="A77" s="29"/>
      <c r="B77" s="59" t="s">
        <v>128</v>
      </c>
    </row>
    <row r="78" spans="1:2">
      <c r="A78" s="29">
        <v>0</v>
      </c>
      <c r="B78" s="64" t="s">
        <v>117</v>
      </c>
    </row>
    <row r="79" spans="1:2">
      <c r="A79" s="29">
        <v>0</v>
      </c>
      <c r="B79" s="64" t="s">
        <v>118</v>
      </c>
    </row>
    <row r="80" spans="1:2">
      <c r="A80" s="29">
        <v>0</v>
      </c>
      <c r="B80" s="64" t="s">
        <v>119</v>
      </c>
    </row>
    <row r="81" spans="1:2">
      <c r="A81" s="29">
        <v>0</v>
      </c>
      <c r="B81" s="64" t="s">
        <v>120</v>
      </c>
    </row>
    <row r="82" spans="1:2">
      <c r="A82" s="29">
        <v>0</v>
      </c>
      <c r="B82" s="65" t="s">
        <v>121</v>
      </c>
    </row>
    <row r="83" spans="1:2">
      <c r="A83" s="29"/>
      <c r="B83" s="59" t="s">
        <v>122</v>
      </c>
    </row>
    <row r="84" spans="1:2">
      <c r="A84" s="29">
        <v>5</v>
      </c>
      <c r="B84" s="24" t="s">
        <v>91</v>
      </c>
    </row>
    <row r="85" spans="1:2">
      <c r="A85" s="29">
        <v>0</v>
      </c>
      <c r="B85" s="24" t="s">
        <v>92</v>
      </c>
    </row>
    <row r="86" spans="1:2">
      <c r="A86" s="29"/>
      <c r="B86" s="59" t="s">
        <v>127</v>
      </c>
    </row>
    <row r="87" spans="1:2">
      <c r="A87" s="29"/>
      <c r="B87" s="64" t="s">
        <v>123</v>
      </c>
    </row>
    <row r="88" spans="1:2">
      <c r="A88" s="29"/>
      <c r="B88" s="64" t="s">
        <v>124</v>
      </c>
    </row>
    <row r="89" spans="1:2">
      <c r="A89" s="29"/>
      <c r="B89" s="64" t="s">
        <v>228</v>
      </c>
    </row>
    <row r="90" spans="1:2">
      <c r="A90" s="29"/>
      <c r="B90" s="64" t="s">
        <v>126</v>
      </c>
    </row>
    <row r="91" spans="1:2">
      <c r="A91" s="29"/>
      <c r="B91" s="59" t="s">
        <v>133</v>
      </c>
    </row>
    <row r="92" spans="1:2">
      <c r="A92" s="29">
        <v>1</v>
      </c>
      <c r="B92" s="24" t="s">
        <v>91</v>
      </c>
    </row>
    <row r="93" spans="1:2">
      <c r="A93" s="29">
        <v>0</v>
      </c>
      <c r="B93" s="24" t="s">
        <v>92</v>
      </c>
    </row>
    <row r="94" spans="1:2">
      <c r="A94" s="29"/>
      <c r="B94" s="59" t="s">
        <v>134</v>
      </c>
    </row>
    <row r="95" spans="1:2">
      <c r="A95" s="29"/>
      <c r="B95" s="66" t="s">
        <v>135</v>
      </c>
    </row>
    <row r="96" spans="1:2">
      <c r="A96" s="29"/>
      <c r="B96" s="66" t="s">
        <v>136</v>
      </c>
    </row>
    <row r="97" spans="1:2">
      <c r="A97" s="29"/>
      <c r="B97" s="66" t="s">
        <v>166</v>
      </c>
    </row>
    <row r="98" spans="1:2">
      <c r="A98" s="29"/>
      <c r="B98" s="66" t="s">
        <v>137</v>
      </c>
    </row>
    <row r="99" spans="1:2">
      <c r="A99" s="29"/>
      <c r="B99" s="59" t="s">
        <v>138</v>
      </c>
    </row>
    <row r="100" spans="1:2">
      <c r="A100" s="29">
        <v>14</v>
      </c>
      <c r="B100" s="24" t="s">
        <v>91</v>
      </c>
    </row>
    <row r="101" spans="1:2">
      <c r="A101" s="29">
        <v>0</v>
      </c>
      <c r="B101" s="24" t="s">
        <v>92</v>
      </c>
    </row>
    <row r="102" spans="1:2">
      <c r="A102" s="29"/>
      <c r="B102" s="59" t="s">
        <v>139</v>
      </c>
    </row>
    <row r="103" spans="1:2" ht="77.150000000000006" customHeight="1">
      <c r="A103" s="29"/>
      <c r="B103" s="71" t="s">
        <v>141</v>
      </c>
    </row>
    <row r="104" spans="1:2">
      <c r="A104" s="29"/>
      <c r="B104" s="60" t="s">
        <v>140</v>
      </c>
    </row>
    <row r="105" spans="1:2">
      <c r="A105" s="29"/>
      <c r="B105" s="60" t="s">
        <v>142</v>
      </c>
    </row>
    <row r="106" spans="1:2">
      <c r="A106" s="29"/>
      <c r="B106" s="60" t="s">
        <v>143</v>
      </c>
    </row>
    <row r="107" spans="1:2">
      <c r="A107" s="29"/>
      <c r="B107" s="62" t="s">
        <v>158</v>
      </c>
    </row>
    <row r="108" spans="1:2">
      <c r="A108" s="29"/>
      <c r="B108" s="59" t="s">
        <v>156</v>
      </c>
    </row>
    <row r="109" spans="1:2">
      <c r="A109" s="29"/>
      <c r="B109" s="60" t="s">
        <v>161</v>
      </c>
    </row>
    <row r="110" spans="1:2">
      <c r="A110" s="29"/>
      <c r="B110" s="60" t="s">
        <v>168</v>
      </c>
    </row>
    <row r="111" spans="1:2">
      <c r="A111" s="29"/>
      <c r="B111" s="60" t="s">
        <v>167</v>
      </c>
    </row>
    <row r="112" spans="1:2">
      <c r="A112" s="29"/>
      <c r="B112" s="60" t="s">
        <v>157</v>
      </c>
    </row>
    <row r="113" spans="1:2">
      <c r="A113" s="29"/>
      <c r="B113" s="59" t="s">
        <v>144</v>
      </c>
    </row>
    <row r="114" spans="1:2">
      <c r="A114" s="29">
        <v>1</v>
      </c>
      <c r="B114" s="24" t="s">
        <v>91</v>
      </c>
    </row>
    <row r="115" spans="1:2">
      <c r="A115" s="29">
        <v>0</v>
      </c>
      <c r="B115" s="24" t="s">
        <v>92</v>
      </c>
    </row>
    <row r="116" spans="1:2">
      <c r="A116" s="29"/>
      <c r="B116" s="59" t="s">
        <v>145</v>
      </c>
    </row>
    <row r="117" spans="1:2">
      <c r="A117" s="29">
        <v>9</v>
      </c>
      <c r="B117" s="24" t="s">
        <v>91</v>
      </c>
    </row>
    <row r="118" spans="1:2">
      <c r="A118" s="29">
        <v>0</v>
      </c>
      <c r="B118" s="24" t="s">
        <v>92</v>
      </c>
    </row>
    <row r="119" spans="1:2">
      <c r="A119" s="29"/>
      <c r="B119" s="59" t="s">
        <v>147</v>
      </c>
    </row>
    <row r="120" spans="1:2" ht="29">
      <c r="A120" s="29"/>
      <c r="B120" s="24" t="s">
        <v>148</v>
      </c>
    </row>
    <row r="121" spans="1:2">
      <c r="A121" s="29"/>
      <c r="B121" s="24" t="s">
        <v>149</v>
      </c>
    </row>
    <row r="122" spans="1:2" ht="43.5">
      <c r="A122" s="29"/>
      <c r="B122" s="24" t="s">
        <v>150</v>
      </c>
    </row>
    <row r="123" spans="1:2" ht="43.5">
      <c r="A123" s="29"/>
      <c r="B123" s="56" t="s">
        <v>229</v>
      </c>
    </row>
    <row r="124" spans="1:2">
      <c r="A124" s="29"/>
      <c r="B124" s="59" t="s">
        <v>146</v>
      </c>
    </row>
    <row r="125" spans="1:2">
      <c r="A125" s="29">
        <v>1</v>
      </c>
      <c r="B125" s="24" t="s">
        <v>91</v>
      </c>
    </row>
    <row r="126" spans="1:2" ht="15" thickBot="1">
      <c r="A126" s="21">
        <v>0</v>
      </c>
      <c r="B126" s="61" t="s">
        <v>92</v>
      </c>
    </row>
    <row r="127" spans="1:2" ht="37" customHeight="1" thickBot="1">
      <c r="A127" s="102" t="s">
        <v>179</v>
      </c>
      <c r="B127" s="103"/>
    </row>
    <row r="128" spans="1:2">
      <c r="A128" s="27"/>
      <c r="B128" s="58" t="s">
        <v>151</v>
      </c>
    </row>
    <row r="129" spans="1:2">
      <c r="A129" s="31" t="s">
        <v>152</v>
      </c>
      <c r="B129" s="24"/>
    </row>
    <row r="130" spans="1:2">
      <c r="A130" s="31" t="s">
        <v>153</v>
      </c>
      <c r="B130" s="24"/>
    </row>
    <row r="131" spans="1:2">
      <c r="A131" s="31"/>
      <c r="B131" s="59" t="s">
        <v>154</v>
      </c>
    </row>
    <row r="132" spans="1:2">
      <c r="A132" s="31" t="s">
        <v>152</v>
      </c>
      <c r="B132" s="24"/>
    </row>
    <row r="133" spans="1:2">
      <c r="A133" s="31" t="s">
        <v>153</v>
      </c>
      <c r="B133" s="24"/>
    </row>
    <row r="134" spans="1:2">
      <c r="A134" s="31"/>
      <c r="B134" s="67" t="s">
        <v>155</v>
      </c>
    </row>
    <row r="135" spans="1:2">
      <c r="A135" s="31" t="s">
        <v>152</v>
      </c>
      <c r="B135" s="24"/>
    </row>
    <row r="136" spans="1:2" ht="15" thickBot="1">
      <c r="A136" s="25" t="s">
        <v>153</v>
      </c>
      <c r="B136" s="68"/>
    </row>
  </sheetData>
  <mergeCells count="3">
    <mergeCell ref="A1:B1"/>
    <mergeCell ref="A33:B33"/>
    <mergeCell ref="A127:B12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F64FD-9AAA-41A5-BF29-2A1468BF44CC}">
  <dimension ref="B2:P53"/>
  <sheetViews>
    <sheetView showGridLines="0" workbookViewId="0">
      <selection activeCell="C6" sqref="C6"/>
    </sheetView>
  </sheetViews>
  <sheetFormatPr defaultRowHeight="14.5"/>
  <cols>
    <col min="2" max="2" width="16.26953125" customWidth="1"/>
    <col min="3" max="3" width="62.453125" customWidth="1"/>
    <col min="4" max="4" width="15.1796875" style="45" customWidth="1"/>
    <col min="5" max="5" width="42.1796875" customWidth="1"/>
  </cols>
  <sheetData>
    <row r="2" spans="2:16" ht="20">
      <c r="B2" s="115" t="s">
        <v>180</v>
      </c>
      <c r="C2" s="115"/>
      <c r="D2" s="115"/>
      <c r="E2" s="115"/>
    </row>
    <row r="3" spans="2:16" ht="15.5">
      <c r="B3" s="85" t="s">
        <v>181</v>
      </c>
      <c r="C3" s="86"/>
      <c r="D3" s="87" t="s">
        <v>235</v>
      </c>
      <c r="E3" s="86"/>
    </row>
    <row r="4" spans="2:16" ht="20" customHeight="1">
      <c r="B4" s="85" t="s">
        <v>182</v>
      </c>
      <c r="C4" s="86"/>
      <c r="D4" s="88" t="s">
        <v>219</v>
      </c>
      <c r="E4" s="86">
        <f>SUM(D8,D10,D12,D14,D15,D17:D18,D20,D22,D24,D26,D28,D30,D32,D34,D36,D38,D40,D42,D44,D45,D47)</f>
        <v>100</v>
      </c>
    </row>
    <row r="5" spans="2:16" ht="24">
      <c r="B5" s="85" t="s">
        <v>183</v>
      </c>
      <c r="C5" s="86"/>
      <c r="D5" s="90" t="s">
        <v>236</v>
      </c>
      <c r="E5" s="86">
        <f>COUNTIF(D48:D50,"F")</f>
        <v>0</v>
      </c>
      <c r="H5" s="94" t="s">
        <v>238</v>
      </c>
      <c r="I5" s="91"/>
      <c r="J5" s="91"/>
      <c r="K5" s="91"/>
      <c r="L5" s="91"/>
      <c r="M5" s="91"/>
      <c r="N5" s="91"/>
      <c r="O5" s="91"/>
      <c r="P5" s="91"/>
    </row>
    <row r="6" spans="2:16" ht="36.5" customHeight="1">
      <c r="B6" s="85" t="s">
        <v>184</v>
      </c>
      <c r="C6" s="86"/>
      <c r="D6" s="88" t="s">
        <v>237</v>
      </c>
      <c r="E6" s="89" t="s">
        <v>220</v>
      </c>
      <c r="H6" s="92">
        <v>12</v>
      </c>
      <c r="I6" s="92">
        <v>1</v>
      </c>
      <c r="J6" s="92">
        <v>5</v>
      </c>
      <c r="K6" s="92">
        <v>4</v>
      </c>
      <c r="L6" s="92">
        <v>3</v>
      </c>
      <c r="M6" s="92">
        <v>14</v>
      </c>
      <c r="N6" s="92">
        <v>9</v>
      </c>
      <c r="O6" s="92" t="s">
        <v>152</v>
      </c>
      <c r="P6" s="93"/>
    </row>
    <row r="7" spans="2:16">
      <c r="B7" s="116" t="s">
        <v>185</v>
      </c>
      <c r="C7" s="117"/>
      <c r="D7" s="72"/>
      <c r="E7" s="73" t="s">
        <v>186</v>
      </c>
      <c r="H7" s="92">
        <v>0</v>
      </c>
      <c r="I7" s="92">
        <v>0</v>
      </c>
      <c r="J7" s="92">
        <v>0</v>
      </c>
      <c r="K7" s="92">
        <v>0</v>
      </c>
      <c r="L7" s="92">
        <v>0</v>
      </c>
      <c r="M7" s="92">
        <v>0</v>
      </c>
      <c r="N7" s="92">
        <v>0</v>
      </c>
      <c r="O7" s="92" t="s">
        <v>153</v>
      </c>
      <c r="P7" s="93"/>
    </row>
    <row r="8" spans="2:16">
      <c r="B8" s="118" t="s">
        <v>187</v>
      </c>
      <c r="C8" s="75" t="s">
        <v>188</v>
      </c>
      <c r="D8" s="76">
        <v>12</v>
      </c>
      <c r="E8" s="77"/>
    </row>
    <row r="9" spans="2:16" ht="98.5">
      <c r="B9" s="118"/>
      <c r="C9" s="78" t="s">
        <v>189</v>
      </c>
      <c r="D9" s="76"/>
      <c r="E9" s="77"/>
    </row>
    <row r="10" spans="2:16">
      <c r="B10" s="118"/>
      <c r="C10" s="75" t="s">
        <v>190</v>
      </c>
      <c r="D10" s="76">
        <v>1</v>
      </c>
      <c r="E10" s="77"/>
    </row>
    <row r="11" spans="2:16">
      <c r="B11" s="118"/>
      <c r="C11" s="79" t="s">
        <v>196</v>
      </c>
      <c r="D11" s="76"/>
      <c r="E11" s="77"/>
    </row>
    <row r="12" spans="2:16">
      <c r="B12" s="118"/>
      <c r="C12" s="75" t="s">
        <v>191</v>
      </c>
      <c r="D12" s="76">
        <v>12</v>
      </c>
      <c r="E12" s="77"/>
    </row>
    <row r="13" spans="2:16" ht="42.5">
      <c r="B13" s="118"/>
      <c r="C13" s="78" t="s">
        <v>97</v>
      </c>
      <c r="D13" s="76"/>
      <c r="E13" s="77"/>
    </row>
    <row r="14" spans="2:16">
      <c r="B14" s="118"/>
      <c r="C14" s="75" t="s">
        <v>192</v>
      </c>
      <c r="D14" s="76">
        <v>1</v>
      </c>
      <c r="E14" s="77"/>
    </row>
    <row r="15" spans="2:16">
      <c r="B15" s="118"/>
      <c r="C15" s="75" t="s">
        <v>193</v>
      </c>
      <c r="D15" s="76">
        <v>12</v>
      </c>
      <c r="E15" s="77"/>
    </row>
    <row r="16" spans="2:16" ht="168.5">
      <c r="B16" s="118"/>
      <c r="C16" s="78" t="s">
        <v>194</v>
      </c>
      <c r="D16" s="76"/>
      <c r="E16" s="77"/>
    </row>
    <row r="17" spans="2:5">
      <c r="B17" s="118"/>
      <c r="C17" s="80" t="s">
        <v>195</v>
      </c>
      <c r="D17" s="76">
        <v>1</v>
      </c>
      <c r="E17" s="77"/>
    </row>
    <row r="18" spans="2:5">
      <c r="B18" s="119" t="s">
        <v>215</v>
      </c>
      <c r="C18" s="80" t="s">
        <v>197</v>
      </c>
      <c r="D18" s="76">
        <v>5</v>
      </c>
      <c r="E18" s="77"/>
    </row>
    <row r="19" spans="2:5" ht="70.5">
      <c r="B19" s="119"/>
      <c r="C19" s="78" t="s">
        <v>131</v>
      </c>
      <c r="D19" s="76"/>
      <c r="E19" s="77"/>
    </row>
    <row r="20" spans="2:5">
      <c r="B20" s="119"/>
      <c r="C20" s="80" t="s">
        <v>198</v>
      </c>
      <c r="D20" s="76">
        <v>5</v>
      </c>
      <c r="E20" s="77"/>
    </row>
    <row r="21" spans="2:5">
      <c r="B21" s="119"/>
      <c r="C21" s="80" t="s">
        <v>199</v>
      </c>
      <c r="D21" s="76"/>
      <c r="E21" s="77"/>
    </row>
    <row r="22" spans="2:5">
      <c r="B22" s="119"/>
      <c r="C22" s="80" t="s">
        <v>162</v>
      </c>
      <c r="D22" s="76">
        <v>4</v>
      </c>
      <c r="E22" s="77"/>
    </row>
    <row r="23" spans="2:5" ht="196.5">
      <c r="B23" s="119"/>
      <c r="C23" s="78" t="s">
        <v>234</v>
      </c>
      <c r="D23" s="76"/>
      <c r="E23" s="77"/>
    </row>
    <row r="24" spans="2:5">
      <c r="B24" s="119"/>
      <c r="C24" s="80" t="s">
        <v>114</v>
      </c>
      <c r="D24" s="76">
        <v>3</v>
      </c>
      <c r="E24" s="77"/>
    </row>
    <row r="25" spans="2:5" ht="42.5">
      <c r="B25" s="119"/>
      <c r="C25" s="82" t="s">
        <v>223</v>
      </c>
      <c r="D25" s="76"/>
      <c r="E25" s="77"/>
    </row>
    <row r="26" spans="2:5">
      <c r="B26" s="119"/>
      <c r="C26" s="80" t="s">
        <v>163</v>
      </c>
      <c r="D26" s="76">
        <v>1</v>
      </c>
      <c r="E26" s="77"/>
    </row>
    <row r="27" spans="2:5" ht="56.5">
      <c r="B27" s="119"/>
      <c r="C27" s="82" t="s">
        <v>224</v>
      </c>
      <c r="D27" s="76"/>
      <c r="E27" s="77"/>
    </row>
    <row r="28" spans="2:5">
      <c r="B28" s="119"/>
      <c r="C28" s="80" t="s">
        <v>164</v>
      </c>
      <c r="D28" s="76">
        <v>4</v>
      </c>
      <c r="E28" s="77"/>
    </row>
    <row r="29" spans="2:5" ht="42.5">
      <c r="B29" s="119"/>
      <c r="C29" s="82" t="s">
        <v>225</v>
      </c>
      <c r="D29" s="76"/>
      <c r="E29" s="77"/>
    </row>
    <row r="30" spans="2:5">
      <c r="B30" s="119"/>
      <c r="C30" s="80" t="s">
        <v>160</v>
      </c>
      <c r="D30" s="76">
        <v>1</v>
      </c>
      <c r="E30" s="77"/>
    </row>
    <row r="31" spans="2:5" ht="28.5">
      <c r="B31" s="119"/>
      <c r="C31" s="82" t="s">
        <v>226</v>
      </c>
      <c r="D31" s="76"/>
      <c r="E31" s="77"/>
    </row>
    <row r="32" spans="2:5">
      <c r="B32" s="119"/>
      <c r="C32" s="80" t="s">
        <v>178</v>
      </c>
      <c r="D32" s="76">
        <v>1</v>
      </c>
      <c r="E32" s="77"/>
    </row>
    <row r="33" spans="2:5" ht="28.5">
      <c r="B33" s="119"/>
      <c r="C33" s="82" t="s">
        <v>227</v>
      </c>
      <c r="D33" s="76"/>
      <c r="E33" s="77"/>
    </row>
    <row r="34" spans="2:5">
      <c r="B34" s="119"/>
      <c r="C34" s="80" t="s">
        <v>201</v>
      </c>
      <c r="D34" s="76">
        <v>1</v>
      </c>
      <c r="E34" s="77"/>
    </row>
    <row r="35" spans="2:5" ht="56.5">
      <c r="B35" s="119"/>
      <c r="C35" s="79" t="s">
        <v>202</v>
      </c>
      <c r="D35" s="76"/>
      <c r="E35" s="77"/>
    </row>
    <row r="36" spans="2:5">
      <c r="B36" s="119"/>
      <c r="C36" s="80" t="s">
        <v>203</v>
      </c>
      <c r="D36" s="76">
        <v>5</v>
      </c>
      <c r="E36" s="77"/>
    </row>
    <row r="37" spans="2:5" ht="117.5" customHeight="1">
      <c r="B37" s="119"/>
      <c r="C37" s="78" t="s">
        <v>204</v>
      </c>
      <c r="D37" s="76"/>
      <c r="E37" s="77"/>
    </row>
    <row r="38" spans="2:5">
      <c r="B38" s="119"/>
      <c r="C38" s="80" t="s">
        <v>205</v>
      </c>
      <c r="D38" s="76">
        <v>5</v>
      </c>
      <c r="E38" s="77"/>
    </row>
    <row r="39" spans="2:5" ht="70.5">
      <c r="B39" s="119"/>
      <c r="C39" s="83" t="s">
        <v>232</v>
      </c>
      <c r="D39" s="76"/>
      <c r="E39" s="77"/>
    </row>
    <row r="40" spans="2:5">
      <c r="B40" s="119"/>
      <c r="C40" s="80" t="s">
        <v>207</v>
      </c>
      <c r="D40" s="76">
        <v>1</v>
      </c>
      <c r="E40" s="77"/>
    </row>
    <row r="41" spans="2:5" ht="70.5">
      <c r="B41" s="119"/>
      <c r="C41" s="79" t="s">
        <v>208</v>
      </c>
      <c r="D41" s="76"/>
      <c r="E41" s="77"/>
    </row>
    <row r="42" spans="2:5">
      <c r="B42" s="119"/>
      <c r="C42" s="80" t="s">
        <v>209</v>
      </c>
      <c r="D42" s="76">
        <v>14</v>
      </c>
      <c r="E42" s="77"/>
    </row>
    <row r="43" spans="2:5" ht="168.5">
      <c r="B43" s="119"/>
      <c r="C43" s="78" t="s">
        <v>231</v>
      </c>
      <c r="D43" s="76"/>
      <c r="E43" s="77"/>
    </row>
    <row r="44" spans="2:5">
      <c r="B44" s="119"/>
      <c r="C44" s="80" t="s">
        <v>211</v>
      </c>
      <c r="D44" s="76">
        <v>1</v>
      </c>
      <c r="E44" s="77"/>
    </row>
    <row r="45" spans="2:5">
      <c r="B45" s="119"/>
      <c r="C45" s="80" t="s">
        <v>212</v>
      </c>
      <c r="D45" s="76">
        <v>9</v>
      </c>
      <c r="E45" s="77"/>
    </row>
    <row r="46" spans="2:5" ht="202" customHeight="1">
      <c r="B46" s="119"/>
      <c r="C46" s="83" t="s">
        <v>233</v>
      </c>
      <c r="D46" s="76"/>
      <c r="E46" s="77"/>
    </row>
    <row r="47" spans="2:5">
      <c r="B47" s="119"/>
      <c r="C47" s="80" t="s">
        <v>214</v>
      </c>
      <c r="D47" s="76">
        <v>1</v>
      </c>
      <c r="E47" s="77"/>
    </row>
    <row r="48" spans="2:5">
      <c r="B48" s="120" t="s">
        <v>216</v>
      </c>
      <c r="C48" s="84" t="s">
        <v>151</v>
      </c>
      <c r="D48" s="76" t="s">
        <v>152</v>
      </c>
      <c r="E48" s="77"/>
    </row>
    <row r="49" spans="2:5">
      <c r="B49" s="120"/>
      <c r="C49" s="84" t="s">
        <v>154</v>
      </c>
      <c r="D49" s="76" t="s">
        <v>152</v>
      </c>
      <c r="E49" s="77"/>
    </row>
    <row r="50" spans="2:5">
      <c r="B50" s="120"/>
      <c r="C50" s="84" t="s">
        <v>155</v>
      </c>
      <c r="D50" s="76" t="s">
        <v>152</v>
      </c>
      <c r="E50" s="77"/>
    </row>
    <row r="51" spans="2:5">
      <c r="B51" s="113" t="s">
        <v>217</v>
      </c>
      <c r="C51" s="113"/>
      <c r="D51" s="76">
        <f>SUM(D8:D47)</f>
        <v>100</v>
      </c>
      <c r="E51" s="114"/>
    </row>
    <row r="52" spans="2:5">
      <c r="B52" s="113" t="s">
        <v>218</v>
      </c>
      <c r="C52" s="113"/>
      <c r="D52" s="76">
        <v>100</v>
      </c>
      <c r="E52" s="114"/>
    </row>
    <row r="53" spans="2:5">
      <c r="B53" s="113" t="s">
        <v>219</v>
      </c>
      <c r="C53" s="113"/>
      <c r="D53" s="76">
        <f>SUM(D8:D47)</f>
        <v>100</v>
      </c>
      <c r="E53" s="114"/>
    </row>
  </sheetData>
  <mergeCells count="9">
    <mergeCell ref="B51:C51"/>
    <mergeCell ref="E51:E53"/>
    <mergeCell ref="B52:C52"/>
    <mergeCell ref="B53:C53"/>
    <mergeCell ref="B2:E2"/>
    <mergeCell ref="B7:C7"/>
    <mergeCell ref="B8:B17"/>
    <mergeCell ref="B18:B47"/>
    <mergeCell ref="B48:B50"/>
  </mergeCells>
  <conditionalFormatting sqref="E4">
    <cfRule type="cellIs" dxfId="7" priority="1" operator="lessThan">
      <formula>97.9</formula>
    </cfRule>
    <cfRule type="cellIs" dxfId="6" priority="2" operator="greaterThan">
      <formula>97.9</formula>
    </cfRule>
  </conditionalFormatting>
  <conditionalFormatting sqref="E6">
    <cfRule type="containsText" dxfId="5" priority="3" operator="containsText" text="PASS">
      <formula>NOT(ISERROR(SEARCH("PASS",E6)))</formula>
    </cfRule>
    <cfRule type="containsText" dxfId="4" priority="4" operator="containsText" text="FAIL">
      <formula>NOT(ISERROR(SEARCH("FAIL",E6)))</formula>
    </cfRule>
  </conditionalFormatting>
  <dataValidations count="9">
    <dataValidation type="list" allowBlank="1" showInputMessage="1" showErrorMessage="1" sqref="E6" xr:uid="{FF84DC62-03FC-43BF-9245-BB1DEB98E8BC}">
      <formula1>"PASS, FAIL"</formula1>
    </dataValidation>
    <dataValidation type="list" allowBlank="1" showInputMessage="1" showErrorMessage="1" sqref="D8 D12 D15" xr:uid="{D60A13F7-5D61-48AB-A073-030B4463F4F9}">
      <formula1>$H$6:$H$7</formula1>
    </dataValidation>
    <dataValidation type="list" allowBlank="1" showInputMessage="1" showErrorMessage="1" sqref="D10 D14 D17 D47 D26 D40 D44 D30 D32 D34" xr:uid="{B6DB9826-FB86-454A-A725-1011946BA7EE}">
      <formula1>$I$6:$I$7</formula1>
    </dataValidation>
    <dataValidation type="list" allowBlank="1" showInputMessage="1" showErrorMessage="1" sqref="D18 D38 D36 D20" xr:uid="{B161000D-5B41-40F9-A39F-B5BA6F33E22D}">
      <formula1>$J$6:$J$7</formula1>
    </dataValidation>
    <dataValidation type="list" allowBlank="1" showInputMessage="1" showErrorMessage="1" sqref="D28 D22" xr:uid="{B8568300-5752-4959-9A1A-DED60944A599}">
      <formula1>$K$6:$K$7</formula1>
    </dataValidation>
    <dataValidation type="list" allowBlank="1" showInputMessage="1" showErrorMessage="1" sqref="D24" xr:uid="{5CAD0B78-4B11-4D83-937E-D115AA9EC47A}">
      <formula1>$L$6:$L$7</formula1>
    </dataValidation>
    <dataValidation type="list" allowBlank="1" showInputMessage="1" showErrorMessage="1" sqref="D42" xr:uid="{14B08D6F-73AE-48FC-B516-8302C03B5480}">
      <formula1>$M$6:$M$7</formula1>
    </dataValidation>
    <dataValidation type="list" allowBlank="1" showInputMessage="1" showErrorMessage="1" sqref="D45" xr:uid="{FB83EC35-4557-4229-9B7A-FB38478F62FD}">
      <formula1>$N$6:$N$7</formula1>
    </dataValidation>
    <dataValidation type="list" allowBlank="1" showInputMessage="1" showErrorMessage="1" sqref="D48:D50" xr:uid="{9BC02E64-8221-4C1C-B882-4ACECADE0D01}">
      <formula1>$O$6:$O$7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D3B38-6FBA-4B84-869D-DD6EFEBD4A6F}">
  <dimension ref="B2:Q95"/>
  <sheetViews>
    <sheetView showGridLines="0" tabSelected="1" topLeftCell="A10" zoomScale="85" zoomScaleNormal="85" workbookViewId="0">
      <selection activeCell="F14" sqref="F14"/>
    </sheetView>
  </sheetViews>
  <sheetFormatPr defaultRowHeight="14.5"/>
  <cols>
    <col min="2" max="2" width="16.26953125" customWidth="1"/>
    <col min="3" max="3" width="16.26953125" style="45" customWidth="1"/>
    <col min="4" max="4" width="70.7265625" customWidth="1"/>
    <col min="5" max="5" width="15.1796875" style="45" customWidth="1"/>
    <col min="6" max="6" width="42.1796875" customWidth="1"/>
  </cols>
  <sheetData>
    <row r="2" spans="2:17" ht="20">
      <c r="B2" s="115" t="s">
        <v>180</v>
      </c>
      <c r="C2" s="115"/>
      <c r="D2" s="115"/>
      <c r="E2" s="115"/>
      <c r="F2" s="115"/>
    </row>
    <row r="3" spans="2:17" ht="15.5">
      <c r="B3" s="85" t="s">
        <v>181</v>
      </c>
      <c r="C3" s="86"/>
      <c r="D3" s="86"/>
      <c r="E3" s="87" t="s">
        <v>235</v>
      </c>
      <c r="F3" s="86"/>
    </row>
    <row r="4" spans="2:17" ht="20" customHeight="1">
      <c r="B4" s="85" t="s">
        <v>182</v>
      </c>
      <c r="C4" s="86"/>
      <c r="D4" s="86"/>
      <c r="E4" s="88" t="s">
        <v>219</v>
      </c>
      <c r="F4" s="86" t="e">
        <f>SUM(E8,E13,E15,E17,E19,E24:E26,E30,#REF!,E42,E45,E48,E50,E52,E54,E58,E64,E69,E74,E80,E82,E89)</f>
        <v>#REF!</v>
      </c>
    </row>
    <row r="5" spans="2:17" ht="24">
      <c r="B5" s="85" t="s">
        <v>183</v>
      </c>
      <c r="C5" s="86"/>
      <c r="D5" s="86"/>
      <c r="E5" s="90" t="s">
        <v>236</v>
      </c>
      <c r="F5" s="86">
        <f>COUNTIF(E90:E92,"F")</f>
        <v>0</v>
      </c>
      <c r="I5" s="94" t="s">
        <v>238</v>
      </c>
      <c r="J5" s="91"/>
      <c r="K5" s="91"/>
      <c r="L5" s="91"/>
      <c r="M5" s="91"/>
      <c r="N5" s="91"/>
      <c r="O5" s="91"/>
      <c r="P5" s="91"/>
      <c r="Q5" s="91"/>
    </row>
    <row r="6" spans="2:17" ht="36.5" customHeight="1">
      <c r="B6" s="131" t="s">
        <v>184</v>
      </c>
      <c r="C6" s="132"/>
      <c r="D6" s="132"/>
      <c r="E6" s="88" t="s">
        <v>237</v>
      </c>
      <c r="F6" s="89" t="s">
        <v>220</v>
      </c>
      <c r="I6" s="92">
        <v>12</v>
      </c>
      <c r="J6" s="92">
        <v>1</v>
      </c>
      <c r="K6" s="92">
        <v>5</v>
      </c>
      <c r="L6" s="92">
        <v>4</v>
      </c>
      <c r="M6" s="92">
        <v>3</v>
      </c>
      <c r="N6" s="92">
        <v>14</v>
      </c>
      <c r="O6" s="92">
        <v>9</v>
      </c>
      <c r="P6" s="92" t="s">
        <v>152</v>
      </c>
      <c r="Q6" s="93"/>
    </row>
    <row r="7" spans="2:17">
      <c r="B7" s="116" t="s">
        <v>185</v>
      </c>
      <c r="C7" s="117"/>
      <c r="D7" s="117"/>
      <c r="E7" s="72"/>
      <c r="F7" s="73" t="s">
        <v>186</v>
      </c>
      <c r="I7" s="92">
        <v>0</v>
      </c>
      <c r="J7" s="92">
        <v>0</v>
      </c>
      <c r="K7" s="92">
        <v>0</v>
      </c>
      <c r="L7" s="92">
        <v>0</v>
      </c>
      <c r="M7" s="92">
        <v>0</v>
      </c>
      <c r="N7" s="92">
        <v>0</v>
      </c>
      <c r="O7" s="92">
        <v>0</v>
      </c>
      <c r="P7" s="92" t="s">
        <v>153</v>
      </c>
      <c r="Q7" s="93"/>
    </row>
    <row r="8" spans="2:17">
      <c r="B8" s="123" t="s">
        <v>187</v>
      </c>
      <c r="C8" s="121" t="s">
        <v>188</v>
      </c>
      <c r="D8" s="122"/>
      <c r="E8" s="76">
        <v>12</v>
      </c>
      <c r="F8" s="77"/>
    </row>
    <row r="9" spans="2:17">
      <c r="B9" s="124"/>
      <c r="C9" s="74" t="s">
        <v>239</v>
      </c>
      <c r="D9" s="78" t="s">
        <v>93</v>
      </c>
      <c r="E9" s="76"/>
      <c r="F9" s="77"/>
    </row>
    <row r="10" spans="2:17" ht="28.5">
      <c r="B10" s="124"/>
      <c r="C10" s="74" t="s">
        <v>240</v>
      </c>
      <c r="D10" s="78" t="s">
        <v>94</v>
      </c>
      <c r="E10" s="76"/>
      <c r="F10" s="77"/>
    </row>
    <row r="11" spans="2:17" ht="28.5">
      <c r="B11" s="124"/>
      <c r="C11" s="74" t="s">
        <v>241</v>
      </c>
      <c r="D11" s="78" t="s">
        <v>95</v>
      </c>
      <c r="E11" s="76"/>
      <c r="F11" s="77"/>
    </row>
    <row r="12" spans="2:17" ht="28.5">
      <c r="B12" s="124"/>
      <c r="C12" s="74" t="s">
        <v>242</v>
      </c>
      <c r="D12" s="78" t="s">
        <v>244</v>
      </c>
      <c r="E12" s="76"/>
      <c r="F12" s="77"/>
    </row>
    <row r="13" spans="2:17">
      <c r="B13" s="124"/>
      <c r="C13" s="121" t="s">
        <v>190</v>
      </c>
      <c r="D13" s="122"/>
      <c r="E13" s="76">
        <v>1</v>
      </c>
      <c r="F13" s="77"/>
    </row>
    <row r="14" spans="2:17">
      <c r="B14" s="124"/>
      <c r="C14" s="74" t="s">
        <v>239</v>
      </c>
      <c r="D14" s="79" t="s">
        <v>196</v>
      </c>
      <c r="E14" s="76"/>
      <c r="F14" s="77"/>
    </row>
    <row r="15" spans="2:17">
      <c r="B15" s="124"/>
      <c r="C15" s="121" t="s">
        <v>191</v>
      </c>
      <c r="D15" s="122"/>
      <c r="E15" s="76">
        <v>12</v>
      </c>
      <c r="F15" s="77"/>
    </row>
    <row r="16" spans="2:17" ht="42.5">
      <c r="B16" s="124"/>
      <c r="C16" s="74" t="s">
        <v>239</v>
      </c>
      <c r="D16" s="78" t="s">
        <v>97</v>
      </c>
      <c r="E16" s="76"/>
      <c r="F16" s="77"/>
    </row>
    <row r="17" spans="2:6">
      <c r="B17" s="124"/>
      <c r="C17" s="121" t="s">
        <v>192</v>
      </c>
      <c r="D17" s="122"/>
      <c r="E17" s="76">
        <v>1</v>
      </c>
      <c r="F17" s="77"/>
    </row>
    <row r="18" spans="2:6">
      <c r="B18" s="124"/>
      <c r="C18" s="74" t="s">
        <v>239</v>
      </c>
      <c r="D18" s="79" t="s">
        <v>243</v>
      </c>
      <c r="E18" s="96"/>
      <c r="F18" s="77"/>
    </row>
    <row r="19" spans="2:6">
      <c r="B19" s="124"/>
      <c r="C19" s="121" t="s">
        <v>193</v>
      </c>
      <c r="D19" s="122"/>
      <c r="E19" s="76">
        <v>12</v>
      </c>
      <c r="F19" s="77"/>
    </row>
    <row r="20" spans="2:6" ht="28.5">
      <c r="B20" s="124"/>
      <c r="C20" s="74" t="s">
        <v>239</v>
      </c>
      <c r="D20" s="78" t="s">
        <v>249</v>
      </c>
      <c r="E20" s="76"/>
      <c r="F20" s="77"/>
    </row>
    <row r="21" spans="2:6" ht="28.5">
      <c r="B21" s="124"/>
      <c r="C21" s="74" t="s">
        <v>240</v>
      </c>
      <c r="D21" s="78" t="s">
        <v>246</v>
      </c>
      <c r="E21" s="76"/>
      <c r="F21" s="77"/>
    </row>
    <row r="22" spans="2:6">
      <c r="B22" s="124"/>
      <c r="C22" s="74" t="s">
        <v>242</v>
      </c>
      <c r="D22" s="78" t="s">
        <v>248</v>
      </c>
      <c r="E22" s="76"/>
      <c r="F22" s="77"/>
    </row>
    <row r="23" spans="2:6">
      <c r="B23" s="124"/>
      <c r="C23" s="74" t="s">
        <v>245</v>
      </c>
      <c r="D23" s="78" t="s">
        <v>250</v>
      </c>
      <c r="E23" s="76"/>
      <c r="F23" s="77"/>
    </row>
    <row r="24" spans="2:6">
      <c r="B24" s="124"/>
      <c r="C24" s="126" t="s">
        <v>195</v>
      </c>
      <c r="D24" s="127"/>
      <c r="E24" s="76">
        <v>1</v>
      </c>
      <c r="F24" s="77"/>
    </row>
    <row r="25" spans="2:6">
      <c r="B25" s="125"/>
      <c r="C25" s="74" t="s">
        <v>239</v>
      </c>
      <c r="D25" s="78" t="s">
        <v>247</v>
      </c>
      <c r="E25" s="77"/>
      <c r="F25" s="77"/>
    </row>
    <row r="26" spans="2:6">
      <c r="B26" s="128" t="s">
        <v>215</v>
      </c>
      <c r="C26" s="126" t="s">
        <v>197</v>
      </c>
      <c r="D26" s="127"/>
      <c r="E26" s="76">
        <v>5</v>
      </c>
      <c r="F26" s="77"/>
    </row>
    <row r="27" spans="2:6">
      <c r="B27" s="129"/>
      <c r="C27" s="81" t="s">
        <v>239</v>
      </c>
      <c r="D27" s="78" t="s">
        <v>253</v>
      </c>
      <c r="E27" s="76"/>
      <c r="F27" s="77"/>
    </row>
    <row r="28" spans="2:6">
      <c r="B28" s="129"/>
      <c r="C28" s="81" t="s">
        <v>240</v>
      </c>
      <c r="D28" s="78" t="s">
        <v>251</v>
      </c>
      <c r="E28" s="76"/>
      <c r="F28" s="77"/>
    </row>
    <row r="29" spans="2:6" ht="28.5">
      <c r="B29" s="129"/>
      <c r="C29" s="81" t="s">
        <v>241</v>
      </c>
      <c r="D29" s="78" t="s">
        <v>252</v>
      </c>
      <c r="E29" s="76"/>
      <c r="F29" s="77"/>
    </row>
    <row r="30" spans="2:6">
      <c r="B30" s="129"/>
      <c r="C30" s="126" t="s">
        <v>198</v>
      </c>
      <c r="D30" s="127"/>
      <c r="E30" s="76">
        <v>5</v>
      </c>
      <c r="F30" s="77"/>
    </row>
    <row r="31" spans="2:6">
      <c r="B31" s="129"/>
      <c r="C31" s="81" t="s">
        <v>239</v>
      </c>
      <c r="D31" s="77" t="s">
        <v>198</v>
      </c>
      <c r="E31" s="77"/>
      <c r="F31" s="77"/>
    </row>
    <row r="32" spans="2:6">
      <c r="B32" s="129"/>
      <c r="C32" s="126" t="s">
        <v>254</v>
      </c>
      <c r="D32" s="127"/>
      <c r="E32" s="76">
        <v>4</v>
      </c>
      <c r="F32" s="77"/>
    </row>
    <row r="33" spans="2:6">
      <c r="B33" s="129"/>
      <c r="C33" s="81" t="s">
        <v>239</v>
      </c>
      <c r="D33" s="78" t="s">
        <v>258</v>
      </c>
      <c r="E33" s="76"/>
      <c r="F33" s="77"/>
    </row>
    <row r="34" spans="2:6" ht="28.5">
      <c r="B34" s="129"/>
      <c r="C34" s="81" t="s">
        <v>240</v>
      </c>
      <c r="D34" s="78" t="s">
        <v>171</v>
      </c>
      <c r="E34" s="76"/>
      <c r="F34" s="77"/>
    </row>
    <row r="35" spans="2:6">
      <c r="B35" s="129"/>
      <c r="C35" s="81" t="s">
        <v>241</v>
      </c>
      <c r="D35" s="78" t="s">
        <v>172</v>
      </c>
      <c r="E35" s="76"/>
      <c r="F35" s="77"/>
    </row>
    <row r="36" spans="2:6">
      <c r="B36" s="129"/>
      <c r="C36" s="81" t="s">
        <v>242</v>
      </c>
      <c r="D36" s="78" t="s">
        <v>176</v>
      </c>
      <c r="E36" s="76"/>
      <c r="F36" s="77"/>
    </row>
    <row r="37" spans="2:6">
      <c r="B37" s="129"/>
      <c r="C37" s="81" t="s">
        <v>245</v>
      </c>
      <c r="D37" s="78" t="s">
        <v>173</v>
      </c>
      <c r="E37" s="76"/>
      <c r="F37" s="77"/>
    </row>
    <row r="38" spans="2:6" ht="28.5">
      <c r="B38" s="129"/>
      <c r="C38" s="81" t="s">
        <v>255</v>
      </c>
      <c r="D38" s="79" t="s">
        <v>259</v>
      </c>
      <c r="E38" s="76"/>
      <c r="F38" s="77"/>
    </row>
    <row r="39" spans="2:6">
      <c r="B39" s="129"/>
      <c r="C39" s="81" t="s">
        <v>256</v>
      </c>
      <c r="D39" s="79" t="s">
        <v>260</v>
      </c>
      <c r="E39" s="76"/>
      <c r="F39" s="77"/>
    </row>
    <row r="40" spans="2:6">
      <c r="B40" s="129"/>
      <c r="C40" s="81" t="s">
        <v>257</v>
      </c>
      <c r="D40" s="79" t="s">
        <v>262</v>
      </c>
      <c r="E40" s="76"/>
      <c r="F40" s="77"/>
    </row>
    <row r="41" spans="2:6" ht="28.5">
      <c r="B41" s="129"/>
      <c r="C41" s="81" t="s">
        <v>261</v>
      </c>
      <c r="D41" s="78" t="s">
        <v>263</v>
      </c>
      <c r="E41" s="76"/>
      <c r="F41" s="77"/>
    </row>
    <row r="42" spans="2:6">
      <c r="B42" s="129"/>
      <c r="C42" s="126" t="s">
        <v>114</v>
      </c>
      <c r="D42" s="127"/>
      <c r="E42" s="76">
        <v>3</v>
      </c>
      <c r="F42" s="77"/>
    </row>
    <row r="43" spans="2:6" ht="28.5">
      <c r="B43" s="129"/>
      <c r="C43" s="81" t="s">
        <v>239</v>
      </c>
      <c r="D43" s="82" t="s">
        <v>264</v>
      </c>
      <c r="E43" s="76"/>
      <c r="F43" s="77"/>
    </row>
    <row r="44" spans="2:6" ht="28.5">
      <c r="B44" s="129"/>
      <c r="C44" s="81" t="s">
        <v>240</v>
      </c>
      <c r="D44" s="82" t="s">
        <v>265</v>
      </c>
      <c r="E44" s="76"/>
      <c r="F44" s="77"/>
    </row>
    <row r="45" spans="2:6">
      <c r="B45" s="129"/>
      <c r="C45" s="126" t="s">
        <v>163</v>
      </c>
      <c r="D45" s="127"/>
      <c r="E45" s="76">
        <v>1</v>
      </c>
      <c r="F45" s="77"/>
    </row>
    <row r="46" spans="2:6" ht="28.5">
      <c r="B46" s="129"/>
      <c r="C46" s="81" t="s">
        <v>239</v>
      </c>
      <c r="D46" s="82" t="s">
        <v>266</v>
      </c>
      <c r="E46" s="76"/>
      <c r="F46" s="77"/>
    </row>
    <row r="47" spans="2:6">
      <c r="B47" s="129"/>
      <c r="C47" s="81" t="s">
        <v>240</v>
      </c>
      <c r="D47" s="82" t="s">
        <v>267</v>
      </c>
      <c r="E47" s="76"/>
      <c r="F47" s="77"/>
    </row>
    <row r="48" spans="2:6">
      <c r="B48" s="129"/>
      <c r="C48" s="126" t="s">
        <v>164</v>
      </c>
      <c r="D48" s="127"/>
      <c r="E48" s="76">
        <v>4</v>
      </c>
      <c r="F48" s="77"/>
    </row>
    <row r="49" spans="2:6" ht="45" customHeight="1">
      <c r="B49" s="129"/>
      <c r="C49" s="81" t="s">
        <v>239</v>
      </c>
      <c r="D49" s="97" t="s">
        <v>268</v>
      </c>
      <c r="E49" s="76"/>
      <c r="F49" s="77"/>
    </row>
    <row r="50" spans="2:6">
      <c r="B50" s="129"/>
      <c r="C50" s="126" t="s">
        <v>160</v>
      </c>
      <c r="D50" s="127"/>
      <c r="E50" s="76">
        <v>1</v>
      </c>
      <c r="F50" s="77"/>
    </row>
    <row r="51" spans="2:6" ht="28.5">
      <c r="B51" s="129"/>
      <c r="C51" s="81" t="s">
        <v>239</v>
      </c>
      <c r="D51" s="82" t="s">
        <v>226</v>
      </c>
      <c r="E51" s="76"/>
      <c r="F51" s="77"/>
    </row>
    <row r="52" spans="2:6">
      <c r="B52" s="129"/>
      <c r="C52" s="126" t="s">
        <v>178</v>
      </c>
      <c r="D52" s="127"/>
      <c r="E52" s="76">
        <v>1</v>
      </c>
      <c r="F52" s="77"/>
    </row>
    <row r="53" spans="2:6" ht="28.5">
      <c r="B53" s="129"/>
      <c r="C53" s="81" t="s">
        <v>239</v>
      </c>
      <c r="D53" s="82" t="s">
        <v>227</v>
      </c>
      <c r="E53" s="76"/>
      <c r="F53" s="77"/>
    </row>
    <row r="54" spans="2:6">
      <c r="B54" s="129"/>
      <c r="C54" s="126" t="s">
        <v>201</v>
      </c>
      <c r="D54" s="127"/>
      <c r="E54" s="76">
        <v>1</v>
      </c>
      <c r="F54" s="77"/>
    </row>
    <row r="55" spans="2:6" ht="26" customHeight="1">
      <c r="B55" s="129"/>
      <c r="C55" s="81" t="s">
        <v>239</v>
      </c>
      <c r="D55" s="79" t="s">
        <v>177</v>
      </c>
      <c r="E55" s="76"/>
      <c r="F55" s="77"/>
    </row>
    <row r="56" spans="2:6">
      <c r="B56" s="129"/>
      <c r="C56" s="81" t="s">
        <v>240</v>
      </c>
      <c r="D56" s="79" t="s">
        <v>169</v>
      </c>
      <c r="E56" s="76"/>
      <c r="F56" s="77"/>
    </row>
    <row r="57" spans="2:6">
      <c r="B57" s="129"/>
      <c r="C57" s="81" t="s">
        <v>241</v>
      </c>
      <c r="D57" s="79" t="s">
        <v>170</v>
      </c>
      <c r="E57" s="76"/>
      <c r="F57" s="77"/>
    </row>
    <row r="58" spans="2:6">
      <c r="B58" s="129"/>
      <c r="C58" s="126" t="s">
        <v>269</v>
      </c>
      <c r="D58" s="127"/>
      <c r="E58" s="76">
        <v>5</v>
      </c>
      <c r="F58" s="77"/>
    </row>
    <row r="59" spans="2:6" ht="22" customHeight="1">
      <c r="B59" s="129"/>
      <c r="C59" s="81" t="s">
        <v>239</v>
      </c>
      <c r="D59" s="98" t="s">
        <v>117</v>
      </c>
      <c r="E59" s="76"/>
      <c r="F59" s="77"/>
    </row>
    <row r="60" spans="2:6" ht="28.5" customHeight="1">
      <c r="B60" s="129"/>
      <c r="C60" s="81" t="s">
        <v>240</v>
      </c>
      <c r="D60" s="78" t="s">
        <v>118</v>
      </c>
      <c r="E60" s="76"/>
      <c r="F60" s="77"/>
    </row>
    <row r="61" spans="2:6" ht="32" customHeight="1">
      <c r="B61" s="129"/>
      <c r="C61" s="81" t="s">
        <v>241</v>
      </c>
      <c r="D61" s="78" t="s">
        <v>119</v>
      </c>
      <c r="E61" s="76"/>
      <c r="F61" s="77"/>
    </row>
    <row r="62" spans="2:6" ht="17.5" customHeight="1">
      <c r="B62" s="129"/>
      <c r="C62" s="81" t="s">
        <v>242</v>
      </c>
      <c r="D62" s="78" t="s">
        <v>120</v>
      </c>
      <c r="E62" s="76"/>
      <c r="F62" s="77"/>
    </row>
    <row r="63" spans="2:6" ht="31.5" customHeight="1">
      <c r="B63" s="129"/>
      <c r="C63" s="81" t="s">
        <v>245</v>
      </c>
      <c r="D63" s="78" t="s">
        <v>121</v>
      </c>
      <c r="E63" s="76"/>
      <c r="F63" s="77"/>
    </row>
    <row r="64" spans="2:6">
      <c r="B64" s="129"/>
      <c r="C64" s="126" t="s">
        <v>205</v>
      </c>
      <c r="D64" s="127"/>
      <c r="E64" s="76">
        <v>5</v>
      </c>
      <c r="F64" s="77"/>
    </row>
    <row r="65" spans="2:6">
      <c r="B65" s="129"/>
      <c r="C65" s="81" t="s">
        <v>239</v>
      </c>
      <c r="D65" s="83" t="s">
        <v>123</v>
      </c>
      <c r="E65" s="76"/>
      <c r="F65" s="77"/>
    </row>
    <row r="66" spans="2:6">
      <c r="B66" s="129"/>
      <c r="C66" s="81" t="s">
        <v>240</v>
      </c>
      <c r="D66" s="83" t="s">
        <v>124</v>
      </c>
      <c r="E66" s="76"/>
      <c r="F66" s="77"/>
    </row>
    <row r="67" spans="2:6" ht="28.5">
      <c r="B67" s="129"/>
      <c r="C67" s="81" t="s">
        <v>241</v>
      </c>
      <c r="D67" s="83" t="s">
        <v>270</v>
      </c>
      <c r="E67" s="76"/>
      <c r="F67" s="77"/>
    </row>
    <row r="68" spans="2:6">
      <c r="B68" s="129"/>
      <c r="C68" s="81" t="s">
        <v>242</v>
      </c>
      <c r="D68" s="83" t="s">
        <v>126</v>
      </c>
      <c r="E68" s="76"/>
      <c r="F68" s="77"/>
    </row>
    <row r="69" spans="2:6">
      <c r="B69" s="129"/>
      <c r="C69" s="126" t="s">
        <v>271</v>
      </c>
      <c r="D69" s="127"/>
      <c r="E69" s="76">
        <v>1</v>
      </c>
      <c r="F69" s="77"/>
    </row>
    <row r="70" spans="2:6">
      <c r="B70" s="129"/>
      <c r="C70" s="81" t="s">
        <v>239</v>
      </c>
      <c r="D70" s="79" t="s">
        <v>135</v>
      </c>
      <c r="E70" s="76"/>
      <c r="F70" s="77"/>
    </row>
    <row r="71" spans="2:6">
      <c r="B71" s="129"/>
      <c r="C71" s="81" t="s">
        <v>240</v>
      </c>
      <c r="D71" s="79" t="s">
        <v>136</v>
      </c>
      <c r="E71" s="76"/>
      <c r="F71" s="77"/>
    </row>
    <row r="72" spans="2:6">
      <c r="B72" s="129"/>
      <c r="C72" s="81" t="s">
        <v>241</v>
      </c>
      <c r="D72" s="79" t="s">
        <v>166</v>
      </c>
      <c r="E72" s="76"/>
      <c r="F72" s="77"/>
    </row>
    <row r="73" spans="2:6">
      <c r="B73" s="129"/>
      <c r="C73" s="81" t="s">
        <v>242</v>
      </c>
      <c r="D73" s="79" t="s">
        <v>137</v>
      </c>
      <c r="E73" s="76"/>
      <c r="F73" s="77"/>
    </row>
    <row r="74" spans="2:6">
      <c r="B74" s="129"/>
      <c r="C74" s="126" t="s">
        <v>209</v>
      </c>
      <c r="D74" s="127"/>
      <c r="E74" s="76">
        <v>14</v>
      </c>
      <c r="F74" s="77"/>
    </row>
    <row r="75" spans="2:6" ht="70.5">
      <c r="B75" s="129"/>
      <c r="C75" s="81" t="s">
        <v>239</v>
      </c>
      <c r="D75" s="78" t="s">
        <v>141</v>
      </c>
      <c r="E75" s="76"/>
      <c r="F75" s="41"/>
    </row>
    <row r="76" spans="2:6" ht="28.5">
      <c r="B76" s="129"/>
      <c r="C76" s="81" t="s">
        <v>240</v>
      </c>
      <c r="D76" s="78" t="s">
        <v>140</v>
      </c>
      <c r="E76" s="76"/>
      <c r="F76" s="77"/>
    </row>
    <row r="77" spans="2:6">
      <c r="B77" s="129"/>
      <c r="C77" s="81" t="s">
        <v>241</v>
      </c>
      <c r="D77" s="78" t="s">
        <v>142</v>
      </c>
      <c r="E77" s="76"/>
      <c r="F77" s="77"/>
    </row>
    <row r="78" spans="2:6">
      <c r="B78" s="129"/>
      <c r="C78" s="81" t="s">
        <v>242</v>
      </c>
      <c r="D78" s="78" t="s">
        <v>272</v>
      </c>
      <c r="E78" s="76"/>
      <c r="F78" s="77"/>
    </row>
    <row r="79" spans="2:6">
      <c r="B79" s="129"/>
      <c r="C79" s="81" t="s">
        <v>245</v>
      </c>
      <c r="D79" s="78" t="s">
        <v>158</v>
      </c>
      <c r="E79" s="76"/>
      <c r="F79" s="77"/>
    </row>
    <row r="80" spans="2:6">
      <c r="B80" s="129"/>
      <c r="C80" s="126" t="s">
        <v>211</v>
      </c>
      <c r="D80" s="127"/>
      <c r="E80" s="76">
        <v>1</v>
      </c>
      <c r="F80" s="77"/>
    </row>
    <row r="81" spans="2:7">
      <c r="B81" s="129"/>
      <c r="C81" s="81" t="s">
        <v>239</v>
      </c>
      <c r="D81" s="99" t="s">
        <v>273</v>
      </c>
      <c r="E81" s="76"/>
      <c r="F81" s="77"/>
    </row>
    <row r="82" spans="2:7">
      <c r="B82" s="129"/>
      <c r="C82" s="126" t="s">
        <v>274</v>
      </c>
      <c r="D82" s="127"/>
      <c r="E82" s="76">
        <v>9</v>
      </c>
      <c r="F82" s="77"/>
    </row>
    <row r="83" spans="2:7" ht="54" customHeight="1">
      <c r="B83" s="129"/>
      <c r="C83" s="81" t="s">
        <v>239</v>
      </c>
      <c r="D83" s="83" t="s">
        <v>148</v>
      </c>
      <c r="E83" s="76"/>
      <c r="F83" s="77"/>
    </row>
    <row r="84" spans="2:7" ht="17.5" customHeight="1">
      <c r="B84" s="129"/>
      <c r="C84" s="81" t="s">
        <v>240</v>
      </c>
      <c r="D84" s="83" t="s">
        <v>149</v>
      </c>
      <c r="E84" s="76"/>
      <c r="F84" s="77"/>
    </row>
    <row r="85" spans="2:7" ht="28.5">
      <c r="B85" s="129"/>
      <c r="C85" s="81" t="s">
        <v>241</v>
      </c>
      <c r="D85" s="83" t="s">
        <v>275</v>
      </c>
      <c r="E85" s="76"/>
      <c r="F85" s="77"/>
    </row>
    <row r="86" spans="2:7" ht="28.5">
      <c r="B86" s="129"/>
      <c r="C86" s="81" t="s">
        <v>242</v>
      </c>
      <c r="D86" s="83" t="s">
        <v>276</v>
      </c>
      <c r="E86" s="76"/>
      <c r="F86" s="77"/>
      <c r="G86" s="77"/>
    </row>
    <row r="87" spans="2:7" ht="28.5">
      <c r="B87" s="129"/>
      <c r="C87" s="81" t="s">
        <v>245</v>
      </c>
      <c r="D87" s="83" t="s">
        <v>277</v>
      </c>
      <c r="E87" s="76"/>
      <c r="F87" s="41"/>
    </row>
    <row r="88" spans="2:7" ht="42.5">
      <c r="B88" s="129"/>
      <c r="C88" s="81" t="s">
        <v>255</v>
      </c>
      <c r="D88" s="83" t="s">
        <v>278</v>
      </c>
      <c r="E88" s="76"/>
      <c r="F88" s="77"/>
    </row>
    <row r="89" spans="2:7">
      <c r="B89" s="130"/>
      <c r="C89" s="126" t="s">
        <v>214</v>
      </c>
      <c r="D89" s="127"/>
      <c r="E89" s="76">
        <v>1</v>
      </c>
      <c r="F89" s="77"/>
    </row>
    <row r="90" spans="2:7">
      <c r="B90" s="120" t="s">
        <v>216</v>
      </c>
      <c r="C90" s="95" t="s">
        <v>239</v>
      </c>
      <c r="D90" s="84" t="s">
        <v>151</v>
      </c>
      <c r="E90" s="76" t="s">
        <v>152</v>
      </c>
      <c r="F90" s="77"/>
    </row>
    <row r="91" spans="2:7">
      <c r="B91" s="120"/>
      <c r="C91" s="95" t="s">
        <v>240</v>
      </c>
      <c r="D91" s="84" t="s">
        <v>154</v>
      </c>
      <c r="E91" s="76" t="s">
        <v>152</v>
      </c>
      <c r="F91" s="77"/>
    </row>
    <row r="92" spans="2:7">
      <c r="B92" s="120"/>
      <c r="C92" s="95" t="s">
        <v>241</v>
      </c>
      <c r="D92" s="84" t="s">
        <v>155</v>
      </c>
      <c r="E92" s="76" t="s">
        <v>152</v>
      </c>
      <c r="F92" s="77"/>
    </row>
    <row r="93" spans="2:7">
      <c r="B93" s="113" t="s">
        <v>217</v>
      </c>
      <c r="C93" s="113"/>
      <c r="D93" s="113"/>
      <c r="E93" s="76">
        <f>SUM(E8:E89)</f>
        <v>100</v>
      </c>
      <c r="F93" s="114"/>
    </row>
    <row r="94" spans="2:7">
      <c r="B94" s="113" t="s">
        <v>218</v>
      </c>
      <c r="C94" s="113"/>
      <c r="D94" s="113"/>
      <c r="E94" s="76">
        <v>100</v>
      </c>
      <c r="F94" s="114"/>
    </row>
    <row r="95" spans="2:7">
      <c r="B95" s="113" t="s">
        <v>219</v>
      </c>
      <c r="C95" s="113"/>
      <c r="D95" s="113"/>
      <c r="E95" s="76">
        <f>SUM(E8:E89)</f>
        <v>100</v>
      </c>
      <c r="F95" s="114"/>
    </row>
  </sheetData>
  <mergeCells count="31">
    <mergeCell ref="B2:F2"/>
    <mergeCell ref="B7:D7"/>
    <mergeCell ref="B90:B92"/>
    <mergeCell ref="C26:D26"/>
    <mergeCell ref="C30:D30"/>
    <mergeCell ref="C13:D13"/>
    <mergeCell ref="C15:D15"/>
    <mergeCell ref="C17:D17"/>
    <mergeCell ref="C19:D19"/>
    <mergeCell ref="C32:D32"/>
    <mergeCell ref="C42:D42"/>
    <mergeCell ref="C45:D45"/>
    <mergeCell ref="C48:D48"/>
    <mergeCell ref="C50:D50"/>
    <mergeCell ref="C52:D52"/>
    <mergeCell ref="C54:D54"/>
    <mergeCell ref="B93:D93"/>
    <mergeCell ref="F93:F95"/>
    <mergeCell ref="B94:D94"/>
    <mergeCell ref="B95:D95"/>
    <mergeCell ref="C8:D8"/>
    <mergeCell ref="B8:B25"/>
    <mergeCell ref="C24:D24"/>
    <mergeCell ref="C58:D58"/>
    <mergeCell ref="C64:D64"/>
    <mergeCell ref="C69:D69"/>
    <mergeCell ref="C74:D74"/>
    <mergeCell ref="C80:D80"/>
    <mergeCell ref="C82:D82"/>
    <mergeCell ref="C89:D89"/>
    <mergeCell ref="B26:B89"/>
  </mergeCells>
  <conditionalFormatting sqref="F4">
    <cfRule type="cellIs" dxfId="3" priority="1" operator="lessThan">
      <formula>97.9</formula>
    </cfRule>
    <cfRule type="cellIs" dxfId="2" priority="2" operator="greaterThan">
      <formula>97.9</formula>
    </cfRule>
  </conditionalFormatting>
  <conditionalFormatting sqref="F6">
    <cfRule type="containsText" dxfId="1" priority="3" operator="containsText" text="PASS">
      <formula>NOT(ISERROR(SEARCH("PASS",F6)))</formula>
    </cfRule>
    <cfRule type="containsText" dxfId="0" priority="4" operator="containsText" text="FAIL">
      <formula>NOT(ISERROR(SEARCH("FAIL",F6)))</formula>
    </cfRule>
  </conditionalFormatting>
  <dataValidations count="9">
    <dataValidation type="list" allowBlank="1" showInputMessage="1" showErrorMessage="1" sqref="E90:E92" xr:uid="{7DFA5117-2CB2-4365-9963-1241ADF8645F}">
      <formula1>$P$6:$P$7</formula1>
    </dataValidation>
    <dataValidation type="list" allowBlank="1" showInputMessage="1" showErrorMessage="1" sqref="E82" xr:uid="{A730BC38-389B-41BD-9A56-B686BA6706AC}">
      <formula1>$O$6:$O$7</formula1>
    </dataValidation>
    <dataValidation type="list" allowBlank="1" showInputMessage="1" showErrorMessage="1" sqref="E74" xr:uid="{7F4D6251-84E5-47AE-8849-D504BEBDF626}">
      <formula1>$N$6:$N$7</formula1>
    </dataValidation>
    <dataValidation type="list" allowBlank="1" showInputMessage="1" showErrorMessage="1" sqref="E42" xr:uid="{EB34A363-C61D-49DE-86CE-6BD5AD09F096}">
      <formula1>$M$6:$M$7</formula1>
    </dataValidation>
    <dataValidation type="list" allowBlank="1" showInputMessage="1" showErrorMessage="1" sqref="E48 E32" xr:uid="{0BD4D5DE-796B-4148-8891-903E74308D11}">
      <formula1>$L$6:$L$7</formula1>
    </dataValidation>
    <dataValidation type="list" allowBlank="1" showInputMessage="1" showErrorMessage="1" sqref="E26 E64 E58 E30" xr:uid="{1863CA87-E030-48F7-A284-094350024E90}">
      <formula1>$K$6:$K$7</formula1>
    </dataValidation>
    <dataValidation type="list" allowBlank="1" showInputMessage="1" showErrorMessage="1" sqref="E13 E54 E52 E50 E80:E81 E69 E45 E89 E17 E24" xr:uid="{43B7ED4E-D708-467D-B8A6-23E7775471D0}">
      <formula1>$J$6:$J$7</formula1>
    </dataValidation>
    <dataValidation type="list" allowBlank="1" showInputMessage="1" showErrorMessage="1" sqref="E8 E19 E15" xr:uid="{D3FF70BF-F8FF-436E-967D-9E9BF9C0D120}">
      <formula1>$I$6:$I$7</formula1>
    </dataValidation>
    <dataValidation type="list" allowBlank="1" showInputMessage="1" showErrorMessage="1" sqref="F6" xr:uid="{D799C307-292F-45F9-8672-65D50D67AB5A}">
      <formula1>"PASS, FAIL"</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MPA Outreach QA Form</vt:lpstr>
      <vt:lpstr>2025</vt:lpstr>
      <vt:lpstr>2025 MPA QA FORM</vt:lpstr>
      <vt:lpstr>2025 MPA QA FORM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Mangindin, Keisha A</dc:creator>
  <cp:lastModifiedBy>Dacanay, Paolo C</cp:lastModifiedBy>
  <dcterms:created xsi:type="dcterms:W3CDTF">2024-07-15T16:09:37Z</dcterms:created>
  <dcterms:modified xsi:type="dcterms:W3CDTF">2025-09-19T17:53:48Z</dcterms:modified>
</cp:coreProperties>
</file>