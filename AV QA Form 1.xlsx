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paolo_c_dacanay_optum_com/Documents/Domain Expert/"/>
    </mc:Choice>
  </mc:AlternateContent>
  <xr:revisionPtr revIDLastSave="98" documentId="8_{657A613F-5D29-4B82-8202-6757C60B0887}" xr6:coauthVersionLast="47" xr6:coauthVersionMax="47" xr10:uidLastSave="{DB5FAA82-CFB3-4779-A9BA-54C17DDDEFC6}"/>
  <bookViews>
    <workbookView xWindow="-110" yWindow="-110" windowWidth="19420" windowHeight="10420" xr2:uid="{CDC5B21A-31B8-4B6C-84D3-11010EC0881E}"/>
  </bookViews>
  <sheets>
    <sheet name="AV QA Form" sheetId="1" r:id="rId1"/>
    <sheet name="AV Ro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D2" i="1" s="1"/>
</calcChain>
</file>

<file path=xl/sharedStrings.xml><?xml version="1.0" encoding="utf-8"?>
<sst xmlns="http://schemas.openxmlformats.org/spreadsheetml/2006/main" count="82" uniqueCount="77">
  <si>
    <t>Tech Name :</t>
  </si>
  <si>
    <t>Supervisor:</t>
  </si>
  <si>
    <t>Date/Time :</t>
  </si>
  <si>
    <t>Score :</t>
  </si>
  <si>
    <t>PA Number:</t>
  </si>
  <si>
    <t xml:space="preserve">Evaluator : </t>
  </si>
  <si>
    <t>Attribute</t>
  </si>
  <si>
    <t>Score</t>
  </si>
  <si>
    <t>Provider Information</t>
  </si>
  <si>
    <t>Agent selected Incorrect Provider</t>
  </si>
  <si>
    <t>Agent update Phone or Fax Number when Appropriate</t>
  </si>
  <si>
    <t>Member</t>
  </si>
  <si>
    <t>Agent verified Third Identifier</t>
  </si>
  <si>
    <t>Drug</t>
  </si>
  <si>
    <t>Agent selected Correct TCE radio button</t>
  </si>
  <si>
    <t>Case Handling</t>
  </si>
  <si>
    <t>Agent initiate PA and any new PA’s associated with other medication listed in the fax request</t>
  </si>
  <si>
    <t>Agent bypass dup/fwd to appeals/reworks/merge correctly</t>
  </si>
  <si>
    <t>Agent Reworked when necessary -by utilizing the copy case function</t>
  </si>
  <si>
    <t>Agent correctly selected Multiple Review PA Type</t>
  </si>
  <si>
    <t>Clinical Guidelines</t>
  </si>
  <si>
    <t>Appropriately Answers Guideline Questions</t>
  </si>
  <si>
    <t>Tried and Failed medications</t>
  </si>
  <si>
    <t>Documentation</t>
  </si>
  <si>
    <r>
      <t xml:space="preserve">Compliance 
</t>
    </r>
    <r>
      <rPr>
        <b/>
        <sz val="8"/>
        <color theme="1"/>
        <rFont val="Arial Narrow"/>
        <family val="2"/>
      </rPr>
      <t>(Failure to follow required behavior will result in call score of zero.)</t>
    </r>
  </si>
  <si>
    <t>Invalid Cancellation</t>
  </si>
  <si>
    <t>P</t>
  </si>
  <si>
    <t>Fax Priority</t>
  </si>
  <si>
    <t>Wrong Member Selected</t>
  </si>
  <si>
    <t>Total Points Earned</t>
  </si>
  <si>
    <t>Total Points Possible</t>
  </si>
  <si>
    <t>Remarks / Recommendation:</t>
  </si>
  <si>
    <t>EID</t>
  </si>
  <si>
    <t>MSID</t>
  </si>
  <si>
    <t>NAME</t>
  </si>
  <si>
    <t>nmata11</t>
  </si>
  <si>
    <t>Mata,Novenette Abasolo</t>
  </si>
  <si>
    <t>rlegada</t>
  </si>
  <si>
    <t>Legada,Rennjan Basiliano</t>
  </si>
  <si>
    <t>jvill105</t>
  </si>
  <si>
    <t>Villanueva,Janshen Leyda Dacanay</t>
  </si>
  <si>
    <t>jdela204</t>
  </si>
  <si>
    <t>Jacques Mikhail Obstaculo Delacruz</t>
  </si>
  <si>
    <t>jalmodi3</t>
  </si>
  <si>
    <t>John Christian Cataluña Almodiel</t>
  </si>
  <si>
    <t>klinaza</t>
  </si>
  <si>
    <t>Kimmy Jane Evangelio Linaza</t>
  </si>
  <si>
    <t>kbaculpo</t>
  </si>
  <si>
    <t>Krishia Rein Allaraiz Baculpo</t>
  </si>
  <si>
    <t>gticuala</t>
  </si>
  <si>
    <t>Ticuala,Geraldine Damolkis</t>
  </si>
  <si>
    <t>bbompat1</t>
  </si>
  <si>
    <t>Bompat,Bevvy Caryl Sijuela</t>
  </si>
  <si>
    <t>aroble6</t>
  </si>
  <si>
    <t>Roble,Argie Dungog</t>
  </si>
  <si>
    <t>rsibuca1</t>
  </si>
  <si>
    <t>Sibucao,Rebecca Baldado</t>
  </si>
  <si>
    <t>msilva73</t>
  </si>
  <si>
    <t>Silva,Maclin Tiamzon</t>
  </si>
  <si>
    <t>svelas12</t>
  </si>
  <si>
    <t>Velasquez,Steven Amoguis</t>
  </si>
  <si>
    <t>Kristel Angelica Velario</t>
  </si>
  <si>
    <t>Johnny Rey Bonocan</t>
  </si>
  <si>
    <t xml:space="preserve">Multiple Review/Criteria </t>
  </si>
  <si>
    <t>Redirected to appeals</t>
  </si>
  <si>
    <t>Outbound to MDO/RPh Line for Criteria/Quantity Discrepancies</t>
  </si>
  <si>
    <t>GLP-1 Drugs Criteria Verification/Medicare exception criteria exception</t>
  </si>
  <si>
    <t>Agent selected Correct name, date of birth, and member ID number</t>
  </si>
  <si>
    <t>Agent selected the correct member plan if presented with multiple plans and created alt account as needed.</t>
  </si>
  <si>
    <t>Agent selected Correct Drug associated with the correct strength and formulation.</t>
  </si>
  <si>
    <t>Agent entered Correct quantity, day supply, and direction for use as stated on the faxed request.</t>
  </si>
  <si>
    <t>Agent Entered Correct diagnosis and/or diagnoses as stated on the PA fax form verbatim.</t>
  </si>
  <si>
    <t>Agent cancelled the case properly/send to appeals team per plan within appeals window</t>
  </si>
  <si>
    <t>Agent send case to correct appeals team, utilize correct cancellation verbiage and used correct appeals number</t>
  </si>
  <si>
    <t>Agent entered Correct Backdate and route of admininstration</t>
  </si>
  <si>
    <t>Agent update Address when Appropriate</t>
  </si>
  <si>
    <t>Failed to document relevant case info/Member Alt Coverage search- RightFax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</si>
</sst>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1"/>
      <color rgb="FFFF0000"/>
      <name val="Arial Narrow"/>
      <family val="2"/>
    </font>
    <font>
      <b/>
      <sz val="8"/>
      <color theme="1"/>
      <name val="Arial Narrow"/>
      <family val="2"/>
    </font>
    <font>
      <b/>
      <sz val="10"/>
      <color rgb="FF0B3040"/>
      <name val="Franklin Gothic Book"/>
      <family val="2"/>
    </font>
    <font>
      <sz val="9"/>
      <color rgb="FF000000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2CEE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86DCD"/>
      </left>
      <right style="medium">
        <color rgb="FFD86DCD"/>
      </right>
      <top style="medium">
        <color rgb="FFD86DCD"/>
      </top>
      <bottom style="medium">
        <color rgb="FFD86DCD"/>
      </bottom>
      <diagonal/>
    </border>
    <border>
      <left/>
      <right style="medium">
        <color rgb="FFD86DCD"/>
      </right>
      <top style="medium">
        <color rgb="FFD86DCD"/>
      </top>
      <bottom style="medium">
        <color rgb="FFD86DCD"/>
      </bottom>
      <diagonal/>
    </border>
    <border>
      <left style="medium">
        <color rgb="FFD86DCD"/>
      </left>
      <right style="medium">
        <color rgb="FFD86DCD"/>
      </right>
      <top/>
      <bottom style="medium">
        <color rgb="FFD86DCD"/>
      </bottom>
      <diagonal/>
    </border>
    <border>
      <left/>
      <right style="medium">
        <color rgb="FFD86DCD"/>
      </right>
      <top/>
      <bottom style="medium">
        <color rgb="FFD86DC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2" applyFont="1" applyBorder="1" applyAlignment="1" applyProtection="1">
      <alignment horizontal="left"/>
      <protection hidden="1"/>
    </xf>
    <xf numFmtId="0" fontId="2" fillId="0" borderId="1" xfId="2" applyFont="1" applyBorder="1" applyAlignment="1" applyProtection="1">
      <alignment horizontal="left" wrapText="1"/>
      <protection hidden="1"/>
    </xf>
    <xf numFmtId="0" fontId="2" fillId="0" borderId="1" xfId="2" applyFont="1" applyBorder="1" applyAlignment="1" applyProtection="1">
      <alignment horizontal="center"/>
      <protection hidden="1"/>
    </xf>
    <xf numFmtId="0" fontId="3" fillId="0" borderId="1" xfId="2" applyFont="1" applyBorder="1" applyAlignment="1" applyProtection="1">
      <alignment horizontal="center"/>
      <protection locked="0"/>
    </xf>
    <xf numFmtId="14" fontId="2" fillId="0" borderId="1" xfId="2" applyNumberFormat="1" applyFont="1" applyBorder="1" applyAlignment="1" applyProtection="1">
      <alignment horizontal="left" wrapText="1"/>
      <protection hidden="1"/>
    </xf>
    <xf numFmtId="1" fontId="2" fillId="0" borderId="1" xfId="1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4" fillId="2" borderId="1" xfId="2" applyFont="1" applyFill="1" applyBorder="1" applyAlignment="1" applyProtection="1">
      <alignment horizontal="center"/>
      <protection hidden="1"/>
    </xf>
    <xf numFmtId="0" fontId="3" fillId="0" borderId="1" xfId="2" applyFont="1" applyBorder="1" applyAlignment="1" applyProtection="1">
      <alignment vertical="top"/>
      <protection hidden="1"/>
    </xf>
    <xf numFmtId="0" fontId="5" fillId="0" borderId="1" xfId="2" applyFont="1" applyBorder="1" applyAlignment="1" applyProtection="1">
      <alignment vertical="top" wrapText="1"/>
      <protection hidden="1"/>
    </xf>
    <xf numFmtId="0" fontId="3" fillId="0" borderId="1" xfId="0" applyFont="1" applyBorder="1" applyAlignment="1">
      <alignment vertical="center" wrapText="1"/>
    </xf>
    <xf numFmtId="0" fontId="3" fillId="0" borderId="1" xfId="2" applyFont="1" applyBorder="1" applyAlignment="1" applyProtection="1">
      <alignment horizontal="center" vertical="top"/>
      <protection hidden="1"/>
    </xf>
    <xf numFmtId="0" fontId="5" fillId="0" borderId="1" xfId="2" applyFont="1" applyBorder="1" applyAlignment="1" applyProtection="1">
      <alignment horizontal="left" vertical="top" wrapText="1"/>
      <protection hidden="1"/>
    </xf>
    <xf numFmtId="0" fontId="3" fillId="0" borderId="1" xfId="0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left" vertical="top" wrapText="1"/>
      <protection hidden="1"/>
    </xf>
    <xf numFmtId="0" fontId="3" fillId="5" borderId="1" xfId="2" applyFont="1" applyFill="1" applyBorder="1" applyAlignment="1" applyProtection="1">
      <alignment horizontal="center" vertical="center"/>
      <protection hidden="1"/>
    </xf>
    <xf numFmtId="0" fontId="2" fillId="5" borderId="1" xfId="2" applyFont="1" applyFill="1" applyBorder="1" applyAlignment="1" applyProtection="1">
      <alignment horizontal="center" vertical="top"/>
      <protection hidden="1"/>
    </xf>
    <xf numFmtId="0" fontId="2" fillId="0" borderId="1" xfId="2" applyFont="1" applyBorder="1" applyAlignment="1" applyProtection="1">
      <alignment horizontal="center" vertical="top"/>
      <protection hidden="1"/>
    </xf>
    <xf numFmtId="1" fontId="3" fillId="0" borderId="1" xfId="3" applyNumberFormat="1" applyFont="1" applyBorder="1" applyAlignment="1" applyProtection="1">
      <alignment horizontal="center" vertical="top"/>
      <protection hidden="1"/>
    </xf>
    <xf numFmtId="1" fontId="2" fillId="0" borderId="1" xfId="3" applyNumberFormat="1" applyFont="1" applyBorder="1" applyAlignment="1" applyProtection="1">
      <alignment horizontal="center" vertical="top"/>
      <protection hidden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3" borderId="1" xfId="2" applyFont="1" applyFill="1" applyBorder="1" applyAlignment="1" applyProtection="1">
      <alignment vertical="top" wrapText="1"/>
      <protection hidden="1"/>
    </xf>
    <xf numFmtId="0" fontId="2" fillId="3" borderId="1" xfId="2" applyFont="1" applyFill="1" applyBorder="1" applyAlignment="1" applyProtection="1">
      <alignment horizontal="center" vertical="top" wrapText="1"/>
      <protection hidden="1"/>
    </xf>
    <xf numFmtId="0" fontId="4" fillId="2" borderId="1" xfId="2" applyFont="1" applyFill="1" applyBorder="1" applyAlignment="1" applyProtection="1">
      <alignment horizontal="center"/>
      <protection hidden="1"/>
    </xf>
    <xf numFmtId="0" fontId="2" fillId="3" borderId="1" xfId="2" applyFont="1" applyFill="1" applyBorder="1" applyAlignment="1" applyProtection="1">
      <alignment horizontal="left" vertical="top" wrapText="1"/>
      <protection hidden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2" applyFont="1" applyBorder="1" applyAlignment="1" applyProtection="1">
      <alignment vertical="top"/>
      <protection hidden="1"/>
    </xf>
    <xf numFmtId="0" fontId="3" fillId="0" borderId="6" xfId="2" applyFont="1" applyBorder="1" applyAlignment="1" applyProtection="1">
      <alignment horizontal="left" vertical="top" wrapText="1"/>
      <protection hidden="1"/>
    </xf>
    <xf numFmtId="0" fontId="3" fillId="0" borderId="7" xfId="2" applyFont="1" applyBorder="1" applyAlignment="1" applyProtection="1">
      <alignment horizontal="left" vertical="top" wrapText="1"/>
      <protection hidden="1"/>
    </xf>
    <xf numFmtId="0" fontId="3" fillId="0" borderId="1" xfId="2" applyFont="1" applyBorder="1" applyAlignment="1" applyProtection="1">
      <alignment vertical="top" wrapText="1"/>
      <protection hidden="1"/>
    </xf>
    <xf numFmtId="0" fontId="2" fillId="3" borderId="1" xfId="2" applyFont="1" applyFill="1" applyBorder="1" applyAlignment="1" applyProtection="1">
      <alignment vertical="center" wrapText="1"/>
      <protection hidden="1"/>
    </xf>
    <xf numFmtId="0" fontId="4" fillId="3" borderId="1" xfId="2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0" borderId="1" xfId="2" applyFont="1" applyBorder="1" applyAlignment="1" applyProtection="1">
      <alignment horizontal="center" vertical="top"/>
      <protection hidden="1"/>
    </xf>
    <xf numFmtId="0" fontId="3" fillId="0" borderId="6" xfId="2" applyFont="1" applyBorder="1" applyAlignment="1" applyProtection="1">
      <alignment horizontal="left" vertical="top"/>
      <protection hidden="1"/>
    </xf>
    <xf numFmtId="0" fontId="3" fillId="0" borderId="7" xfId="2" applyFont="1" applyBorder="1" applyAlignment="1" applyProtection="1">
      <alignment horizontal="left" vertical="top"/>
      <protection hidden="1"/>
    </xf>
  </cellXfs>
  <cellStyles count="4">
    <cellStyle name="Normal" xfId="0" builtinId="0"/>
    <cellStyle name="Normal 2" xfId="2" xr:uid="{835E5E52-529A-43BF-9F8D-DF04DC8E096A}"/>
    <cellStyle name="Percent" xfId="1" builtinId="5"/>
    <cellStyle name="Percent 2" xfId="3" xr:uid="{64EA31B0-6EBC-46E7-BE4D-B4EEED210EED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4051-7A76-4F4F-8CA0-CE76CF365D81}">
  <dimension ref="A1:D42"/>
  <sheetViews>
    <sheetView tabSelected="1" zoomScaleNormal="100" workbookViewId="0">
      <selection activeCell="D34" sqref="D34"/>
    </sheetView>
  </sheetViews>
  <sheetFormatPr defaultRowHeight="14.5" x14ac:dyDescent="0.35"/>
  <cols>
    <col min="1" max="1" width="26.7265625" customWidth="1"/>
    <col min="2" max="2" width="60.453125" customWidth="1"/>
    <col min="3" max="3" width="27.453125" customWidth="1"/>
    <col min="4" max="4" width="30.36328125" customWidth="1"/>
  </cols>
  <sheetData>
    <row r="1" spans="1:4" x14ac:dyDescent="0.35">
      <c r="A1" s="1" t="s">
        <v>0</v>
      </c>
      <c r="B1" s="2"/>
      <c r="C1" s="3" t="s">
        <v>1</v>
      </c>
      <c r="D1" s="4" t="s">
        <v>61</v>
      </c>
    </row>
    <row r="2" spans="1:4" x14ac:dyDescent="0.35">
      <c r="A2" s="1" t="s">
        <v>2</v>
      </c>
      <c r="B2" s="5"/>
      <c r="C2" s="3" t="s">
        <v>3</v>
      </c>
      <c r="D2" s="6">
        <f>C40</f>
        <v>100</v>
      </c>
    </row>
    <row r="3" spans="1:4" x14ac:dyDescent="0.35">
      <c r="A3" s="1" t="s">
        <v>4</v>
      </c>
      <c r="B3" s="2"/>
      <c r="C3" s="3" t="s">
        <v>5</v>
      </c>
      <c r="D3" s="7" t="s">
        <v>62</v>
      </c>
    </row>
    <row r="4" spans="1:4" x14ac:dyDescent="0.35">
      <c r="A4" s="35" t="s">
        <v>6</v>
      </c>
      <c r="B4" s="35"/>
      <c r="C4" s="8" t="s">
        <v>7</v>
      </c>
      <c r="D4" s="8" t="s">
        <v>6</v>
      </c>
    </row>
    <row r="5" spans="1:4" x14ac:dyDescent="0.35">
      <c r="A5" s="36" t="s">
        <v>8</v>
      </c>
      <c r="B5" s="36"/>
      <c r="C5" s="34"/>
      <c r="D5" s="34"/>
    </row>
    <row r="6" spans="1:4" x14ac:dyDescent="0.35">
      <c r="A6" s="37" t="s">
        <v>9</v>
      </c>
      <c r="B6" s="37"/>
      <c r="C6" s="7">
        <v>5</v>
      </c>
      <c r="D6" s="9"/>
    </row>
    <row r="7" spans="1:4" x14ac:dyDescent="0.35">
      <c r="A7" s="37" t="s">
        <v>10</v>
      </c>
      <c r="B7" s="37"/>
      <c r="C7" s="7">
        <v>5</v>
      </c>
      <c r="D7" s="9"/>
    </row>
    <row r="8" spans="1:4" x14ac:dyDescent="0.35">
      <c r="A8" s="37" t="s">
        <v>75</v>
      </c>
      <c r="B8" s="37"/>
      <c r="C8" s="7">
        <v>5</v>
      </c>
      <c r="D8" s="10"/>
    </row>
    <row r="9" spans="1:4" x14ac:dyDescent="0.35">
      <c r="A9" s="36" t="s">
        <v>11</v>
      </c>
      <c r="B9" s="36"/>
      <c r="C9" s="34"/>
      <c r="D9" s="34"/>
    </row>
    <row r="10" spans="1:4" x14ac:dyDescent="0.35">
      <c r="A10" s="38" t="s">
        <v>67</v>
      </c>
      <c r="B10" s="38"/>
      <c r="C10" s="7">
        <v>5</v>
      </c>
      <c r="D10" s="12"/>
    </row>
    <row r="11" spans="1:4" s="29" customFormat="1" ht="19" customHeight="1" x14ac:dyDescent="0.35">
      <c r="A11" s="39" t="s">
        <v>68</v>
      </c>
      <c r="B11" s="40"/>
      <c r="C11" s="27">
        <v>5</v>
      </c>
      <c r="D11" s="28"/>
    </row>
    <row r="12" spans="1:4" x14ac:dyDescent="0.35">
      <c r="A12" s="38" t="s">
        <v>12</v>
      </c>
      <c r="B12" s="38"/>
      <c r="C12" s="7">
        <v>5</v>
      </c>
      <c r="D12" s="12"/>
    </row>
    <row r="13" spans="1:4" x14ac:dyDescent="0.35">
      <c r="A13" s="33" t="s">
        <v>13</v>
      </c>
      <c r="B13" s="33"/>
      <c r="C13" s="34"/>
      <c r="D13" s="34"/>
    </row>
    <row r="14" spans="1:4" x14ac:dyDescent="0.35">
      <c r="A14" s="38" t="s">
        <v>69</v>
      </c>
      <c r="B14" s="38"/>
      <c r="C14" s="7">
        <v>5</v>
      </c>
      <c r="D14" s="12"/>
    </row>
    <row r="15" spans="1:4" s="11" customFormat="1" ht="14.5" customHeight="1" x14ac:dyDescent="0.35">
      <c r="A15" s="39" t="s">
        <v>70</v>
      </c>
      <c r="B15" s="40"/>
      <c r="C15" s="30">
        <v>5</v>
      </c>
      <c r="D15" s="26"/>
    </row>
    <row r="16" spans="1:4" x14ac:dyDescent="0.35">
      <c r="A16" s="41" t="s">
        <v>71</v>
      </c>
      <c r="B16" s="41"/>
      <c r="C16" s="7">
        <v>5</v>
      </c>
      <c r="D16" s="12"/>
    </row>
    <row r="17" spans="1:4" x14ac:dyDescent="0.35">
      <c r="A17" s="38" t="s">
        <v>14</v>
      </c>
      <c r="B17" s="38"/>
      <c r="C17" s="7">
        <v>5</v>
      </c>
      <c r="D17" s="12"/>
    </row>
    <row r="18" spans="1:4" x14ac:dyDescent="0.35">
      <c r="A18" s="38" t="s">
        <v>74</v>
      </c>
      <c r="B18" s="38"/>
      <c r="C18" s="7">
        <v>1</v>
      </c>
      <c r="D18" s="12"/>
    </row>
    <row r="19" spans="1:4" x14ac:dyDescent="0.35">
      <c r="A19" s="33" t="s">
        <v>15</v>
      </c>
      <c r="B19" s="33"/>
      <c r="C19" s="34"/>
      <c r="D19" s="34"/>
    </row>
    <row r="20" spans="1:4" x14ac:dyDescent="0.35">
      <c r="A20" s="38" t="s">
        <v>16</v>
      </c>
      <c r="B20" s="38"/>
      <c r="C20" s="7">
        <v>5</v>
      </c>
      <c r="D20" s="12"/>
    </row>
    <row r="21" spans="1:4" x14ac:dyDescent="0.35">
      <c r="A21" s="38" t="s">
        <v>17</v>
      </c>
      <c r="B21" s="38"/>
      <c r="C21" s="7">
        <v>5</v>
      </c>
      <c r="D21" s="12"/>
    </row>
    <row r="22" spans="1:4" x14ac:dyDescent="0.35">
      <c r="A22" s="38" t="s">
        <v>72</v>
      </c>
      <c r="B22" s="38"/>
      <c r="C22" s="7">
        <v>5</v>
      </c>
      <c r="D22" s="12"/>
    </row>
    <row r="23" spans="1:4" x14ac:dyDescent="0.35">
      <c r="A23" s="31" t="s">
        <v>73</v>
      </c>
      <c r="B23" s="32"/>
      <c r="C23" s="7">
        <v>5</v>
      </c>
      <c r="D23" s="12"/>
    </row>
    <row r="24" spans="1:4" x14ac:dyDescent="0.35">
      <c r="A24" s="38" t="s">
        <v>18</v>
      </c>
      <c r="B24" s="38"/>
      <c r="C24" s="7">
        <v>5</v>
      </c>
      <c r="D24" s="12"/>
    </row>
    <row r="25" spans="1:4" x14ac:dyDescent="0.35">
      <c r="A25" s="38" t="s">
        <v>19</v>
      </c>
      <c r="B25" s="38"/>
      <c r="C25" s="7">
        <v>5</v>
      </c>
      <c r="D25" s="12"/>
    </row>
    <row r="26" spans="1:4" x14ac:dyDescent="0.35">
      <c r="A26" s="33" t="s">
        <v>20</v>
      </c>
      <c r="B26" s="33"/>
      <c r="C26" s="34"/>
      <c r="D26" s="34"/>
    </row>
    <row r="27" spans="1:4" x14ac:dyDescent="0.35">
      <c r="A27" s="38" t="s">
        <v>21</v>
      </c>
      <c r="B27" s="38"/>
      <c r="C27" s="7">
        <v>5</v>
      </c>
      <c r="D27" s="13"/>
    </row>
    <row r="28" spans="1:4" x14ac:dyDescent="0.35">
      <c r="A28" s="38" t="s">
        <v>22</v>
      </c>
      <c r="B28" s="38"/>
      <c r="C28" s="7">
        <v>5</v>
      </c>
      <c r="D28" s="12"/>
    </row>
    <row r="29" spans="1:4" x14ac:dyDescent="0.35">
      <c r="A29" s="33" t="s">
        <v>23</v>
      </c>
      <c r="B29" s="33"/>
      <c r="C29" s="34"/>
      <c r="D29" s="34"/>
    </row>
    <row r="30" spans="1:4" x14ac:dyDescent="0.35">
      <c r="A30" s="45" t="s">
        <v>76</v>
      </c>
      <c r="B30" s="45"/>
      <c r="C30" s="14">
        <v>3</v>
      </c>
      <c r="D30" s="10"/>
    </row>
    <row r="31" spans="1:4" x14ac:dyDescent="0.35">
      <c r="A31" s="43" t="s">
        <v>65</v>
      </c>
      <c r="B31" s="44"/>
      <c r="C31" s="14">
        <v>3</v>
      </c>
      <c r="D31" s="10"/>
    </row>
    <row r="32" spans="1:4" x14ac:dyDescent="0.35">
      <c r="A32" s="43" t="s">
        <v>66</v>
      </c>
      <c r="B32" s="44"/>
      <c r="C32" s="14">
        <v>3</v>
      </c>
      <c r="D32" s="10"/>
    </row>
    <row r="33" spans="1:4" ht="32" customHeight="1" x14ac:dyDescent="0.35">
      <c r="A33" s="46" t="s">
        <v>24</v>
      </c>
      <c r="B33" s="46"/>
      <c r="C33" s="47"/>
      <c r="D33" s="47"/>
    </row>
    <row r="34" spans="1:4" x14ac:dyDescent="0.35">
      <c r="A34" s="42" t="s">
        <v>25</v>
      </c>
      <c r="B34" s="42"/>
      <c r="C34" s="12" t="s">
        <v>26</v>
      </c>
      <c r="D34" s="15"/>
    </row>
    <row r="35" spans="1:4" x14ac:dyDescent="0.35">
      <c r="A35" s="42" t="s">
        <v>27</v>
      </c>
      <c r="B35" s="42"/>
      <c r="C35" s="12" t="s">
        <v>26</v>
      </c>
      <c r="D35" s="12"/>
    </row>
    <row r="36" spans="1:4" x14ac:dyDescent="0.35">
      <c r="A36" s="51" t="s">
        <v>64</v>
      </c>
      <c r="B36" s="52"/>
      <c r="C36" s="12" t="s">
        <v>26</v>
      </c>
      <c r="D36" s="12"/>
    </row>
    <row r="37" spans="1:4" x14ac:dyDescent="0.35">
      <c r="A37" s="42" t="s">
        <v>63</v>
      </c>
      <c r="B37" s="42"/>
      <c r="C37" s="12" t="s">
        <v>26</v>
      </c>
      <c r="D37" s="12"/>
    </row>
    <row r="38" spans="1:4" x14ac:dyDescent="0.35">
      <c r="A38" s="42" t="s">
        <v>28</v>
      </c>
      <c r="B38" s="42"/>
      <c r="C38" s="12" t="s">
        <v>26</v>
      </c>
      <c r="D38" s="12"/>
    </row>
    <row r="39" spans="1:4" x14ac:dyDescent="0.35">
      <c r="A39" s="49"/>
      <c r="B39" s="49"/>
      <c r="C39" s="16"/>
      <c r="D39" s="17"/>
    </row>
    <row r="40" spans="1:4" x14ac:dyDescent="0.35">
      <c r="A40" s="50" t="s">
        <v>29</v>
      </c>
      <c r="B40" s="50"/>
      <c r="C40" s="19">
        <f>SUM(C6,C7,C8,C10,C11,C12,C14,C15,C16,C17,C18,C20:C25,C27,C28,C30:C32)</f>
        <v>100</v>
      </c>
      <c r="D40" s="20"/>
    </row>
    <row r="41" spans="1:4" x14ac:dyDescent="0.35">
      <c r="A41" s="50" t="s">
        <v>30</v>
      </c>
      <c r="B41" s="50"/>
      <c r="C41" s="12">
        <v>100</v>
      </c>
      <c r="D41" s="18"/>
    </row>
    <row r="42" spans="1:4" x14ac:dyDescent="0.35">
      <c r="A42" s="48" t="s">
        <v>31</v>
      </c>
      <c r="B42" s="48"/>
      <c r="C42" s="48"/>
      <c r="D42" s="48"/>
    </row>
  </sheetData>
  <mergeCells count="46">
    <mergeCell ref="C33:D33"/>
    <mergeCell ref="A42:D42"/>
    <mergeCell ref="A35:B35"/>
    <mergeCell ref="A37:B37"/>
    <mergeCell ref="A38:B38"/>
    <mergeCell ref="A39:B39"/>
    <mergeCell ref="A40:B40"/>
    <mergeCell ref="A41:B41"/>
    <mergeCell ref="A36:B36"/>
    <mergeCell ref="C19:D19"/>
    <mergeCell ref="A20:B20"/>
    <mergeCell ref="A21:B21"/>
    <mergeCell ref="A34:B34"/>
    <mergeCell ref="A24:B24"/>
    <mergeCell ref="A25:B25"/>
    <mergeCell ref="A26:B26"/>
    <mergeCell ref="C26:D26"/>
    <mergeCell ref="A27:B27"/>
    <mergeCell ref="A28:B28"/>
    <mergeCell ref="A32:B32"/>
    <mergeCell ref="A31:B31"/>
    <mergeCell ref="A29:B29"/>
    <mergeCell ref="C29:D29"/>
    <mergeCell ref="A30:B30"/>
    <mergeCell ref="A33:B33"/>
    <mergeCell ref="A15:B15"/>
    <mergeCell ref="A16:B16"/>
    <mergeCell ref="A17:B17"/>
    <mergeCell ref="A18:B18"/>
    <mergeCell ref="A19:B19"/>
    <mergeCell ref="A23:B23"/>
    <mergeCell ref="A13:B13"/>
    <mergeCell ref="C13:D13"/>
    <mergeCell ref="A4:B4"/>
    <mergeCell ref="A5:B5"/>
    <mergeCell ref="C5:D5"/>
    <mergeCell ref="A6:B6"/>
    <mergeCell ref="A7:B7"/>
    <mergeCell ref="A8:B8"/>
    <mergeCell ref="A9:B9"/>
    <mergeCell ref="C9:D9"/>
    <mergeCell ref="A10:B10"/>
    <mergeCell ref="A11:B11"/>
    <mergeCell ref="A12:B12"/>
    <mergeCell ref="A22:B22"/>
    <mergeCell ref="A14:B14"/>
  </mergeCells>
  <conditionalFormatting sqref="D2">
    <cfRule type="cellIs" dxfId="5" priority="2" operator="between">
      <formula>98</formula>
      <formula>100</formula>
    </cfRule>
    <cfRule type="cellIs" dxfId="4" priority="3" operator="lessThan">
      <formula>98</formula>
    </cfRule>
    <cfRule type="cellIs" dxfId="3" priority="4" operator="equal">
      <formula>100</formula>
    </cfRule>
  </conditionalFormatting>
  <conditionalFormatting sqref="D34:D38">
    <cfRule type="cellIs" dxfId="2" priority="1" operator="equal">
      <formula>"N"</formula>
    </cfRule>
    <cfRule type="cellIs" dxfId="1" priority="5" operator="equal">
      <formula>"Y"</formula>
    </cfRule>
    <cfRule type="cellIs" dxfId="0" priority="6" operator="equal">
      <formula>"N"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DF34-5F33-4677-9D9B-5DCF54F36FCB}">
  <dimension ref="B1:D15"/>
  <sheetViews>
    <sheetView showGridLines="0" zoomScale="130" zoomScaleNormal="130" workbookViewId="0">
      <selection activeCell="G12" sqref="G12"/>
    </sheetView>
  </sheetViews>
  <sheetFormatPr defaultRowHeight="14.5" x14ac:dyDescent="0.35"/>
  <cols>
    <col min="2" max="2" width="7.81640625" bestFit="1" customWidth="1"/>
    <col min="3" max="3" width="8.1796875" bestFit="1" customWidth="1"/>
    <col min="4" max="4" width="26.26953125" bestFit="1" customWidth="1"/>
  </cols>
  <sheetData>
    <row r="1" spans="2:4" ht="15" thickBot="1" x14ac:dyDescent="0.4"/>
    <row r="2" spans="2:4" ht="15" thickBot="1" x14ac:dyDescent="0.4">
      <c r="B2" s="21" t="s">
        <v>32</v>
      </c>
      <c r="C2" s="22" t="s">
        <v>33</v>
      </c>
      <c r="D2" s="22" t="s">
        <v>34</v>
      </c>
    </row>
    <row r="3" spans="2:4" ht="15" thickBot="1" x14ac:dyDescent="0.4">
      <c r="B3" s="23">
        <v>2125352</v>
      </c>
      <c r="C3" s="24" t="s">
        <v>35</v>
      </c>
      <c r="D3" s="24" t="s">
        <v>36</v>
      </c>
    </row>
    <row r="4" spans="2:4" ht="15" thickBot="1" x14ac:dyDescent="0.4">
      <c r="B4" s="23">
        <v>1381979</v>
      </c>
      <c r="C4" s="24" t="s">
        <v>37</v>
      </c>
      <c r="D4" s="24" t="s">
        <v>38</v>
      </c>
    </row>
    <row r="5" spans="2:4" ht="15" thickBot="1" x14ac:dyDescent="0.4">
      <c r="B5" s="23">
        <v>1523534</v>
      </c>
      <c r="C5" s="24" t="s">
        <v>39</v>
      </c>
      <c r="D5" s="24" t="s">
        <v>40</v>
      </c>
    </row>
    <row r="6" spans="2:4" ht="15" thickBot="1" x14ac:dyDescent="0.4">
      <c r="B6" s="23">
        <v>2244760</v>
      </c>
      <c r="C6" s="24" t="s">
        <v>41</v>
      </c>
      <c r="D6" s="24" t="s">
        <v>42</v>
      </c>
    </row>
    <row r="7" spans="2:4" ht="15" thickBot="1" x14ac:dyDescent="0.4">
      <c r="B7" s="23">
        <v>2243233</v>
      </c>
      <c r="C7" s="24" t="s">
        <v>43</v>
      </c>
      <c r="D7" s="24" t="s">
        <v>44</v>
      </c>
    </row>
    <row r="8" spans="2:4" ht="15" thickBot="1" x14ac:dyDescent="0.4">
      <c r="B8" s="23">
        <v>2250925</v>
      </c>
      <c r="C8" s="24" t="s">
        <v>45</v>
      </c>
      <c r="D8" s="24" t="s">
        <v>46</v>
      </c>
    </row>
    <row r="9" spans="2:4" ht="15" thickBot="1" x14ac:dyDescent="0.4">
      <c r="B9" s="23">
        <v>2243209</v>
      </c>
      <c r="C9" s="24" t="s">
        <v>47</v>
      </c>
      <c r="D9" s="24" t="s">
        <v>48</v>
      </c>
    </row>
    <row r="10" spans="2:4" ht="15" thickBot="1" x14ac:dyDescent="0.4">
      <c r="B10" s="23">
        <v>1390507</v>
      </c>
      <c r="C10" s="24" t="s">
        <v>49</v>
      </c>
      <c r="D10" s="24" t="s">
        <v>50</v>
      </c>
    </row>
    <row r="11" spans="2:4" ht="15" thickBot="1" x14ac:dyDescent="0.4">
      <c r="B11" s="23">
        <v>1256565</v>
      </c>
      <c r="C11" s="24" t="s">
        <v>51</v>
      </c>
      <c r="D11" s="24" t="s">
        <v>52</v>
      </c>
    </row>
    <row r="12" spans="2:4" ht="15" thickBot="1" x14ac:dyDescent="0.4">
      <c r="B12" s="23">
        <v>1256584</v>
      </c>
      <c r="C12" s="24" t="s">
        <v>53</v>
      </c>
      <c r="D12" s="24" t="s">
        <v>54</v>
      </c>
    </row>
    <row r="13" spans="2:4" ht="15" thickBot="1" x14ac:dyDescent="0.4">
      <c r="B13" s="23">
        <v>1256445</v>
      </c>
      <c r="C13" s="24" t="s">
        <v>55</v>
      </c>
      <c r="D13" s="24" t="s">
        <v>56</v>
      </c>
    </row>
    <row r="14" spans="2:4" ht="15" thickBot="1" x14ac:dyDescent="0.4">
      <c r="B14" s="23">
        <v>1939156</v>
      </c>
      <c r="C14" s="24" t="s">
        <v>57</v>
      </c>
      <c r="D14" s="25" t="s">
        <v>58</v>
      </c>
    </row>
    <row r="15" spans="2:4" ht="15" thickBot="1" x14ac:dyDescent="0.4">
      <c r="B15" s="23">
        <v>1943236</v>
      </c>
      <c r="C15" s="24" t="s">
        <v>59</v>
      </c>
      <c r="D15" s="2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 QA Form</vt:lpstr>
      <vt:lpstr>AV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Navales, Venus S</dc:creator>
  <cp:lastModifiedBy>Dacanay, Paolo C</cp:lastModifiedBy>
  <dcterms:created xsi:type="dcterms:W3CDTF">2025-04-18T14:02:27Z</dcterms:created>
  <dcterms:modified xsi:type="dcterms:W3CDTF">2025-06-25T13:40:09Z</dcterms:modified>
</cp:coreProperties>
</file>