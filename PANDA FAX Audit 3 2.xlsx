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paolo_c_dacanay_optum_com/Documents/Domain Expert/"/>
    </mc:Choice>
  </mc:AlternateContent>
  <xr:revisionPtr revIDLastSave="128" documentId="13_ncr:1_{01692F54-074F-4E66-85F3-41576979358D}" xr6:coauthVersionLast="47" xr6:coauthVersionMax="47" xr10:uidLastSave="{3785001B-40E2-4A2A-921C-B79D1124E0AC}"/>
  <bookViews>
    <workbookView xWindow="-110" yWindow="-110" windowWidth="19420" windowHeight="10420" activeTab="2" xr2:uid="{8CF09EDB-DAC2-41F7-BE64-C4B478ABB9C4}"/>
  </bookViews>
  <sheets>
    <sheet name="PANDA Fax" sheetId="1" r:id="rId1"/>
    <sheet name="Validation list" sheetId="2" r:id="rId2"/>
    <sheet name="PAS Fax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7" i="1"/>
  <c r="D16" i="1"/>
  <c r="D19" i="1"/>
  <c r="E55" i="1"/>
  <c r="D10" i="1"/>
  <c r="D51" i="1"/>
  <c r="D44" i="1"/>
  <c r="D43" i="1"/>
  <c r="D31" i="1"/>
  <c r="D29" i="1"/>
  <c r="D28" i="1"/>
  <c r="D26" i="1"/>
  <c r="D25" i="1"/>
  <c r="D24" i="1"/>
  <c r="D22" i="1"/>
  <c r="D20" i="1"/>
  <c r="D12" i="1"/>
  <c r="D11" i="1"/>
</calcChain>
</file>

<file path=xl/sharedStrings.xml><?xml version="1.0" encoding="utf-8"?>
<sst xmlns="http://schemas.openxmlformats.org/spreadsheetml/2006/main" count="172" uniqueCount="101">
  <si>
    <t>Quality</t>
  </si>
  <si>
    <t>Attributes</t>
  </si>
  <si>
    <t>Remarks</t>
  </si>
  <si>
    <t>SCORE</t>
  </si>
  <si>
    <t>Category</t>
  </si>
  <si>
    <t>Provider Information</t>
  </si>
  <si>
    <t>Agent selected Incorrect Provider</t>
  </si>
  <si>
    <t>a.</t>
  </si>
  <si>
    <t>b.</t>
  </si>
  <si>
    <t>Agent update Phone or Fax Number when appropriate</t>
  </si>
  <si>
    <t>Pass</t>
  </si>
  <si>
    <t>c.</t>
  </si>
  <si>
    <t>Member Information</t>
  </si>
  <si>
    <t>Agent selected correct Plan</t>
  </si>
  <si>
    <t>Agent verified Third Identifier</t>
  </si>
  <si>
    <t>Drug Selection and Case Details</t>
  </si>
  <si>
    <t>d.</t>
  </si>
  <si>
    <t>e.</t>
  </si>
  <si>
    <t>f.</t>
  </si>
  <si>
    <t>g.</t>
  </si>
  <si>
    <t>Agent selected Correct Drug</t>
  </si>
  <si>
    <t>Agent selected Correct Formulation</t>
  </si>
  <si>
    <t>Agent entered Correct Days supply and Quantity</t>
  </si>
  <si>
    <t>Brand vs Generic Accuracy</t>
  </si>
  <si>
    <t>Agent selected Correct TCE radio button</t>
  </si>
  <si>
    <t>Agent entered Correct Backdate</t>
  </si>
  <si>
    <t>Agent selected Correct Strength</t>
  </si>
  <si>
    <t>Decision Accuracy at the Action Screen</t>
  </si>
  <si>
    <t>Agent failed to use Retry Trial Claim function</t>
  </si>
  <si>
    <t>Agent initiate PA and any new PA’s associated with other medication listed in the fax request</t>
  </si>
  <si>
    <t>Agent bypass dup screen/forward to appeals/reworks/merge correctly</t>
  </si>
  <si>
    <t>Agent cancelled the case properly</t>
  </si>
  <si>
    <t>Agent Reworked when necessary</t>
  </si>
  <si>
    <t>Agent correctly selected Multiple Review PA Type</t>
  </si>
  <si>
    <t>Clinical Guidelines</t>
  </si>
  <si>
    <t>Tried and Failed medications</t>
  </si>
  <si>
    <t>Documentation</t>
  </si>
  <si>
    <t>Compliance</t>
  </si>
  <si>
    <t>Wrong Member Selected</t>
  </si>
  <si>
    <t>Fax Priority</t>
  </si>
  <si>
    <t>Invalid Cancellation</t>
  </si>
  <si>
    <t>Agent update Address when appropriate</t>
  </si>
  <si>
    <t>Agent failed to verify FLU if incorrect NDC was used</t>
  </si>
  <si>
    <t>Agent choose other/not known/not Provided when information is provided</t>
  </si>
  <si>
    <t>Agent entered IntialvsReauthorization</t>
  </si>
  <si>
    <t>Agent answered Formulary Speci</t>
  </si>
  <si>
    <t>Agent answered Quantity limits question correctly</t>
  </si>
  <si>
    <t>Agent answered Diagnosis Question</t>
  </si>
  <si>
    <t>Agent failed to make OBC to MDO</t>
  </si>
  <si>
    <t>Agent failed to do corret calculation</t>
  </si>
  <si>
    <t xml:space="preserve">Agent failed to enter appropriate edits </t>
  </si>
  <si>
    <t>Agent allows the System driven decision</t>
  </si>
  <si>
    <t>Agent called the Phone number when multiple numbers are present</t>
  </si>
  <si>
    <t>h.</t>
  </si>
  <si>
    <t>i.</t>
  </si>
  <si>
    <t>j.</t>
  </si>
  <si>
    <t>k.</t>
  </si>
  <si>
    <t>l.</t>
  </si>
  <si>
    <t>Agent failed to document additional PA Types</t>
  </si>
  <si>
    <t>Agent documented whom they spoke to</t>
  </si>
  <si>
    <t>Agent documented Outcome of OBC-document reason for the OBC and information obtained</t>
  </si>
  <si>
    <t>Agent did not Document when the way technician answered the CG does not align with Fax</t>
  </si>
  <si>
    <t>Agent failed to document correct regimen to QTY question</t>
  </si>
  <si>
    <t>Incorrect NPI was entered</t>
  </si>
  <si>
    <t>Agent must select correct member account according to the multimember hierarchy</t>
  </si>
  <si>
    <t>Agent must enter cases under all applicable accounts even if not skilled</t>
  </si>
  <si>
    <t>Quantity and days supply must be entered exactly according to the attachment</t>
  </si>
  <si>
    <t>Ensure the Pre-Benefit Determination flag is selected appropriately when applicable</t>
  </si>
  <si>
    <t>Correct cancel reason code was used</t>
  </si>
  <si>
    <t>Retry Trial claim was used for RAFA and RARA cancellation</t>
  </si>
  <si>
    <t>Agent must identify and add any missing PA Type reviews to the Multiple Reviews dropdown</t>
  </si>
  <si>
    <t>Agent must change the NDC if an invalid drug was previously selected</t>
  </si>
  <si>
    <t>Agent adds information provided</t>
  </si>
  <si>
    <t>Agent answered Plan Exclusion questions</t>
  </si>
  <si>
    <t>Agent must copy/paste answers in the Additional notes for Incomplete cases</t>
  </si>
  <si>
    <t>Agent does not manipulate answers to force pend the case without specific direction</t>
  </si>
  <si>
    <t>Total</t>
  </si>
  <si>
    <t>m</t>
  </si>
  <si>
    <t>F_S01Q01_Provider Information - Agent selected Incorrect Provider</t>
  </si>
  <si>
    <t>F_S01Q02_Provider Information - Agent update Phone or Fax Number when Appropriate</t>
  </si>
  <si>
    <t>F_S01Q03_Provider Information - Agent update Address when Appropriate</t>
  </si>
  <si>
    <t>F_S01Q04_Member - Agent selected Correct Member</t>
  </si>
  <si>
    <t>F_S01Q05_Member - Agent selected correct Plan</t>
  </si>
  <si>
    <t>F_S01Q06_Member - Agent verified Third Identifier</t>
  </si>
  <si>
    <t>F_S01Q07_Drug - Agent selected Correct Drug</t>
  </si>
  <si>
    <t>F_S01Q08_Drug - Agent selected Correct Formulation</t>
  </si>
  <si>
    <t>F_S01Q09_Drug - Agent selected Correct Strength</t>
  </si>
  <si>
    <t>F_S01Q10_Drug - Agent entered Correct Days supply and Quantity</t>
  </si>
  <si>
    <t>F_S01Q11_Drug - Agent Entered Correct Diagnosis</t>
  </si>
  <si>
    <t>F_S01Q12_Drug - Agent selected Correct TCE radio button</t>
  </si>
  <si>
    <t>F_S01Q13_Drug - Agent entered Correct Backdate</t>
  </si>
  <si>
    <t>F_S01Q14_Case Handling - Initiate PA and any new PAs associated with other medications listed in the fax request</t>
  </si>
  <si>
    <t>F_S01Q15_Case Handling - Does not bypass dup/fwd to appeals/reworks/merge correctly</t>
  </si>
  <si>
    <t>F_S01Q16_Case Handling - Asses multiple denials appropriately (Max 2 within 180 day period except TX 1 within 180 days)</t>
  </si>
  <si>
    <t>F_S01Q17_Case Handling - Asses the correct state regulation based on enhanced benefit</t>
  </si>
  <si>
    <t>F_S01Q18_Case Handling - Improper Cancellation</t>
  </si>
  <si>
    <t>F_S01Q19_Case Handling - Reworks when necessary - by utilizing the Copy Case function if appropriate</t>
  </si>
  <si>
    <t>F_S01Q20_Case Handling - Identified all applicable review types</t>
  </si>
  <si>
    <t>Member</t>
  </si>
  <si>
    <t>Drug</t>
  </si>
  <si>
    <t>Case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</si>
</sst>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0"/>
      <name val="Arial Narrow"/>
      <family val="2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36363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C3DEF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CEFA1"/>
      </left>
      <right style="medium">
        <color rgb="FFFCEFA1"/>
      </right>
      <top/>
      <bottom/>
      <diagonal/>
    </border>
    <border>
      <left style="medium">
        <color rgb="FFFCEFA1"/>
      </left>
      <right style="medium">
        <color rgb="FFFCEFA1"/>
      </right>
      <top/>
      <bottom style="medium">
        <color rgb="FFD8E5EE"/>
      </bottom>
      <diagonal/>
    </border>
    <border>
      <left/>
      <right/>
      <top style="medium">
        <color rgb="FFD8E5EE"/>
      </top>
      <bottom/>
      <diagonal/>
    </border>
    <border>
      <left style="medium">
        <color rgb="FFFCEFA1"/>
      </left>
      <right style="medium">
        <color rgb="FFFCEFA1"/>
      </right>
      <top style="medium">
        <color rgb="FFD8E5EE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/>
    <xf numFmtId="0" fontId="0" fillId="5" borderId="9" xfId="0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0" fontId="0" fillId="7" borderId="9" xfId="0" applyFill="1" applyBorder="1" applyAlignment="1">
      <alignment horizontal="center" vertical="center"/>
    </xf>
    <xf numFmtId="0" fontId="0" fillId="7" borderId="9" xfId="0" applyFill="1" applyBorder="1"/>
    <xf numFmtId="0" fontId="0" fillId="7" borderId="9" xfId="0" applyFill="1" applyBorder="1" applyAlignment="1">
      <alignment wrapText="1"/>
    </xf>
    <xf numFmtId="0" fontId="0" fillId="7" borderId="9" xfId="0" applyFill="1" applyBorder="1" applyAlignment="1">
      <alignment horizontal="center"/>
    </xf>
    <xf numFmtId="0" fontId="0" fillId="8" borderId="9" xfId="0" applyFill="1" applyBorder="1"/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wrapText="1"/>
    </xf>
    <xf numFmtId="0" fontId="0" fillId="8" borderId="9" xfId="0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9" borderId="9" xfId="0" applyFill="1" applyBorder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6" fillId="11" borderId="15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1" borderId="15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12" borderId="16" xfId="0" applyFont="1" applyFill="1" applyBorder="1" applyAlignment="1">
      <alignment vertical="center"/>
    </xf>
    <xf numFmtId="0" fontId="7" fillId="12" borderId="13" xfId="0" applyFont="1" applyFill="1" applyBorder="1" applyAlignment="1">
      <alignment vertical="center"/>
    </xf>
    <xf numFmtId="0" fontId="7" fillId="12" borderId="14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DBB3-E2FC-477B-A7ED-DA80BEFC244B}">
  <dimension ref="A1:E55"/>
  <sheetViews>
    <sheetView topLeftCell="A8" zoomScale="85" zoomScaleNormal="85" workbookViewId="0">
      <selection activeCell="A31" sqref="A31:A43"/>
    </sheetView>
  </sheetViews>
  <sheetFormatPr defaultRowHeight="14.5" x14ac:dyDescent="0.35"/>
  <cols>
    <col min="1" max="1" width="33.36328125" bestFit="1" customWidth="1"/>
    <col min="2" max="2" width="7.26953125" customWidth="1"/>
    <col min="3" max="3" width="78.453125" customWidth="1"/>
    <col min="4" max="4" width="9.90625" bestFit="1" customWidth="1"/>
    <col min="5" max="5" width="8.36328125" bestFit="1" customWidth="1"/>
  </cols>
  <sheetData>
    <row r="1" spans="1:5" ht="26.5" thickBot="1" x14ac:dyDescent="0.4">
      <c r="A1" s="23" t="s">
        <v>0</v>
      </c>
      <c r="B1" s="24"/>
      <c r="C1" s="24"/>
      <c r="D1" s="24"/>
      <c r="E1" s="25"/>
    </row>
    <row r="2" spans="1:5" ht="18.5" x14ac:dyDescent="0.35">
      <c r="A2" s="1" t="s">
        <v>4</v>
      </c>
      <c r="B2" s="26" t="s">
        <v>1</v>
      </c>
      <c r="C2" s="27"/>
      <c r="D2" s="2" t="s">
        <v>2</v>
      </c>
      <c r="E2" s="3" t="s">
        <v>3</v>
      </c>
    </row>
    <row r="3" spans="1:5" x14ac:dyDescent="0.35">
      <c r="A3" s="28" t="s">
        <v>5</v>
      </c>
      <c r="B3" s="12" t="s">
        <v>7</v>
      </c>
      <c r="C3" s="13" t="s">
        <v>6</v>
      </c>
      <c r="D3" s="30" t="s">
        <v>10</v>
      </c>
      <c r="E3" s="30">
        <v>5</v>
      </c>
    </row>
    <row r="4" spans="1:5" x14ac:dyDescent="0.35">
      <c r="A4" s="28"/>
      <c r="B4" s="12" t="s">
        <v>8</v>
      </c>
      <c r="C4" s="13" t="s">
        <v>63</v>
      </c>
      <c r="D4" s="31"/>
      <c r="E4" s="31"/>
    </row>
    <row r="5" spans="1:5" x14ac:dyDescent="0.35">
      <c r="A5" s="28"/>
      <c r="B5" s="12" t="s">
        <v>11</v>
      </c>
      <c r="C5" s="14" t="s">
        <v>9</v>
      </c>
      <c r="D5" s="15" t="s">
        <v>10</v>
      </c>
      <c r="E5" s="15">
        <v>5</v>
      </c>
    </row>
    <row r="6" spans="1:5" x14ac:dyDescent="0.35">
      <c r="A6" s="28"/>
      <c r="B6" s="12" t="s">
        <v>16</v>
      </c>
      <c r="C6" s="13" t="s">
        <v>41</v>
      </c>
      <c r="D6" s="15" t="s">
        <v>10</v>
      </c>
      <c r="E6" s="15">
        <v>5</v>
      </c>
    </row>
    <row r="7" spans="1:5" x14ac:dyDescent="0.35">
      <c r="A7" s="28" t="s">
        <v>12</v>
      </c>
      <c r="B7" s="12" t="s">
        <v>7</v>
      </c>
      <c r="C7" s="13" t="s">
        <v>13</v>
      </c>
      <c r="D7" s="30" t="s">
        <v>10</v>
      </c>
      <c r="E7" s="30">
        <v>5</v>
      </c>
    </row>
    <row r="8" spans="1:5" x14ac:dyDescent="0.35">
      <c r="A8" s="28"/>
      <c r="B8" s="12" t="s">
        <v>8</v>
      </c>
      <c r="C8" s="13" t="s">
        <v>64</v>
      </c>
      <c r="D8" s="34"/>
      <c r="E8" s="34"/>
    </row>
    <row r="9" spans="1:5" x14ac:dyDescent="0.35">
      <c r="A9" s="28"/>
      <c r="B9" s="12" t="s">
        <v>11</v>
      </c>
      <c r="C9" s="13" t="s">
        <v>65</v>
      </c>
      <c r="D9" s="31"/>
      <c r="E9" s="31"/>
    </row>
    <row r="10" spans="1:5" x14ac:dyDescent="0.35">
      <c r="A10" s="28"/>
      <c r="B10" s="12" t="s">
        <v>16</v>
      </c>
      <c r="C10" s="13" t="s">
        <v>14</v>
      </c>
      <c r="D10" s="15" t="str">
        <f>IF(E10&gt;0, "Pass", "Fail")</f>
        <v>Pass</v>
      </c>
      <c r="E10" s="15">
        <v>5</v>
      </c>
    </row>
    <row r="11" spans="1:5" x14ac:dyDescent="0.35">
      <c r="A11" s="29" t="s">
        <v>15</v>
      </c>
      <c r="B11" s="9" t="s">
        <v>7</v>
      </c>
      <c r="C11" s="10" t="s">
        <v>20</v>
      </c>
      <c r="D11" s="11" t="str">
        <f>IF(E11&gt;0, "Pass", "Fail")</f>
        <v>Pass</v>
      </c>
      <c r="E11" s="11">
        <v>4</v>
      </c>
    </row>
    <row r="12" spans="1:5" x14ac:dyDescent="0.35">
      <c r="A12" s="29"/>
      <c r="B12" s="9" t="s">
        <v>8</v>
      </c>
      <c r="C12" s="10" t="s">
        <v>21</v>
      </c>
      <c r="D12" s="11" t="str">
        <f>IF(E12&gt;0, "Pass", "Fail")</f>
        <v>Pass</v>
      </c>
      <c r="E12" s="11">
        <v>4</v>
      </c>
    </row>
    <row r="13" spans="1:5" x14ac:dyDescent="0.35">
      <c r="A13" s="29"/>
      <c r="B13" s="9" t="s">
        <v>11</v>
      </c>
      <c r="C13" s="10" t="s">
        <v>26</v>
      </c>
      <c r="D13" s="11" t="str">
        <f>IF(E13&gt;0, "Pass", "Fail")</f>
        <v>Pass</v>
      </c>
      <c r="E13" s="11">
        <v>4</v>
      </c>
    </row>
    <row r="14" spans="1:5" x14ac:dyDescent="0.35">
      <c r="A14" s="29"/>
      <c r="B14" s="9" t="s">
        <v>16</v>
      </c>
      <c r="C14" s="10" t="s">
        <v>22</v>
      </c>
      <c r="D14" s="32" t="str">
        <f>IF(E14&gt;0, "Pass", "Fail")</f>
        <v>Pass</v>
      </c>
      <c r="E14" s="32">
        <v>4</v>
      </c>
    </row>
    <row r="15" spans="1:5" x14ac:dyDescent="0.35">
      <c r="A15" s="29"/>
      <c r="B15" s="9" t="s">
        <v>17</v>
      </c>
      <c r="C15" s="10" t="s">
        <v>66</v>
      </c>
      <c r="D15" s="33"/>
      <c r="E15" s="33"/>
    </row>
    <row r="16" spans="1:5" x14ac:dyDescent="0.35">
      <c r="A16" s="29"/>
      <c r="B16" s="9" t="s">
        <v>18</v>
      </c>
      <c r="C16" s="10" t="s">
        <v>23</v>
      </c>
      <c r="D16" s="11" t="str">
        <f>IF(E16&gt;0, "Pass", "Fail")</f>
        <v>Pass</v>
      </c>
      <c r="E16" s="11">
        <v>3</v>
      </c>
    </row>
    <row r="17" spans="1:5" x14ac:dyDescent="0.35">
      <c r="A17" s="29"/>
      <c r="B17" s="9" t="s">
        <v>19</v>
      </c>
      <c r="C17" s="10" t="s">
        <v>24</v>
      </c>
      <c r="D17" s="32" t="str">
        <f>IF(E17&gt;0, "Pass", "Fail")</f>
        <v>Pass</v>
      </c>
      <c r="E17" s="32">
        <v>3</v>
      </c>
    </row>
    <row r="18" spans="1:5" x14ac:dyDescent="0.35">
      <c r="A18" s="29"/>
      <c r="B18" s="9" t="s">
        <v>53</v>
      </c>
      <c r="C18" s="10" t="s">
        <v>67</v>
      </c>
      <c r="D18" s="33"/>
      <c r="E18" s="33"/>
    </row>
    <row r="19" spans="1:5" x14ac:dyDescent="0.35">
      <c r="A19" s="29"/>
      <c r="B19" s="9" t="s">
        <v>54</v>
      </c>
      <c r="C19" s="10" t="s">
        <v>25</v>
      </c>
      <c r="D19" s="11" t="str">
        <f>IF(E19&gt;0, "Pass", "Fail")</f>
        <v>Pass</v>
      </c>
      <c r="E19" s="11">
        <v>3</v>
      </c>
    </row>
    <row r="20" spans="1:5" x14ac:dyDescent="0.35">
      <c r="A20" s="35" t="s">
        <v>27</v>
      </c>
      <c r="B20" s="17" t="s">
        <v>7</v>
      </c>
      <c r="C20" s="16" t="s">
        <v>42</v>
      </c>
      <c r="D20" s="37" t="str">
        <f>IF(E20&gt;0, "Pass", "Fail")</f>
        <v>Pass</v>
      </c>
      <c r="E20" s="35">
        <v>5</v>
      </c>
    </row>
    <row r="21" spans="1:5" x14ac:dyDescent="0.35">
      <c r="A21" s="36"/>
      <c r="B21" s="17" t="s">
        <v>8</v>
      </c>
      <c r="C21" s="16" t="s">
        <v>71</v>
      </c>
      <c r="D21" s="37"/>
      <c r="E21" s="38"/>
    </row>
    <row r="22" spans="1:5" x14ac:dyDescent="0.35">
      <c r="A22" s="36"/>
      <c r="B22" s="17" t="s">
        <v>11</v>
      </c>
      <c r="C22" s="16" t="s">
        <v>28</v>
      </c>
      <c r="D22" s="37" t="str">
        <f>IF(E22&gt;0, "Pass", "Fail")</f>
        <v>Pass</v>
      </c>
      <c r="E22" s="35">
        <v>5</v>
      </c>
    </row>
    <row r="23" spans="1:5" x14ac:dyDescent="0.35">
      <c r="A23" s="36"/>
      <c r="B23" s="17" t="s">
        <v>16</v>
      </c>
      <c r="C23" s="16" t="s">
        <v>69</v>
      </c>
      <c r="D23" s="37"/>
      <c r="E23" s="38"/>
    </row>
    <row r="24" spans="1:5" x14ac:dyDescent="0.35">
      <c r="A24" s="36"/>
      <c r="B24" s="17" t="s">
        <v>17</v>
      </c>
      <c r="C24" s="18" t="s">
        <v>29</v>
      </c>
      <c r="D24" s="19" t="str">
        <f>IF(E24&gt;0, "Pass", "Fail")</f>
        <v>Pass</v>
      </c>
      <c r="E24" s="17">
        <v>5</v>
      </c>
    </row>
    <row r="25" spans="1:5" x14ac:dyDescent="0.35">
      <c r="A25" s="36"/>
      <c r="B25" s="17" t="s">
        <v>18</v>
      </c>
      <c r="C25" s="16" t="s">
        <v>30</v>
      </c>
      <c r="D25" s="19" t="str">
        <f>IF(E25&gt;0, "Pass", "Fail")</f>
        <v>Pass</v>
      </c>
      <c r="E25" s="17">
        <v>5</v>
      </c>
    </row>
    <row r="26" spans="1:5" x14ac:dyDescent="0.35">
      <c r="A26" s="36"/>
      <c r="B26" s="17" t="s">
        <v>19</v>
      </c>
      <c r="C26" s="16" t="s">
        <v>31</v>
      </c>
      <c r="D26" s="37" t="str">
        <f>IF(E26&gt;0, "Pass", "Fail")</f>
        <v>Pass</v>
      </c>
      <c r="E26" s="35">
        <v>5</v>
      </c>
    </row>
    <row r="27" spans="1:5" x14ac:dyDescent="0.35">
      <c r="A27" s="36"/>
      <c r="B27" s="17" t="s">
        <v>53</v>
      </c>
      <c r="C27" s="16" t="s">
        <v>68</v>
      </c>
      <c r="D27" s="37"/>
      <c r="E27" s="38"/>
    </row>
    <row r="28" spans="1:5" x14ac:dyDescent="0.35">
      <c r="A28" s="36"/>
      <c r="B28" s="17" t="s">
        <v>54</v>
      </c>
      <c r="C28" s="16" t="s">
        <v>32</v>
      </c>
      <c r="D28" s="19" t="str">
        <f>IF(E28&gt;0, "Pass", "Fail")</f>
        <v>Pass</v>
      </c>
      <c r="E28" s="17">
        <v>5</v>
      </c>
    </row>
    <row r="29" spans="1:5" x14ac:dyDescent="0.35">
      <c r="A29" s="36"/>
      <c r="B29" s="17" t="s">
        <v>55</v>
      </c>
      <c r="C29" s="16" t="s">
        <v>33</v>
      </c>
      <c r="D29" s="37" t="str">
        <f>IF(E29&gt;0, "Pass", "Fail")</f>
        <v>Pass</v>
      </c>
      <c r="E29" s="35">
        <v>5</v>
      </c>
    </row>
    <row r="30" spans="1:5" x14ac:dyDescent="0.35">
      <c r="A30" s="36"/>
      <c r="B30" s="17" t="s">
        <v>56</v>
      </c>
      <c r="C30" s="16" t="s">
        <v>70</v>
      </c>
      <c r="D30" s="37"/>
      <c r="E30" s="36"/>
    </row>
    <row r="31" spans="1:5" x14ac:dyDescent="0.35">
      <c r="A31" s="42" t="s">
        <v>34</v>
      </c>
      <c r="B31" s="6" t="s">
        <v>7</v>
      </c>
      <c r="C31" s="7" t="s">
        <v>43</v>
      </c>
      <c r="D31" s="48" t="str">
        <f>IF(E31&gt;0, "Pass", "Fail")</f>
        <v>Pass</v>
      </c>
      <c r="E31" s="42">
        <v>5</v>
      </c>
    </row>
    <row r="32" spans="1:5" x14ac:dyDescent="0.35">
      <c r="A32" s="43"/>
      <c r="B32" s="6" t="s">
        <v>8</v>
      </c>
      <c r="C32" s="7" t="s">
        <v>72</v>
      </c>
      <c r="D32" s="48"/>
      <c r="E32" s="43"/>
    </row>
    <row r="33" spans="1:5" x14ac:dyDescent="0.35">
      <c r="A33" s="43"/>
      <c r="B33" s="6" t="s">
        <v>11</v>
      </c>
      <c r="C33" s="7" t="s">
        <v>44</v>
      </c>
      <c r="D33" s="48"/>
      <c r="E33" s="43"/>
    </row>
    <row r="34" spans="1:5" x14ac:dyDescent="0.35">
      <c r="A34" s="43"/>
      <c r="B34" s="6" t="s">
        <v>16</v>
      </c>
      <c r="C34" s="7" t="s">
        <v>73</v>
      </c>
      <c r="D34" s="48"/>
      <c r="E34" s="43"/>
    </row>
    <row r="35" spans="1:5" x14ac:dyDescent="0.35">
      <c r="A35" s="43"/>
      <c r="B35" s="6" t="s">
        <v>17</v>
      </c>
      <c r="C35" s="7" t="s">
        <v>45</v>
      </c>
      <c r="D35" s="48"/>
      <c r="E35" s="43"/>
    </row>
    <row r="36" spans="1:5" x14ac:dyDescent="0.35">
      <c r="A36" s="43"/>
      <c r="B36" s="6" t="s">
        <v>18</v>
      </c>
      <c r="C36" s="7" t="s">
        <v>46</v>
      </c>
      <c r="D36" s="48"/>
      <c r="E36" s="43"/>
    </row>
    <row r="37" spans="1:5" x14ac:dyDescent="0.35">
      <c r="A37" s="43"/>
      <c r="B37" s="6" t="s">
        <v>19</v>
      </c>
      <c r="C37" s="7" t="s">
        <v>47</v>
      </c>
      <c r="D37" s="48"/>
      <c r="E37" s="43"/>
    </row>
    <row r="38" spans="1:5" x14ac:dyDescent="0.35">
      <c r="A38" s="43"/>
      <c r="B38" s="6" t="s">
        <v>53</v>
      </c>
      <c r="C38" s="7" t="s">
        <v>48</v>
      </c>
      <c r="D38" s="48"/>
      <c r="E38" s="43"/>
    </row>
    <row r="39" spans="1:5" x14ac:dyDescent="0.35">
      <c r="A39" s="43"/>
      <c r="B39" s="6" t="s">
        <v>54</v>
      </c>
      <c r="C39" s="7" t="s">
        <v>49</v>
      </c>
      <c r="D39" s="48"/>
      <c r="E39" s="43"/>
    </row>
    <row r="40" spans="1:5" x14ac:dyDescent="0.35">
      <c r="A40" s="43"/>
      <c r="B40" s="6" t="s">
        <v>55</v>
      </c>
      <c r="C40" s="7" t="s">
        <v>50</v>
      </c>
      <c r="D40" s="48"/>
      <c r="E40" s="43"/>
    </row>
    <row r="41" spans="1:5" x14ac:dyDescent="0.35">
      <c r="A41" s="43"/>
      <c r="B41" s="6" t="s">
        <v>56</v>
      </c>
      <c r="C41" s="7" t="s">
        <v>51</v>
      </c>
      <c r="D41" s="48"/>
      <c r="E41" s="43"/>
    </row>
    <row r="42" spans="1:5" x14ac:dyDescent="0.35">
      <c r="A42" s="43"/>
      <c r="B42" s="6" t="s">
        <v>57</v>
      </c>
      <c r="C42" s="7" t="s">
        <v>75</v>
      </c>
      <c r="D42" s="48"/>
      <c r="E42" s="44"/>
    </row>
    <row r="43" spans="1:5" x14ac:dyDescent="0.35">
      <c r="A43" s="44"/>
      <c r="B43" s="6" t="s">
        <v>77</v>
      </c>
      <c r="C43" s="7" t="s">
        <v>35</v>
      </c>
      <c r="D43" s="8" t="str">
        <f>IF(E43&gt;0, "Pass", "Fail")</f>
        <v>Pass</v>
      </c>
      <c r="E43" s="6">
        <v>5</v>
      </c>
    </row>
    <row r="44" spans="1:5" x14ac:dyDescent="0.35">
      <c r="A44" s="45" t="s">
        <v>36</v>
      </c>
      <c r="B44" s="20" t="s">
        <v>7</v>
      </c>
      <c r="C44" s="21" t="s">
        <v>52</v>
      </c>
      <c r="D44" s="45" t="str">
        <f>IF(E44&gt;0, "Pass", "Fail")</f>
        <v>Pass</v>
      </c>
      <c r="E44" s="45">
        <v>5</v>
      </c>
    </row>
    <row r="45" spans="1:5" x14ac:dyDescent="0.35">
      <c r="A45" s="46"/>
      <c r="B45" s="20" t="s">
        <v>11</v>
      </c>
      <c r="C45" s="21" t="s">
        <v>58</v>
      </c>
      <c r="D45" s="46"/>
      <c r="E45" s="46"/>
    </row>
    <row r="46" spans="1:5" x14ac:dyDescent="0.35">
      <c r="A46" s="46"/>
      <c r="B46" s="20" t="s">
        <v>16</v>
      </c>
      <c r="C46" s="21" t="s">
        <v>59</v>
      </c>
      <c r="D46" s="46"/>
      <c r="E46" s="46"/>
    </row>
    <row r="47" spans="1:5" x14ac:dyDescent="0.35">
      <c r="A47" s="46"/>
      <c r="B47" s="20" t="s">
        <v>17</v>
      </c>
      <c r="C47" s="21" t="s">
        <v>60</v>
      </c>
      <c r="D47" s="46"/>
      <c r="E47" s="46"/>
    </row>
    <row r="48" spans="1:5" x14ac:dyDescent="0.35">
      <c r="A48" s="46"/>
      <c r="B48" s="20" t="s">
        <v>18</v>
      </c>
      <c r="C48" s="21" t="s">
        <v>61</v>
      </c>
      <c r="D48" s="46"/>
      <c r="E48" s="46"/>
    </row>
    <row r="49" spans="1:5" x14ac:dyDescent="0.35">
      <c r="A49" s="46"/>
      <c r="B49" s="20" t="s">
        <v>19</v>
      </c>
      <c r="C49" s="21" t="s">
        <v>62</v>
      </c>
      <c r="D49" s="46"/>
      <c r="E49" s="46"/>
    </row>
    <row r="50" spans="1:5" x14ac:dyDescent="0.35">
      <c r="A50" s="47"/>
      <c r="B50" s="20" t="s">
        <v>53</v>
      </c>
      <c r="C50" s="21" t="s">
        <v>74</v>
      </c>
      <c r="D50" s="47"/>
      <c r="E50" s="47"/>
    </row>
    <row r="51" spans="1:5" x14ac:dyDescent="0.35">
      <c r="A51" s="49" t="s">
        <v>37</v>
      </c>
      <c r="B51" s="4" t="s">
        <v>7</v>
      </c>
      <c r="C51" s="5" t="s">
        <v>38</v>
      </c>
      <c r="D51" s="39" t="str">
        <f>IF(E51&gt;0, "Pass", "AutoFail")</f>
        <v>Pass</v>
      </c>
      <c r="E51" s="39" t="s">
        <v>10</v>
      </c>
    </row>
    <row r="52" spans="1:5" x14ac:dyDescent="0.35">
      <c r="A52" s="49"/>
      <c r="B52" s="4" t="s">
        <v>8</v>
      </c>
      <c r="C52" s="5" t="s">
        <v>39</v>
      </c>
      <c r="D52" s="40"/>
      <c r="E52" s="40"/>
    </row>
    <row r="53" spans="1:5" x14ac:dyDescent="0.35">
      <c r="A53" s="49"/>
      <c r="B53" s="4" t="s">
        <v>11</v>
      </c>
      <c r="C53" s="5" t="s">
        <v>40</v>
      </c>
      <c r="D53" s="41"/>
      <c r="E53" s="41"/>
    </row>
    <row r="55" spans="1:5" x14ac:dyDescent="0.35">
      <c r="D55" s="22" t="s">
        <v>76</v>
      </c>
      <c r="E55" s="22">
        <f>SUM(E3:E50)</f>
        <v>100</v>
      </c>
    </row>
  </sheetData>
  <mergeCells count="31">
    <mergeCell ref="D51:D53"/>
    <mergeCell ref="E31:E42"/>
    <mergeCell ref="A44:A50"/>
    <mergeCell ref="E44:E50"/>
    <mergeCell ref="D31:D42"/>
    <mergeCell ref="D44:D50"/>
    <mergeCell ref="A51:A53"/>
    <mergeCell ref="E51:E53"/>
    <mergeCell ref="A31:A43"/>
    <mergeCell ref="A20:A30"/>
    <mergeCell ref="D29:D30"/>
    <mergeCell ref="E29:E30"/>
    <mergeCell ref="D20:D21"/>
    <mergeCell ref="E20:E21"/>
    <mergeCell ref="D26:D27"/>
    <mergeCell ref="E26:E27"/>
    <mergeCell ref="D22:D23"/>
    <mergeCell ref="E22:E23"/>
    <mergeCell ref="A1:E1"/>
    <mergeCell ref="B2:C2"/>
    <mergeCell ref="A3:A6"/>
    <mergeCell ref="A7:A10"/>
    <mergeCell ref="A11:A19"/>
    <mergeCell ref="E3:E4"/>
    <mergeCell ref="D14:D15"/>
    <mergeCell ref="E14:E15"/>
    <mergeCell ref="D17:D18"/>
    <mergeCell ref="E17:E18"/>
    <mergeCell ref="E7:E9"/>
    <mergeCell ref="D7:D9"/>
    <mergeCell ref="D3:D4"/>
  </mergeCells>
  <conditionalFormatting sqref="D3 D5:D7 D10:D31 D43:D44 D51">
    <cfRule type="containsText" dxfId="0" priority="1" operator="containsText" text="Fail">
      <formula>NOT(ISERROR(SEARCH("Fail",D3)))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936813F-1DD9-4FE5-8738-8B2FB4934FC1}">
          <x14:formula1>
            <xm:f>'Validation list'!$B$1:$B$2</xm:f>
          </x14:formula1>
          <xm:sqref>E3:E4 E5 E6 E44:E50 E10 E20:E21 E22:E23 E24 E25 E26:E27 E28 E29:E30 E31:E42 E43 E7</xm:sqref>
        </x14:dataValidation>
        <x14:dataValidation type="list" allowBlank="1" showInputMessage="1" showErrorMessage="1" xr:uid="{54FD8B4B-1E74-414D-967E-960809D9136C}">
          <x14:formula1>
            <xm:f>'Validation list'!$C$1:$C$2</xm:f>
          </x14:formula1>
          <xm:sqref>E11 E12 E13 E14:E15</xm:sqref>
        </x14:dataValidation>
        <x14:dataValidation type="list" allowBlank="1" showInputMessage="1" showErrorMessage="1" xr:uid="{57587C88-D347-421B-83E1-B6903B072A3D}">
          <x14:formula1>
            <xm:f>'Validation list'!$D$1:$D$2</xm:f>
          </x14:formula1>
          <xm:sqref>E16 E17:E18 E19</xm:sqref>
        </x14:dataValidation>
        <x14:dataValidation type="list" allowBlank="1" showInputMessage="1" showErrorMessage="1" xr:uid="{71C9EC47-889F-4932-A50F-882169050AF7}">
          <x14:formula1>
            <xm:f>'Validation list'!$E$1:$E$2</xm:f>
          </x14:formula1>
          <xm:sqref>E51:E53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24B3-2938-44D3-8151-7F902DEC92BC}">
  <dimension ref="B1:E2"/>
  <sheetViews>
    <sheetView workbookViewId="0">
      <selection activeCell="E24" sqref="E24"/>
    </sheetView>
  </sheetViews>
  <sheetFormatPr defaultRowHeight="14.5" x14ac:dyDescent="0.35"/>
  <cols>
    <col min="3" max="4" width="8.90625" customWidth="1"/>
  </cols>
  <sheetData>
    <row r="1" spans="2:5" x14ac:dyDescent="0.35">
      <c r="B1">
        <v>5</v>
      </c>
      <c r="C1">
        <v>4</v>
      </c>
      <c r="D1">
        <v>3</v>
      </c>
      <c r="E1" t="s">
        <v>10</v>
      </c>
    </row>
    <row r="2" spans="2:5" x14ac:dyDescent="0.35">
      <c r="B2">
        <v>0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BC71-F900-4E21-829C-C391DC9BACBF}">
  <dimension ref="A1:B33"/>
  <sheetViews>
    <sheetView tabSelected="1" workbookViewId="0">
      <selection activeCell="C5" sqref="C5"/>
    </sheetView>
  </sheetViews>
  <sheetFormatPr defaultColWidth="29.08984375" defaultRowHeight="14.5" x14ac:dyDescent="0.35"/>
  <cols>
    <col min="1" max="1" width="29.08984375" style="57"/>
    <col min="2" max="2" width="81.453125" style="58" customWidth="1"/>
    <col min="3" max="16384" width="29.08984375" style="58"/>
  </cols>
  <sheetData>
    <row r="1" spans="1:2" x14ac:dyDescent="0.35">
      <c r="A1" s="57" t="s">
        <v>4</v>
      </c>
      <c r="B1" s="58" t="s">
        <v>1</v>
      </c>
    </row>
    <row r="2" spans="1:2" ht="15" thickBot="1" x14ac:dyDescent="0.4">
      <c r="A2" s="57" t="s">
        <v>5</v>
      </c>
      <c r="B2" s="54" t="s">
        <v>78</v>
      </c>
    </row>
    <row r="3" spans="1:2" ht="15" thickBot="1" x14ac:dyDescent="0.4">
      <c r="A3" s="57" t="s">
        <v>5</v>
      </c>
      <c r="B3" s="55" t="s">
        <v>79</v>
      </c>
    </row>
    <row r="4" spans="1:2" ht="15" thickBot="1" x14ac:dyDescent="0.4">
      <c r="A4" s="57" t="s">
        <v>5</v>
      </c>
      <c r="B4" s="56" t="s">
        <v>80</v>
      </c>
    </row>
    <row r="5" spans="1:2" x14ac:dyDescent="0.35">
      <c r="A5" s="57" t="s">
        <v>98</v>
      </c>
      <c r="B5" s="51" t="s">
        <v>81</v>
      </c>
    </row>
    <row r="6" spans="1:2" ht="15" thickBot="1" x14ac:dyDescent="0.4">
      <c r="A6" s="57" t="s">
        <v>98</v>
      </c>
      <c r="B6" s="52"/>
    </row>
    <row r="7" spans="1:2" x14ac:dyDescent="0.35">
      <c r="A7" s="57" t="s">
        <v>98</v>
      </c>
      <c r="B7" s="53" t="s">
        <v>82</v>
      </c>
    </row>
    <row r="8" spans="1:2" ht="15" thickBot="1" x14ac:dyDescent="0.4">
      <c r="A8" s="57" t="s">
        <v>98</v>
      </c>
      <c r="B8" s="50"/>
    </row>
    <row r="9" spans="1:2" x14ac:dyDescent="0.35">
      <c r="A9" s="57" t="s">
        <v>98</v>
      </c>
      <c r="B9" s="51" t="s">
        <v>83</v>
      </c>
    </row>
    <row r="10" spans="1:2" ht="15" thickBot="1" x14ac:dyDescent="0.4">
      <c r="A10" s="57" t="s">
        <v>98</v>
      </c>
      <c r="B10" s="52"/>
    </row>
    <row r="11" spans="1:2" x14ac:dyDescent="0.35">
      <c r="A11" s="57" t="s">
        <v>99</v>
      </c>
      <c r="B11" s="53" t="s">
        <v>84</v>
      </c>
    </row>
    <row r="12" spans="1:2" ht="15" thickBot="1" x14ac:dyDescent="0.4">
      <c r="A12" s="57" t="s">
        <v>99</v>
      </c>
      <c r="B12" s="50"/>
    </row>
    <row r="13" spans="1:2" x14ac:dyDescent="0.35">
      <c r="A13" s="57" t="s">
        <v>99</v>
      </c>
      <c r="B13" s="51" t="s">
        <v>85</v>
      </c>
    </row>
    <row r="14" spans="1:2" ht="15" thickBot="1" x14ac:dyDescent="0.4">
      <c r="A14" s="57" t="s">
        <v>99</v>
      </c>
      <c r="B14" s="52"/>
    </row>
    <row r="15" spans="1:2" x14ac:dyDescent="0.35">
      <c r="A15" s="57" t="s">
        <v>99</v>
      </c>
      <c r="B15" s="53" t="s">
        <v>86</v>
      </c>
    </row>
    <row r="16" spans="1:2" ht="15" thickBot="1" x14ac:dyDescent="0.4">
      <c r="A16" s="57" t="s">
        <v>99</v>
      </c>
      <c r="B16" s="50"/>
    </row>
    <row r="17" spans="1:2" ht="15" thickBot="1" x14ac:dyDescent="0.4">
      <c r="A17" s="57" t="s">
        <v>99</v>
      </c>
      <c r="B17" s="55" t="s">
        <v>87</v>
      </c>
    </row>
    <row r="18" spans="1:2" x14ac:dyDescent="0.35">
      <c r="A18" s="57" t="s">
        <v>99</v>
      </c>
      <c r="B18" s="53" t="s">
        <v>88</v>
      </c>
    </row>
    <row r="19" spans="1:2" ht="15" thickBot="1" x14ac:dyDescent="0.4">
      <c r="A19" s="57" t="s">
        <v>99</v>
      </c>
      <c r="B19" s="50"/>
    </row>
    <row r="20" spans="1:2" ht="15" thickBot="1" x14ac:dyDescent="0.4">
      <c r="A20" s="57" t="s">
        <v>99</v>
      </c>
      <c r="B20" s="55" t="s">
        <v>89</v>
      </c>
    </row>
    <row r="21" spans="1:2" x14ac:dyDescent="0.35">
      <c r="A21" s="57" t="s">
        <v>99</v>
      </c>
      <c r="B21" s="53" t="s">
        <v>90</v>
      </c>
    </row>
    <row r="22" spans="1:2" ht="15" thickBot="1" x14ac:dyDescent="0.4">
      <c r="A22" s="57" t="s">
        <v>99</v>
      </c>
      <c r="B22" s="50"/>
    </row>
    <row r="23" spans="1:2" ht="15" thickBot="1" x14ac:dyDescent="0.4">
      <c r="A23" s="57" t="s">
        <v>100</v>
      </c>
      <c r="B23" s="55" t="s">
        <v>91</v>
      </c>
    </row>
    <row r="24" spans="1:2" ht="15" thickBot="1" x14ac:dyDescent="0.4">
      <c r="A24" s="57" t="s">
        <v>100</v>
      </c>
      <c r="B24" s="56" t="s">
        <v>92</v>
      </c>
    </row>
    <row r="25" spans="1:2" ht="15" thickBot="1" x14ac:dyDescent="0.4">
      <c r="A25" s="57" t="s">
        <v>100</v>
      </c>
      <c r="B25" s="55" t="s">
        <v>93</v>
      </c>
    </row>
    <row r="26" spans="1:2" ht="15" thickBot="1" x14ac:dyDescent="0.4">
      <c r="A26" s="57" t="s">
        <v>100</v>
      </c>
      <c r="B26" s="56" t="s">
        <v>94</v>
      </c>
    </row>
    <row r="27" spans="1:2" x14ac:dyDescent="0.35">
      <c r="A27" s="57" t="s">
        <v>100</v>
      </c>
      <c r="B27" s="51" t="s">
        <v>95</v>
      </c>
    </row>
    <row r="28" spans="1:2" ht="15" thickBot="1" x14ac:dyDescent="0.4">
      <c r="A28" s="57" t="s">
        <v>100</v>
      </c>
      <c r="B28" s="52"/>
    </row>
    <row r="29" spans="1:2" ht="15" thickBot="1" x14ac:dyDescent="0.4">
      <c r="A29" s="57" t="s">
        <v>100</v>
      </c>
      <c r="B29" s="56" t="s">
        <v>96</v>
      </c>
    </row>
    <row r="30" spans="1:2" x14ac:dyDescent="0.35">
      <c r="A30" s="57" t="s">
        <v>100</v>
      </c>
      <c r="B30" s="59" t="s">
        <v>97</v>
      </c>
    </row>
    <row r="31" spans="1:2" x14ac:dyDescent="0.35">
      <c r="B31" s="60"/>
    </row>
    <row r="32" spans="1:2" x14ac:dyDescent="0.35">
      <c r="B32" s="60"/>
    </row>
    <row r="33" spans="2:2" ht="15" thickBot="1" x14ac:dyDescent="0.4">
      <c r="B33" s="61"/>
    </row>
  </sheetData>
  <mergeCells count="9">
    <mergeCell ref="B18:B19"/>
    <mergeCell ref="B21:B22"/>
    <mergeCell ref="B27:B28"/>
    <mergeCell ref="B5:B6"/>
    <mergeCell ref="B7:B8"/>
    <mergeCell ref="B9:B10"/>
    <mergeCell ref="B11:B12"/>
    <mergeCell ref="B13:B14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PANDA Fax</vt:lpstr>
      <vt:lpstr>Validation list</vt:lpstr>
      <vt:lpstr>PAS Fax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Ballesteros, Joseph Andrew C</dc:creator>
  <cp:lastModifiedBy>Dacanay, Paolo C</cp:lastModifiedBy>
  <dcterms:created xsi:type="dcterms:W3CDTF">2025-03-04T23:06:50Z</dcterms:created>
  <dcterms:modified xsi:type="dcterms:W3CDTF">2025-09-23T16:51:16Z</dcterms:modified>
</cp:coreProperties>
</file>