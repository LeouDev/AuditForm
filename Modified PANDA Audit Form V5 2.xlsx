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uhgazure-my.sharepoint.com/personal/paolo_c_dacanay_optum_com/Documents/Domain Expert/"/>
    </mc:Choice>
  </mc:AlternateContent>
  <xr:revisionPtr revIDLastSave="689" documentId="8_{5BC95A97-2AF5-406A-BB5D-4EFF73DA0C3C}" xr6:coauthVersionLast="47" xr6:coauthVersionMax="47" xr10:uidLastSave="{62FD751A-8359-4ED8-A038-4D33E77E0472}"/>
  <bookViews>
    <workbookView xWindow="-110" yWindow="-110" windowWidth="19420" windowHeight="10300" tabRatio="731" xr2:uid="{17FD6323-BBD5-4F69-8C54-0C51FDC2AD24}"/>
  </bookViews>
  <sheets>
    <sheet name="Audit Form" sheetId="2" r:id="rId1"/>
    <sheet name="Nesting " sheetId="18" r:id="rId2"/>
    <sheet name="RAW" sheetId="6" r:id="rId3"/>
    <sheet name="Report" sheetId="9" r:id="rId4"/>
    <sheet name="Sheet6" sheetId="15" r:id="rId5"/>
    <sheet name="Validation List" sheetId="4" r:id="rId6"/>
    <sheet name="Sheet1" sheetId="21" r:id="rId7"/>
    <sheet name="ML" sheetId="5" r:id="rId8"/>
    <sheet name="NH ML with Email" sheetId="20" r:id="rId9"/>
    <sheet name="NEW HIRE ROSTER" sheetId="16" r:id="rId10"/>
  </sheets>
  <definedNames>
    <definedName name="_xlnm._FilterDatabase" localSheetId="7" hidden="1">ML!$A$1:$E$600</definedName>
    <definedName name="_xlnm._FilterDatabase" localSheetId="9" hidden="1">'NEW HIRE ROSTER'!$A$1:$G$1</definedName>
    <definedName name="_xlnm._FilterDatabase" localSheetId="2" hidden="1">RAW!$A$1:$DF$1308</definedName>
  </definedNames>
  <calcPr calcId="191029"/>
  <pivotCaches>
    <pivotCache cacheId="108" r:id="rId11"/>
    <pivotCache cacheId="109" r:id="rId12"/>
    <pivotCache cacheId="110"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9" i="2" l="1"/>
  <c r="A41" i="6" l="1"/>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c r="A251" i="6"/>
  <c r="A252" i="6"/>
  <c r="A253" i="6"/>
  <c r="A254" i="6"/>
  <c r="A255" i="6"/>
  <c r="A256" i="6"/>
  <c r="A257" i="6"/>
  <c r="A258" i="6"/>
  <c r="A259" i="6"/>
  <c r="A260" i="6"/>
  <c r="A261" i="6"/>
  <c r="A262" i="6"/>
  <c r="A263" i="6"/>
  <c r="A264" i="6"/>
  <c r="A265" i="6"/>
  <c r="A266" i="6"/>
  <c r="A267" i="6"/>
  <c r="A268" i="6"/>
  <c r="A269" i="6"/>
  <c r="A270" i="6"/>
  <c r="A271" i="6"/>
  <c r="A272" i="6"/>
  <c r="A273" i="6"/>
  <c r="A274" i="6"/>
  <c r="A275" i="6"/>
  <c r="A276" i="6"/>
  <c r="A277" i="6"/>
  <c r="A278" i="6"/>
  <c r="A279" i="6"/>
  <c r="A280" i="6"/>
  <c r="A281" i="6"/>
  <c r="A282" i="6"/>
  <c r="A283" i="6"/>
  <c r="A284" i="6"/>
  <c r="A285" i="6"/>
  <c r="A286" i="6"/>
  <c r="A287" i="6"/>
  <c r="A288" i="6"/>
  <c r="A289" i="6"/>
  <c r="A290" i="6"/>
  <c r="A291" i="6"/>
  <c r="A292" i="6"/>
  <c r="A293" i="6"/>
  <c r="A294" i="6"/>
  <c r="A295" i="6"/>
  <c r="A296" i="6"/>
  <c r="A297" i="6"/>
  <c r="A298" i="6"/>
  <c r="A299" i="6"/>
  <c r="A300" i="6"/>
  <c r="A301" i="6"/>
  <c r="A302" i="6"/>
  <c r="A303" i="6"/>
  <c r="A304" i="6"/>
  <c r="A305" i="6"/>
  <c r="A306" i="6"/>
  <c r="A307" i="6"/>
  <c r="A308" i="6"/>
  <c r="A309" i="6"/>
  <c r="A310" i="6"/>
  <c r="A311" i="6"/>
  <c r="A312" i="6"/>
  <c r="A313" i="6"/>
  <c r="A314" i="6"/>
  <c r="A315" i="6"/>
  <c r="A316" i="6"/>
  <c r="A317" i="6"/>
  <c r="A318" i="6"/>
  <c r="A319" i="6"/>
  <c r="A320" i="6"/>
  <c r="A321" i="6"/>
  <c r="A322" i="6"/>
  <c r="A323" i="6"/>
  <c r="A324" i="6"/>
  <c r="A325" i="6"/>
  <c r="A326" i="6"/>
  <c r="A327" i="6"/>
  <c r="A328" i="6"/>
  <c r="A329" i="6"/>
  <c r="A330" i="6"/>
  <c r="A331" i="6"/>
  <c r="A332" i="6"/>
  <c r="A333" i="6"/>
  <c r="A334" i="6"/>
  <c r="A335" i="6"/>
  <c r="A336" i="6"/>
  <c r="A337" i="6"/>
  <c r="A338" i="6"/>
  <c r="A339" i="6"/>
  <c r="A340" i="6"/>
  <c r="A341" i="6"/>
  <c r="A342" i="6"/>
  <c r="A343" i="6"/>
  <c r="A344" i="6"/>
  <c r="A345" i="6"/>
  <c r="A346" i="6"/>
  <c r="A347" i="6"/>
  <c r="A348" i="6"/>
  <c r="A349" i="6"/>
  <c r="A350" i="6"/>
  <c r="A351" i="6"/>
  <c r="A352" i="6"/>
  <c r="A353" i="6"/>
  <c r="A354" i="6"/>
  <c r="A355" i="6"/>
  <c r="A356" i="6"/>
  <c r="A357" i="6"/>
  <c r="A358" i="6"/>
  <c r="A359" i="6"/>
  <c r="A360" i="6"/>
  <c r="A361" i="6"/>
  <c r="A362" i="6"/>
  <c r="A363" i="6"/>
  <c r="A364" i="6"/>
  <c r="A365" i="6"/>
  <c r="A366" i="6"/>
  <c r="A367" i="6"/>
  <c r="A368" i="6"/>
  <c r="A369" i="6"/>
  <c r="A370" i="6"/>
  <c r="A371" i="6"/>
  <c r="A372" i="6"/>
  <c r="A373" i="6"/>
  <c r="A374" i="6"/>
  <c r="A375" i="6"/>
  <c r="A376" i="6"/>
  <c r="A377" i="6"/>
  <c r="A378" i="6"/>
  <c r="A379" i="6"/>
  <c r="A380" i="6"/>
  <c r="A381" i="6"/>
  <c r="A382" i="6"/>
  <c r="A383" i="6"/>
  <c r="A384" i="6"/>
  <c r="A385" i="6"/>
  <c r="A386" i="6"/>
  <c r="A387" i="6"/>
  <c r="A388" i="6"/>
  <c r="A389" i="6"/>
  <c r="A390" i="6"/>
  <c r="A391" i="6"/>
  <c r="A392" i="6"/>
  <c r="A393" i="6"/>
  <c r="A394" i="6"/>
  <c r="A395" i="6"/>
  <c r="A396" i="6"/>
  <c r="A397" i="6"/>
  <c r="A398" i="6"/>
  <c r="A399" i="6"/>
  <c r="A400" i="6"/>
  <c r="A401" i="6"/>
  <c r="A402" i="6"/>
  <c r="A403" i="6"/>
  <c r="A404" i="6"/>
  <c r="A405" i="6"/>
  <c r="A406" i="6"/>
  <c r="A407" i="6"/>
  <c r="A408" i="6"/>
  <c r="A409" i="6"/>
  <c r="A410" i="6"/>
  <c r="A411" i="6"/>
  <c r="A412" i="6"/>
  <c r="A413" i="6"/>
  <c r="A414" i="6"/>
  <c r="A415" i="6"/>
  <c r="A416" i="6"/>
  <c r="A417" i="6"/>
  <c r="A418" i="6"/>
  <c r="A419" i="6"/>
  <c r="A420" i="6"/>
  <c r="A421" i="6"/>
  <c r="A422" i="6"/>
  <c r="A423" i="6"/>
  <c r="A424" i="6"/>
  <c r="A425" i="6"/>
  <c r="A426" i="6"/>
  <c r="A427" i="6"/>
  <c r="A428" i="6"/>
  <c r="A429" i="6"/>
  <c r="A430" i="6"/>
  <c r="A431" i="6"/>
  <c r="A432" i="6"/>
  <c r="A433" i="6"/>
  <c r="A434" i="6"/>
  <c r="A435" i="6"/>
  <c r="A436" i="6"/>
  <c r="A437" i="6"/>
  <c r="A438" i="6"/>
  <c r="A439" i="6"/>
  <c r="A440" i="6"/>
  <c r="A441" i="6"/>
  <c r="A442" i="6"/>
  <c r="A443" i="6"/>
  <c r="A444" i="6"/>
  <c r="A445" i="6"/>
  <c r="A446" i="6"/>
  <c r="A447" i="6"/>
  <c r="A448" i="6"/>
  <c r="A449" i="6"/>
  <c r="A450" i="6"/>
  <c r="A451" i="6"/>
  <c r="A452" i="6"/>
  <c r="A453" i="6"/>
  <c r="A454" i="6"/>
  <c r="A455" i="6"/>
  <c r="A456" i="6"/>
  <c r="A457" i="6"/>
  <c r="A458" i="6"/>
  <c r="A459" i="6"/>
  <c r="A460" i="6"/>
  <c r="A461" i="6"/>
  <c r="A462" i="6"/>
  <c r="A463" i="6"/>
  <c r="A464" i="6"/>
  <c r="A465" i="6"/>
  <c r="A466" i="6"/>
  <c r="A467" i="6"/>
  <c r="A468" i="6"/>
  <c r="A469" i="6"/>
  <c r="A470" i="6"/>
  <c r="A471" i="6"/>
  <c r="A472" i="6"/>
  <c r="A473" i="6"/>
  <c r="A474" i="6"/>
  <c r="A475" i="6"/>
  <c r="A476" i="6"/>
  <c r="A477" i="6"/>
  <c r="A478" i="6"/>
  <c r="A479" i="6"/>
  <c r="A480" i="6"/>
  <c r="A481" i="6"/>
  <c r="A482" i="6"/>
  <c r="A483" i="6"/>
  <c r="A484" i="6"/>
  <c r="A485" i="6"/>
  <c r="A486" i="6"/>
  <c r="A487" i="6"/>
  <c r="A488" i="6"/>
  <c r="A489" i="6"/>
  <c r="A490" i="6"/>
  <c r="A491" i="6"/>
  <c r="A492" i="6"/>
  <c r="A493" i="6"/>
  <c r="A494" i="6"/>
  <c r="A495" i="6"/>
  <c r="A496" i="6"/>
  <c r="A497" i="6"/>
  <c r="A498" i="6"/>
  <c r="A499" i="6"/>
  <c r="A500" i="6"/>
  <c r="A501" i="6"/>
  <c r="A502" i="6"/>
  <c r="A503" i="6"/>
  <c r="A504" i="6"/>
  <c r="A505" i="6"/>
  <c r="A506" i="6"/>
  <c r="A507" i="6"/>
  <c r="A508" i="6"/>
  <c r="A509" i="6"/>
  <c r="A510" i="6"/>
  <c r="A511" i="6"/>
  <c r="A512" i="6"/>
  <c r="A513" i="6"/>
  <c r="A514" i="6"/>
  <c r="A515" i="6"/>
  <c r="A516" i="6"/>
  <c r="A517" i="6"/>
  <c r="A518" i="6"/>
  <c r="A519" i="6"/>
  <c r="A520" i="6"/>
  <c r="A521" i="6"/>
  <c r="A522" i="6"/>
  <c r="A523" i="6"/>
  <c r="A524" i="6"/>
  <c r="A525" i="6"/>
  <c r="A526" i="6"/>
  <c r="A527" i="6"/>
  <c r="A528" i="6"/>
  <c r="A529" i="6"/>
  <c r="A530" i="6"/>
  <c r="A531" i="6"/>
  <c r="A532" i="6"/>
  <c r="A533" i="6"/>
  <c r="A534" i="6"/>
  <c r="A535" i="6"/>
  <c r="A536" i="6"/>
  <c r="A537" i="6"/>
  <c r="A538" i="6"/>
  <c r="A539" i="6"/>
  <c r="A540" i="6"/>
  <c r="A541" i="6"/>
  <c r="A542" i="6"/>
  <c r="A543" i="6"/>
  <c r="A544" i="6"/>
  <c r="A545" i="6"/>
  <c r="A546" i="6"/>
  <c r="A547" i="6"/>
  <c r="A548" i="6"/>
  <c r="A549" i="6"/>
  <c r="A550" i="6"/>
  <c r="A551" i="6"/>
  <c r="A552" i="6"/>
  <c r="A553" i="6"/>
  <c r="A554" i="6"/>
  <c r="A555" i="6"/>
  <c r="A556" i="6"/>
  <c r="A557" i="6"/>
  <c r="A558" i="6"/>
  <c r="A559" i="6"/>
  <c r="A560" i="6"/>
  <c r="A561" i="6"/>
  <c r="A562" i="6"/>
  <c r="A563" i="6"/>
  <c r="A564" i="6"/>
  <c r="A565" i="6"/>
  <c r="A566" i="6"/>
  <c r="A567" i="6"/>
  <c r="A568" i="6"/>
  <c r="A569" i="6"/>
  <c r="A570" i="6"/>
  <c r="A571" i="6"/>
  <c r="A572" i="6"/>
  <c r="A573" i="6"/>
  <c r="A574" i="6"/>
  <c r="A575" i="6"/>
  <c r="A576" i="6"/>
  <c r="A577" i="6"/>
  <c r="A578" i="6"/>
  <c r="A579" i="6"/>
  <c r="A580" i="6"/>
  <c r="A581" i="6"/>
  <c r="A582" i="6"/>
  <c r="A583" i="6"/>
  <c r="A584" i="6"/>
  <c r="A585" i="6"/>
  <c r="A586" i="6"/>
  <c r="A587" i="6"/>
  <c r="A588" i="6"/>
  <c r="A589" i="6"/>
  <c r="A590" i="6"/>
  <c r="A591" i="6"/>
  <c r="A592" i="6"/>
  <c r="A593" i="6"/>
  <c r="A594" i="6"/>
  <c r="A595" i="6"/>
  <c r="A596" i="6"/>
  <c r="A597" i="6"/>
  <c r="A598" i="6"/>
  <c r="A599" i="6"/>
  <c r="A600" i="6"/>
  <c r="A601" i="6"/>
  <c r="A602" i="6"/>
  <c r="A603" i="6"/>
  <c r="A604" i="6"/>
  <c r="A605" i="6"/>
  <c r="A606" i="6"/>
  <c r="A607" i="6"/>
  <c r="A608" i="6"/>
  <c r="A609" i="6"/>
  <c r="A610" i="6"/>
  <c r="A611" i="6"/>
  <c r="A612" i="6"/>
  <c r="A613" i="6"/>
  <c r="A614" i="6"/>
  <c r="A615" i="6"/>
  <c r="A616" i="6"/>
  <c r="A617" i="6"/>
  <c r="A618" i="6"/>
  <c r="A619" i="6"/>
  <c r="A620" i="6"/>
  <c r="A621" i="6"/>
  <c r="A622" i="6"/>
  <c r="A623" i="6"/>
  <c r="A624" i="6"/>
  <c r="A625" i="6"/>
  <c r="A626" i="6"/>
  <c r="A627" i="6"/>
  <c r="A628" i="6"/>
  <c r="A629" i="6"/>
  <c r="A630" i="6"/>
  <c r="A631" i="6"/>
  <c r="A632" i="6"/>
  <c r="A633" i="6"/>
  <c r="A634" i="6"/>
  <c r="A635" i="6"/>
  <c r="A636" i="6"/>
  <c r="A637" i="6"/>
  <c r="A638" i="6"/>
  <c r="A639" i="6"/>
  <c r="A640" i="6"/>
  <c r="A641" i="6"/>
  <c r="A642" i="6"/>
  <c r="A643" i="6"/>
  <c r="A644" i="6"/>
  <c r="A645" i="6"/>
  <c r="A646" i="6"/>
  <c r="A647" i="6"/>
  <c r="A648" i="6"/>
  <c r="A649" i="6"/>
  <c r="A650" i="6"/>
  <c r="A651" i="6"/>
  <c r="A652" i="6"/>
  <c r="A653" i="6"/>
  <c r="A654" i="6"/>
  <c r="A655" i="6"/>
  <c r="A656" i="6"/>
  <c r="A657" i="6"/>
  <c r="A658" i="6"/>
  <c r="A659" i="6"/>
  <c r="A660" i="6"/>
  <c r="A661" i="6"/>
  <c r="A662" i="6"/>
  <c r="A663" i="6"/>
  <c r="A664" i="6"/>
  <c r="A665" i="6"/>
  <c r="A666" i="6"/>
  <c r="A667" i="6"/>
  <c r="A668" i="6"/>
  <c r="A669" i="6"/>
  <c r="A670" i="6"/>
  <c r="A671" i="6"/>
  <c r="A672" i="6"/>
  <c r="A673" i="6"/>
  <c r="A674" i="6"/>
  <c r="A675" i="6"/>
  <c r="A676" i="6"/>
  <c r="A677" i="6"/>
  <c r="A678" i="6"/>
  <c r="A679" i="6"/>
  <c r="A680" i="6"/>
  <c r="A681" i="6"/>
  <c r="A682" i="6"/>
  <c r="A683" i="6"/>
  <c r="A684" i="6"/>
  <c r="A685" i="6"/>
  <c r="A686" i="6"/>
  <c r="A687" i="6"/>
  <c r="A688" i="6"/>
  <c r="A689" i="6"/>
  <c r="A690" i="6"/>
  <c r="A691" i="6"/>
  <c r="A692" i="6"/>
  <c r="A693" i="6"/>
  <c r="A694" i="6"/>
  <c r="A695" i="6"/>
  <c r="A696" i="6"/>
  <c r="A697" i="6"/>
  <c r="A698" i="6"/>
  <c r="A699" i="6"/>
  <c r="A700" i="6"/>
  <c r="A701" i="6"/>
  <c r="A702" i="6"/>
  <c r="A703" i="6"/>
  <c r="A704" i="6"/>
  <c r="A705" i="6"/>
  <c r="A706" i="6"/>
  <c r="A707" i="6"/>
  <c r="A708" i="6"/>
  <c r="A709" i="6"/>
  <c r="A710" i="6"/>
  <c r="A711" i="6"/>
  <c r="A712" i="6"/>
  <c r="A713" i="6"/>
  <c r="A714" i="6"/>
  <c r="A715" i="6"/>
  <c r="A716" i="6"/>
  <c r="A717" i="6"/>
  <c r="A718" i="6"/>
  <c r="A719" i="6"/>
  <c r="A720" i="6"/>
  <c r="A721" i="6"/>
  <c r="A722" i="6"/>
  <c r="A723" i="6"/>
  <c r="A724" i="6"/>
  <c r="A725" i="6"/>
  <c r="A726" i="6"/>
  <c r="A727" i="6"/>
  <c r="A728" i="6"/>
  <c r="A729" i="6"/>
  <c r="A730" i="6"/>
  <c r="A731" i="6"/>
  <c r="A732" i="6"/>
  <c r="A733" i="6"/>
  <c r="A734" i="6"/>
  <c r="A735" i="6"/>
  <c r="A736" i="6"/>
  <c r="A737" i="6"/>
  <c r="A738" i="6"/>
  <c r="A739" i="6"/>
  <c r="A740" i="6"/>
  <c r="A741" i="6"/>
  <c r="A742" i="6"/>
  <c r="A743" i="6"/>
  <c r="A744" i="6"/>
  <c r="A745" i="6"/>
  <c r="A746" i="6"/>
  <c r="A747" i="6"/>
  <c r="A748" i="6"/>
  <c r="A749" i="6"/>
  <c r="A750" i="6"/>
  <c r="A751" i="6"/>
  <c r="A752" i="6"/>
  <c r="A753" i="6"/>
  <c r="A754" i="6"/>
  <c r="A755" i="6"/>
  <c r="A756" i="6"/>
  <c r="A757" i="6"/>
  <c r="A758" i="6"/>
  <c r="A759" i="6"/>
  <c r="A760" i="6"/>
  <c r="A761" i="6"/>
  <c r="A762" i="6"/>
  <c r="A763" i="6"/>
  <c r="A764" i="6"/>
  <c r="A765" i="6"/>
  <c r="A766" i="6"/>
  <c r="A767" i="6"/>
  <c r="A768" i="6"/>
  <c r="A769" i="6"/>
  <c r="A770" i="6"/>
  <c r="A771" i="6"/>
  <c r="A772" i="6"/>
  <c r="A773" i="6"/>
  <c r="A774" i="6"/>
  <c r="A775" i="6"/>
  <c r="A776" i="6"/>
  <c r="A777" i="6"/>
  <c r="A778" i="6"/>
  <c r="A779" i="6"/>
  <c r="A780" i="6"/>
  <c r="A781" i="6"/>
  <c r="A782" i="6"/>
  <c r="A783" i="6"/>
  <c r="A784" i="6"/>
  <c r="A785" i="6"/>
  <c r="A786" i="6"/>
  <c r="A787" i="6"/>
  <c r="A788" i="6"/>
  <c r="A789" i="6"/>
  <c r="A790" i="6"/>
  <c r="A791" i="6"/>
  <c r="A792" i="6"/>
  <c r="A793" i="6"/>
  <c r="A794" i="6"/>
  <c r="A795" i="6"/>
  <c r="A796" i="6"/>
  <c r="A797" i="6"/>
  <c r="A798" i="6"/>
  <c r="A799" i="6"/>
  <c r="A800" i="6"/>
  <c r="A801" i="6"/>
  <c r="A802" i="6"/>
  <c r="A803" i="6"/>
  <c r="A804" i="6"/>
  <c r="A805" i="6"/>
  <c r="A806" i="6"/>
  <c r="A807" i="6"/>
  <c r="A808" i="6"/>
  <c r="A809" i="6"/>
  <c r="A810" i="6"/>
  <c r="A811" i="6"/>
  <c r="A812" i="6"/>
  <c r="A813" i="6"/>
  <c r="A814" i="6"/>
  <c r="A815" i="6"/>
  <c r="A816" i="6"/>
  <c r="A817" i="6"/>
  <c r="A818" i="6"/>
  <c r="A819" i="6"/>
  <c r="A820" i="6"/>
  <c r="A821" i="6"/>
  <c r="A822" i="6"/>
  <c r="A823" i="6"/>
  <c r="A824" i="6"/>
  <c r="A825" i="6"/>
  <c r="A826" i="6"/>
  <c r="A827" i="6"/>
  <c r="A828" i="6"/>
  <c r="A829" i="6"/>
  <c r="A830" i="6"/>
  <c r="A831" i="6"/>
  <c r="A832" i="6"/>
  <c r="A833" i="6"/>
  <c r="A834" i="6"/>
  <c r="A835" i="6"/>
  <c r="A836" i="6"/>
  <c r="A837" i="6"/>
  <c r="A838" i="6"/>
  <c r="A839" i="6"/>
  <c r="A840" i="6"/>
  <c r="A841" i="6"/>
  <c r="A842" i="6"/>
  <c r="A843" i="6"/>
  <c r="A844" i="6"/>
  <c r="A845" i="6"/>
  <c r="A846" i="6"/>
  <c r="A847" i="6"/>
  <c r="A848" i="6"/>
  <c r="A849" i="6"/>
  <c r="A850" i="6"/>
  <c r="A851" i="6"/>
  <c r="A852" i="6"/>
  <c r="A853" i="6"/>
  <c r="A854" i="6"/>
  <c r="A855" i="6"/>
  <c r="A856" i="6"/>
  <c r="A857" i="6"/>
  <c r="A858" i="6"/>
  <c r="A859" i="6"/>
  <c r="A860" i="6"/>
  <c r="A861" i="6"/>
  <c r="A862" i="6"/>
  <c r="A863" i="6"/>
  <c r="A864" i="6"/>
  <c r="A865" i="6"/>
  <c r="A866" i="6"/>
  <c r="A867" i="6"/>
  <c r="A868" i="6"/>
  <c r="A869" i="6"/>
  <c r="A870" i="6"/>
  <c r="A871" i="6"/>
  <c r="A872" i="6"/>
  <c r="A873" i="6"/>
  <c r="A874" i="6"/>
  <c r="A875" i="6"/>
  <c r="A876" i="6"/>
  <c r="A877" i="6"/>
  <c r="A878" i="6"/>
  <c r="A879" i="6"/>
  <c r="A880" i="6"/>
  <c r="A881" i="6"/>
  <c r="A882" i="6"/>
  <c r="A883" i="6"/>
  <c r="A884" i="6"/>
  <c r="A885" i="6"/>
  <c r="A886" i="6"/>
  <c r="A887" i="6"/>
  <c r="A888" i="6"/>
  <c r="A889" i="6"/>
  <c r="A890" i="6"/>
  <c r="A891" i="6"/>
  <c r="A892" i="6"/>
  <c r="A893" i="6"/>
  <c r="A894" i="6"/>
  <c r="A895" i="6"/>
  <c r="A896" i="6"/>
  <c r="A897" i="6"/>
  <c r="A898" i="6"/>
  <c r="A899" i="6"/>
  <c r="A900" i="6"/>
  <c r="A901" i="6"/>
  <c r="A902" i="6"/>
  <c r="A903" i="6"/>
  <c r="A904" i="6"/>
  <c r="A905" i="6"/>
  <c r="A906" i="6"/>
  <c r="A907" i="6"/>
  <c r="A908" i="6"/>
  <c r="A909" i="6"/>
  <c r="A910" i="6"/>
  <c r="A911" i="6"/>
  <c r="A912" i="6"/>
  <c r="A913" i="6"/>
  <c r="A914" i="6"/>
  <c r="A915" i="6"/>
  <c r="A916" i="6"/>
  <c r="A917" i="6"/>
  <c r="A918" i="6"/>
  <c r="A919" i="6"/>
  <c r="A920" i="6"/>
  <c r="A921" i="6"/>
  <c r="A922" i="6"/>
  <c r="A923" i="6"/>
  <c r="A924" i="6"/>
  <c r="A925" i="6"/>
  <c r="A926" i="6"/>
  <c r="A927" i="6"/>
  <c r="A928" i="6"/>
  <c r="A929" i="6"/>
  <c r="A930" i="6"/>
  <c r="A931" i="6"/>
  <c r="A932" i="6"/>
  <c r="A933" i="6"/>
  <c r="A934" i="6"/>
  <c r="A935" i="6"/>
  <c r="A936" i="6"/>
  <c r="A937" i="6"/>
  <c r="A938" i="6"/>
  <c r="A939" i="6"/>
  <c r="A940" i="6"/>
  <c r="A941" i="6"/>
  <c r="A942" i="6"/>
  <c r="A943" i="6"/>
  <c r="A944" i="6"/>
  <c r="A945" i="6"/>
  <c r="A946" i="6"/>
  <c r="A947" i="6"/>
  <c r="A948" i="6"/>
  <c r="A949" i="6"/>
  <c r="A950" i="6"/>
  <c r="A951" i="6"/>
  <c r="A952" i="6"/>
  <c r="A953" i="6"/>
  <c r="A954" i="6"/>
  <c r="A955" i="6"/>
  <c r="A956" i="6"/>
  <c r="A957" i="6"/>
  <c r="A958" i="6"/>
  <c r="A959" i="6"/>
  <c r="A960" i="6"/>
  <c r="A961" i="6"/>
  <c r="A962" i="6"/>
  <c r="A963" i="6"/>
  <c r="A964" i="6"/>
  <c r="A965" i="6"/>
  <c r="A966" i="6"/>
  <c r="A967" i="6"/>
  <c r="A968" i="6"/>
  <c r="A969" i="6"/>
  <c r="A970" i="6"/>
  <c r="A971" i="6"/>
  <c r="A972" i="6"/>
  <c r="A973" i="6"/>
  <c r="A974" i="6"/>
  <c r="A975" i="6"/>
  <c r="A976" i="6"/>
  <c r="A977" i="6"/>
  <c r="A978" i="6"/>
  <c r="A979" i="6"/>
  <c r="A980" i="6"/>
  <c r="A981" i="6"/>
  <c r="A982" i="6"/>
  <c r="A983" i="6"/>
  <c r="A984" i="6"/>
  <c r="A985" i="6"/>
  <c r="A986" i="6"/>
  <c r="A987" i="6"/>
  <c r="A988" i="6"/>
  <c r="A989" i="6"/>
  <c r="A990" i="6"/>
  <c r="A991" i="6"/>
  <c r="A992" i="6"/>
  <c r="A993" i="6"/>
  <c r="A994" i="6"/>
  <c r="A995" i="6"/>
  <c r="A996" i="6"/>
  <c r="A997" i="6"/>
  <c r="A998" i="6"/>
  <c r="A999" i="6"/>
  <c r="A1000" i="6"/>
  <c r="A1001" i="6"/>
  <c r="A1002" i="6"/>
  <c r="A1003" i="6"/>
  <c r="A1004" i="6"/>
  <c r="A1005" i="6"/>
  <c r="A1006" i="6"/>
  <c r="A1007" i="6"/>
  <c r="A1008" i="6"/>
  <c r="A1009" i="6"/>
  <c r="A1010" i="6"/>
  <c r="A1011" i="6"/>
  <c r="A1012" i="6"/>
  <c r="A1013" i="6"/>
  <c r="A1014" i="6"/>
  <c r="A1015" i="6"/>
  <c r="A1016" i="6"/>
  <c r="A1017" i="6"/>
  <c r="A1018" i="6"/>
  <c r="A1019" i="6"/>
  <c r="A1020" i="6"/>
  <c r="A1021" i="6"/>
  <c r="A1022" i="6"/>
  <c r="A1023" i="6"/>
  <c r="A1024" i="6"/>
  <c r="A1025" i="6"/>
  <c r="A1026" i="6"/>
  <c r="A1027" i="6"/>
  <c r="A1028" i="6"/>
  <c r="A1029" i="6"/>
  <c r="A1030" i="6"/>
  <c r="A1031" i="6"/>
  <c r="A1032" i="6"/>
  <c r="A1033" i="6"/>
  <c r="A1034" i="6"/>
  <c r="A1035" i="6"/>
  <c r="A1036" i="6"/>
  <c r="A1037" i="6"/>
  <c r="A1038" i="6"/>
  <c r="A1039" i="6"/>
  <c r="A1040" i="6"/>
  <c r="A1041" i="6"/>
  <c r="A1042" i="6"/>
  <c r="A1043" i="6"/>
  <c r="A1044" i="6"/>
  <c r="A1045" i="6"/>
  <c r="A1046" i="6"/>
  <c r="A1047" i="6"/>
  <c r="A1048" i="6"/>
  <c r="A1049" i="6"/>
  <c r="A1050" i="6"/>
  <c r="A1051" i="6"/>
  <c r="A1052" i="6"/>
  <c r="A1053" i="6"/>
  <c r="A1054" i="6"/>
  <c r="A1055" i="6"/>
  <c r="A1056" i="6"/>
  <c r="A1057" i="6"/>
  <c r="A1058" i="6"/>
  <c r="A1059" i="6"/>
  <c r="A1060" i="6"/>
  <c r="A1061" i="6"/>
  <c r="A1062" i="6"/>
  <c r="A1063" i="6"/>
  <c r="A1064" i="6"/>
  <c r="A1065" i="6"/>
  <c r="A1066" i="6"/>
  <c r="A1067" i="6"/>
  <c r="A1068" i="6"/>
  <c r="A1069" i="6"/>
  <c r="A1070" i="6"/>
  <c r="A1071" i="6"/>
  <c r="A1072" i="6"/>
  <c r="A1073" i="6"/>
  <c r="A1074" i="6"/>
  <c r="A1075" i="6"/>
  <c r="A1076" i="6"/>
  <c r="A1077" i="6"/>
  <c r="A1078" i="6"/>
  <c r="A1079" i="6"/>
  <c r="A1080" i="6"/>
  <c r="A1081" i="6"/>
  <c r="A1082" i="6"/>
  <c r="A1083" i="6"/>
  <c r="A1084" i="6"/>
  <c r="A1085" i="6"/>
  <c r="A1086" i="6"/>
  <c r="A1087" i="6"/>
  <c r="A1088" i="6"/>
  <c r="A1089" i="6"/>
  <c r="A1090" i="6"/>
  <c r="A1091" i="6"/>
  <c r="A1092" i="6"/>
  <c r="A1093" i="6"/>
  <c r="A1094" i="6"/>
  <c r="A1095" i="6"/>
  <c r="A1096" i="6"/>
  <c r="A1097" i="6"/>
  <c r="A1098" i="6"/>
  <c r="A1099" i="6"/>
  <c r="A1100" i="6"/>
  <c r="A1101" i="6"/>
  <c r="A1102" i="6"/>
  <c r="A1103" i="6"/>
  <c r="A1104" i="6"/>
  <c r="A1105" i="6"/>
  <c r="A1106" i="6"/>
  <c r="A1107" i="6"/>
  <c r="A1108" i="6"/>
  <c r="A1109" i="6"/>
  <c r="A1110" i="6"/>
  <c r="A1111" i="6"/>
  <c r="A1112" i="6"/>
  <c r="A1113" i="6"/>
  <c r="A1114" i="6"/>
  <c r="A1115" i="6"/>
  <c r="A1116" i="6"/>
  <c r="A1117" i="6"/>
  <c r="A1118" i="6"/>
  <c r="A1119" i="6"/>
  <c r="A1120" i="6"/>
  <c r="A1121" i="6"/>
  <c r="A1122" i="6"/>
  <c r="A1123" i="6"/>
  <c r="A1124" i="6"/>
  <c r="A1125" i="6"/>
  <c r="A1126" i="6"/>
  <c r="A1127" i="6"/>
  <c r="A1128" i="6"/>
  <c r="A1129" i="6"/>
  <c r="A1130" i="6"/>
  <c r="A1131" i="6"/>
  <c r="A1132" i="6"/>
  <c r="A1133" i="6"/>
  <c r="A1134" i="6"/>
  <c r="A1135" i="6"/>
  <c r="A1136" i="6"/>
  <c r="A1137" i="6"/>
  <c r="A1138" i="6"/>
  <c r="A1139" i="6"/>
  <c r="A1140" i="6"/>
  <c r="A1141" i="6"/>
  <c r="A1142" i="6"/>
  <c r="A1143" i="6"/>
  <c r="A1144" i="6"/>
  <c r="A1145" i="6"/>
  <c r="A1146" i="6"/>
  <c r="A1147" i="6"/>
  <c r="A1148" i="6"/>
  <c r="A1149" i="6"/>
  <c r="A1150" i="6"/>
  <c r="A1151" i="6"/>
  <c r="A1152" i="6"/>
  <c r="A1153" i="6"/>
  <c r="A1154" i="6"/>
  <c r="A1155" i="6"/>
  <c r="A1156" i="6"/>
  <c r="A1157" i="6"/>
  <c r="A1158" i="6"/>
  <c r="A1159" i="6"/>
  <c r="A1160" i="6"/>
  <c r="A1161" i="6"/>
  <c r="A1162" i="6"/>
  <c r="A1163" i="6"/>
  <c r="A1164" i="6"/>
  <c r="A1165" i="6"/>
  <c r="A1166" i="6"/>
  <c r="A1167" i="6"/>
  <c r="A1168" i="6"/>
  <c r="A1169" i="6"/>
  <c r="A1170" i="6"/>
  <c r="A1171" i="6"/>
  <c r="A1172" i="6"/>
  <c r="A1173" i="6"/>
  <c r="A1174" i="6"/>
  <c r="A1175" i="6"/>
  <c r="A1176" i="6"/>
  <c r="A1177" i="6"/>
  <c r="A1178" i="6"/>
  <c r="A1179" i="6"/>
  <c r="A1180" i="6"/>
  <c r="A1181" i="6"/>
  <c r="A1182" i="6"/>
  <c r="A1183" i="6"/>
  <c r="A1184" i="6"/>
  <c r="A1185" i="6"/>
  <c r="A1186" i="6"/>
  <c r="A1187" i="6"/>
  <c r="A1188" i="6"/>
  <c r="A1189" i="6"/>
  <c r="A1190" i="6"/>
  <c r="A1191" i="6"/>
  <c r="A1192" i="6"/>
  <c r="A1193" i="6"/>
  <c r="A1194" i="6"/>
  <c r="A1195" i="6"/>
  <c r="A1196" i="6"/>
  <c r="A1197" i="6"/>
  <c r="A1198" i="6"/>
  <c r="A1199" i="6"/>
  <c r="A1200" i="6"/>
  <c r="A1201" i="6"/>
  <c r="A1202" i="6"/>
  <c r="A1203" i="6"/>
  <c r="A1204" i="6"/>
  <c r="A1205" i="6"/>
  <c r="A1206" i="6"/>
  <c r="A1207" i="6"/>
  <c r="A1208" i="6"/>
  <c r="A1209" i="6"/>
  <c r="A1210" i="6"/>
  <c r="A1211" i="6"/>
  <c r="A1212" i="6"/>
  <c r="A1213" i="6"/>
  <c r="A1214" i="6"/>
  <c r="A1215" i="6"/>
  <c r="A1216" i="6"/>
  <c r="A1217" i="6"/>
  <c r="A1218" i="6"/>
  <c r="A1219" i="6"/>
  <c r="A1220" i="6"/>
  <c r="A1221" i="6"/>
  <c r="A1222" i="6"/>
  <c r="A1223" i="6"/>
  <c r="A1224" i="6"/>
  <c r="A1225" i="6"/>
  <c r="A1226" i="6"/>
  <c r="A1227" i="6"/>
  <c r="A1228" i="6"/>
  <c r="A1229" i="6"/>
  <c r="A1230" i="6"/>
  <c r="A1231" i="6"/>
  <c r="A1232" i="6"/>
  <c r="A1233" i="6"/>
  <c r="A1234" i="6"/>
  <c r="A1235" i="6"/>
  <c r="A1236" i="6"/>
  <c r="A1237" i="6"/>
  <c r="A1238" i="6"/>
  <c r="A1239" i="6"/>
  <c r="A1240" i="6"/>
  <c r="A1241" i="6"/>
  <c r="A1242" i="6"/>
  <c r="A1243" i="6"/>
  <c r="A1244" i="6"/>
  <c r="A1245" i="6"/>
  <c r="A1246" i="6"/>
  <c r="A1247" i="6"/>
  <c r="A1248" i="6"/>
  <c r="A1249" i="6"/>
  <c r="A1250" i="6"/>
  <c r="A1251" i="6"/>
  <c r="A1252" i="6"/>
  <c r="A1253" i="6"/>
  <c r="A1254" i="6"/>
  <c r="A1255" i="6"/>
  <c r="A1256" i="6"/>
  <c r="A1257" i="6"/>
  <c r="A1258" i="6"/>
  <c r="A1259" i="6"/>
  <c r="A1260" i="6"/>
  <c r="A1261" i="6"/>
  <c r="A1262" i="6"/>
  <c r="A1263" i="6"/>
  <c r="A1264" i="6"/>
  <c r="A1265" i="6"/>
  <c r="A1266" i="6"/>
  <c r="A1267" i="6"/>
  <c r="A1268" i="6"/>
  <c r="A1269" i="6"/>
  <c r="A1270" i="6"/>
  <c r="A1271" i="6"/>
  <c r="A1272" i="6"/>
  <c r="A1273" i="6"/>
  <c r="A1274" i="6"/>
  <c r="A1275" i="6"/>
  <c r="A1276" i="6"/>
  <c r="A1277" i="6"/>
  <c r="A1278" i="6"/>
  <c r="A1279" i="6"/>
  <c r="A1280" i="6"/>
  <c r="A1281" i="6"/>
  <c r="A1282" i="6"/>
  <c r="A1283" i="6"/>
  <c r="A1284" i="6"/>
  <c r="A1285" i="6"/>
  <c r="A1286" i="6"/>
  <c r="A1287" i="6"/>
  <c r="A1288" i="6"/>
  <c r="A1289" i="6"/>
  <c r="A1290" i="6"/>
  <c r="A1291" i="6"/>
  <c r="A1292" i="6"/>
  <c r="A1293" i="6"/>
  <c r="A1294" i="6"/>
  <c r="A1295" i="6"/>
  <c r="A1296" i="6"/>
  <c r="A1297" i="6"/>
  <c r="A1298" i="6"/>
  <c r="A1299" i="6"/>
  <c r="A1300" i="6"/>
  <c r="A1301" i="6"/>
  <c r="A1302" i="6"/>
  <c r="A1303" i="6"/>
  <c r="A1304" i="6"/>
  <c r="A1305" i="6"/>
  <c r="A1306" i="6"/>
  <c r="A1307" i="6"/>
  <c r="A1308" i="6"/>
  <c r="H75" i="6" l="1"/>
  <c r="G75" i="6"/>
  <c r="C73" i="6"/>
  <c r="C71" i="6"/>
  <c r="C70" i="6"/>
  <c r="C69" i="6"/>
  <c r="C68" i="6"/>
  <c r="C66" i="6"/>
  <c r="C64" i="6"/>
  <c r="C62" i="6"/>
  <c r="C60" i="6"/>
  <c r="C58" i="6"/>
  <c r="C56" i="6"/>
  <c r="C54" i="6"/>
  <c r="C52" i="6"/>
  <c r="C50" i="6"/>
  <c r="C48" i="6"/>
  <c r="C46" i="6"/>
  <c r="C45" i="6"/>
  <c r="C43" i="6"/>
  <c r="C41" i="6"/>
  <c r="C39" i="6"/>
  <c r="C37" i="6"/>
  <c r="C35" i="6"/>
  <c r="C33" i="6"/>
  <c r="C31" i="6"/>
  <c r="C29" i="6"/>
  <c r="C27" i="6"/>
  <c r="C25" i="6"/>
  <c r="C23" i="6"/>
  <c r="C21" i="6"/>
  <c r="C19" i="6"/>
  <c r="C17" i="6"/>
  <c r="C15" i="6"/>
  <c r="C14" i="6"/>
  <c r="C12" i="6"/>
  <c r="C10" i="6"/>
  <c r="C9" i="6"/>
  <c r="C8" i="6"/>
  <c r="B17" i="6"/>
  <c r="B18" i="6"/>
  <c r="B16" i="6"/>
  <c r="B15" i="6"/>
  <c r="B14" i="6"/>
  <c r="B13" i="6"/>
  <c r="B12" i="6"/>
  <c r="B11" i="6"/>
  <c r="B10" i="6"/>
  <c r="B9" i="6"/>
  <c r="B8" i="6"/>
  <c r="B7" i="6"/>
  <c r="B6" i="6"/>
  <c r="B5" i="6"/>
  <c r="B4" i="6"/>
  <c r="B3" i="6"/>
  <c r="B2" i="6"/>
  <c r="C3" i="6"/>
  <c r="C4" i="6"/>
  <c r="C5" i="6"/>
  <c r="C6" i="6"/>
  <c r="C7" i="6"/>
  <c r="C11" i="6"/>
  <c r="C13" i="6"/>
  <c r="C16" i="6"/>
  <c r="C18" i="6"/>
  <c r="C20" i="6"/>
  <c r="C22" i="6"/>
  <c r="C24" i="6"/>
  <c r="C26" i="6"/>
  <c r="C28" i="6"/>
  <c r="C30" i="6"/>
  <c r="C32" i="6"/>
  <c r="C34" i="6"/>
  <c r="C36" i="6"/>
  <c r="C38" i="6"/>
  <c r="C40" i="6"/>
  <c r="C42" i="6"/>
  <c r="C44" i="6"/>
  <c r="C47" i="6"/>
  <c r="C49" i="6"/>
  <c r="C51" i="6"/>
  <c r="C53" i="6"/>
  <c r="C55" i="6"/>
  <c r="C57" i="6"/>
  <c r="C59" i="6"/>
  <c r="C61" i="6"/>
  <c r="C63" i="6"/>
  <c r="C65" i="6"/>
  <c r="C67" i="6"/>
  <c r="C72"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2" i="6"/>
  <c r="B51" i="6"/>
  <c r="D51" i="6"/>
  <c r="G51" i="6"/>
  <c r="H51" i="6"/>
  <c r="B46" i="6"/>
  <c r="D46" i="6"/>
  <c r="G46" i="6"/>
  <c r="H46" i="6"/>
  <c r="H66" i="6"/>
  <c r="H64" i="6"/>
  <c r="H65" i="6"/>
  <c r="G65" i="6"/>
  <c r="G66" i="6"/>
  <c r="G64" i="6"/>
  <c r="B19" i="6"/>
  <c r="B20" i="6"/>
  <c r="B21" i="6"/>
  <c r="B22" i="6"/>
  <c r="B23" i="6"/>
  <c r="B24" i="6"/>
  <c r="B25" i="6"/>
  <c r="B26" i="6"/>
  <c r="B27" i="6"/>
  <c r="B28" i="6"/>
  <c r="B29" i="6"/>
  <c r="B30" i="6"/>
  <c r="B31" i="6"/>
  <c r="B32" i="6"/>
  <c r="B33" i="6"/>
  <c r="B34" i="6"/>
  <c r="B35" i="6"/>
  <c r="B36" i="6"/>
  <c r="B37" i="6"/>
  <c r="B38" i="6"/>
  <c r="B39" i="6"/>
  <c r="B40" i="6"/>
  <c r="B41" i="6"/>
  <c r="B42" i="6"/>
  <c r="B43" i="6"/>
  <c r="B44" i="6"/>
  <c r="B45" i="6"/>
  <c r="B47" i="6"/>
  <c r="B48" i="6"/>
  <c r="B49" i="6"/>
  <c r="B50"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D3" i="6"/>
  <c r="D2"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7" i="6"/>
  <c r="D48" i="6"/>
  <c r="D49" i="6"/>
  <c r="D50"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H39" i="6" l="1"/>
  <c r="H40" i="6"/>
  <c r="H41" i="6"/>
  <c r="H42" i="6"/>
  <c r="H43" i="6"/>
  <c r="H44" i="6"/>
  <c r="H45" i="6"/>
  <c r="H47" i="6"/>
  <c r="H48" i="6"/>
  <c r="H49" i="6"/>
  <c r="H50" i="6"/>
  <c r="H52" i="6"/>
  <c r="H53" i="6"/>
  <c r="H54" i="6"/>
  <c r="H55" i="6"/>
  <c r="H56" i="6"/>
  <c r="H57" i="6"/>
  <c r="H58" i="6"/>
  <c r="H59" i="6"/>
  <c r="H60" i="6"/>
  <c r="H61" i="6"/>
  <c r="H62" i="6"/>
  <c r="H63" i="6"/>
  <c r="H67" i="6"/>
  <c r="H68" i="6"/>
  <c r="H69" i="6"/>
  <c r="H70" i="6"/>
  <c r="H71" i="6"/>
  <c r="H72" i="6"/>
  <c r="H73" i="6"/>
  <c r="H74"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38" i="6"/>
  <c r="G39" i="6"/>
  <c r="G40" i="6"/>
  <c r="G41" i="6"/>
  <c r="G42" i="6"/>
  <c r="G43" i="6"/>
  <c r="G44" i="6"/>
  <c r="G45" i="6"/>
  <c r="G47" i="6"/>
  <c r="G48" i="6"/>
  <c r="G49" i="6"/>
  <c r="G50" i="6"/>
  <c r="G52" i="6"/>
  <c r="G53" i="6"/>
  <c r="G54" i="6"/>
  <c r="G55" i="6"/>
  <c r="G56" i="6"/>
  <c r="G57" i="6"/>
  <c r="G58" i="6"/>
  <c r="G59" i="6"/>
  <c r="G60" i="6"/>
  <c r="G61" i="6"/>
  <c r="G62" i="6"/>
  <c r="G63" i="6"/>
  <c r="G67" i="6"/>
  <c r="G68" i="6"/>
  <c r="G69" i="6"/>
  <c r="G70" i="6"/>
  <c r="G71" i="6"/>
  <c r="G72" i="6"/>
  <c r="G73" i="6"/>
  <c r="G74"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38"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2" i="6"/>
  <c r="H1303" i="6"/>
  <c r="H1304" i="6"/>
  <c r="H1305" i="6"/>
  <c r="H1306" i="6"/>
  <c r="H1307" i="6"/>
  <c r="H1308" i="6"/>
  <c r="A5" i="6"/>
  <c r="H5" i="6"/>
  <c r="H3" i="6"/>
  <c r="H4"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2" i="6"/>
  <c r="A27" i="6"/>
  <c r="A28" i="6"/>
  <c r="A29" i="6"/>
  <c r="A30" i="6"/>
  <c r="A31" i="6"/>
  <c r="A32" i="6"/>
  <c r="A33" i="6"/>
  <c r="A34" i="6"/>
  <c r="A35" i="6"/>
  <c r="A36" i="6"/>
  <c r="A37" i="6"/>
  <c r="A38" i="6"/>
  <c r="A39" i="6"/>
  <c r="A40" i="6"/>
  <c r="A13" i="6"/>
  <c r="A14" i="6"/>
  <c r="A15" i="6"/>
  <c r="A16" i="6"/>
  <c r="A17" i="6"/>
  <c r="A18" i="6"/>
  <c r="A19" i="6"/>
  <c r="A20" i="6"/>
  <c r="A21" i="6"/>
  <c r="A22" i="6"/>
  <c r="A23" i="6"/>
  <c r="A24" i="6"/>
  <c r="A25" i="6"/>
  <c r="A26" i="6"/>
  <c r="A12" i="6"/>
  <c r="A9" i="6"/>
  <c r="A10" i="6"/>
  <c r="A11" i="6"/>
  <c r="A3" i="6"/>
  <c r="A4" i="6"/>
  <c r="A6" i="6"/>
  <c r="A7" i="6"/>
  <c r="A8" i="6"/>
  <c r="A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Chaves, Rhea Fariola</author>
  </authors>
  <commentList>
    <comment ref="BM66" authorId="0" shapeId="0" xr:uid="{66566E49-C0B1-4537-861F-03CE77701EB8}">
      <text>
        <r>
          <rPr>
            <b/>
            <sz val="9"/>
            <color indexed="81"/>
            <rFont val="Tahoma"/>
            <family val="2"/>
          </rPr>
          <t>Chaves, Rhea Fariola:</t>
        </r>
        <r>
          <rPr>
            <sz val="9"/>
            <color indexed="81"/>
            <rFont val="Tahoma"/>
            <family val="2"/>
          </rPr>
          <t xml:space="preserve">
Agent did not ask all questions and provide all the answer options to the caller verbatim</t>
        </r>
      </text>
    </comment>
    <comment ref="BM69" authorId="0" shapeId="0" xr:uid="{3DFD2EAD-905A-47F0-B3E3-8BB47C803514}">
      <text>
        <r>
          <rPr>
            <b/>
            <sz val="9"/>
            <color indexed="81"/>
            <rFont val="Tahoma"/>
            <family val="2"/>
          </rPr>
          <t>Chaves, Rhea Fariola:</t>
        </r>
        <r>
          <rPr>
            <sz val="9"/>
            <color indexed="81"/>
            <rFont val="Tahoma"/>
            <family val="2"/>
          </rPr>
          <t xml:space="preserve">
Agent did not ask all questions and provide all the answer options to the caller verbatim</t>
        </r>
      </text>
    </comment>
  </commentList>
</comments>
</file>

<file path=xl/sharedStrings.xml><?xml version="1.0" encoding="utf-8"?>
<sst xmlns="http://schemas.openxmlformats.org/spreadsheetml/2006/main" count="7707" uniqueCount="3295">
  <si>
    <t>Attributes</t>
  </si>
  <si>
    <t>Greeting</t>
  </si>
  <si>
    <t xml:space="preserve">a. </t>
  </si>
  <si>
    <t>Agent did not provide their name/department</t>
  </si>
  <si>
    <t>b.</t>
  </si>
  <si>
    <t>Agent did not verify whom they are speaking to</t>
  </si>
  <si>
    <t>Obtaining and documenting Information</t>
  </si>
  <si>
    <t>Agent did not obtain the name of the caller</t>
  </si>
  <si>
    <t>Agent did not obtain Caller's Location, if not member (e.g., MDO, LTC, Hospice).</t>
  </si>
  <si>
    <t>c.</t>
  </si>
  <si>
    <t>Agent did not obtain Caller's callback number.</t>
  </si>
  <si>
    <t>Member Authentication</t>
  </si>
  <si>
    <t>Agent did not ask for a third identifier if member ID is not available</t>
  </si>
  <si>
    <t>Agent did not obtain member's first and last name</t>
  </si>
  <si>
    <t>Agent did not obtain member's dob</t>
  </si>
  <si>
    <t>d.</t>
  </si>
  <si>
    <t>Member PHI was inappropriately provided to third party caller</t>
  </si>
  <si>
    <t>e.</t>
  </si>
  <si>
    <t>Agent did not utilize scripting for auto-pop information</t>
  </si>
  <si>
    <t>MDO Authentication</t>
  </si>
  <si>
    <t>Agent did not obtain provider's last name</t>
  </si>
  <si>
    <t>Agent did not obtain provider's NPI</t>
  </si>
  <si>
    <t>Agent did not authenticate partial address (e.g., street name, street number, city, state)</t>
  </si>
  <si>
    <t>Agent did not authenticate office phone number</t>
  </si>
  <si>
    <t>Agent did not authenticate office fax number</t>
  </si>
  <si>
    <t>f.</t>
  </si>
  <si>
    <t>Agent did not authenticate the provider information</t>
  </si>
  <si>
    <t>g.</t>
  </si>
  <si>
    <t>Pharmacy Authentication</t>
  </si>
  <si>
    <t>Agent did not obtain pharmacy name</t>
  </si>
  <si>
    <t>Agent did not obtain pharmacy NPI or NABP number</t>
  </si>
  <si>
    <t>Agent did not ask if caller is from a "dispensing pharmacy"</t>
  </si>
  <si>
    <t>Authentication Requirement for Client and Internal Callers</t>
  </si>
  <si>
    <t>Agent did not follow member authentication protocol when accessing the member's account is required</t>
  </si>
  <si>
    <t>Agent did not change the caller type to provider or pharmacy as needed and follow the applicable authentication process per caller type</t>
  </si>
  <si>
    <t>Transition Question</t>
  </si>
  <si>
    <t>Agent did not ask the transition question if case populate in member case history</t>
  </si>
  <si>
    <t>Agent did not ask the transition question if case populate in member case history if case do not populate in member case history</t>
  </si>
  <si>
    <t>Agent did not confirm the caller's needs that was already stated</t>
  </si>
  <si>
    <t>First Call Resolution</t>
  </si>
  <si>
    <t>Agent did not select the correct member account Note: If the member has multiple accounts</t>
  </si>
  <si>
    <t>Agent failed to recognize that the account is handled by a dedicated team, did not transfer the call appropriately</t>
  </si>
  <si>
    <t>Agent did not leverage the Identify Provider and Drug and/or Pharmacy from Member Claims to identify the provider, target drug, and pharmacy.</t>
  </si>
  <si>
    <t>Agent did not pull up the case history and provide the correct status of case for the target drug</t>
  </si>
  <si>
    <t>New PA request- The agent did not educate the caller on the availability of an ePA once determined that a PA is required</t>
  </si>
  <si>
    <t>Denied Status Checks - The agent did not inform the caller of the appeals information from the denial correspondence as well as client-specific appeals process information</t>
  </si>
  <si>
    <t>h.</t>
  </si>
  <si>
    <t>i.</t>
  </si>
  <si>
    <t>Agent did not select the most appropriate dropdown options as a starting point to document the actions taken during the call</t>
  </si>
  <si>
    <t>Drug Selection and Case Details</t>
  </si>
  <si>
    <t>Agent should not cancel the phone request when the drug product and formulation has been validated; Agent did not continue with the PA phone request when the call drops after drug product and formulation have been entered</t>
  </si>
  <si>
    <t>Agent did not ensure brand versus generic request; did not correct the error and reenter the drug product</t>
  </si>
  <si>
    <t>Agent did not enter case detail according to the caller's request (e.g. selecting cost reduction)</t>
  </si>
  <si>
    <t>Decision Accuracy at the Action Screen</t>
  </si>
  <si>
    <t>Cancellation</t>
  </si>
  <si>
    <t>Clinical Guideline</t>
  </si>
  <si>
    <t>Call Holding</t>
  </si>
  <si>
    <t>Agent did not requests permission from the caller before placing them on hold.</t>
  </si>
  <si>
    <t>Agent did not use the mute button when placing the caller on silent hold</t>
  </si>
  <si>
    <t>Agent did not thank the caller for holding upon returning to the caller.</t>
  </si>
  <si>
    <t>Agent placed the caller on hold at the start of the call.</t>
  </si>
  <si>
    <t>Call Silence</t>
  </si>
  <si>
    <t>Exceeded Limit of five seconds before the greeting of the call.</t>
  </si>
  <si>
    <t>Exceeded Limit of twenty seconds of unannounced silence.</t>
  </si>
  <si>
    <t>Exceeded Limit of fifty seconds of announced silence.</t>
  </si>
  <si>
    <t>Call Transfers</t>
  </si>
  <si>
    <t>Explain the reason/need to transfer the caller.</t>
  </si>
  <si>
    <t>Gain permission from the caller to transfer.</t>
  </si>
  <si>
    <t>For internal transfers, agent did not provide the name and number (if available) of the department the caller is being transferred to, and for external Provide the name and number of the department caller is being transferred to.</t>
  </si>
  <si>
    <t>Agent did not warm and cold transfer according to current policy. </t>
  </si>
  <si>
    <t>Communication</t>
  </si>
  <si>
    <t>The agent will did not speak clearly without mumbling, using jargon, or slang.</t>
  </si>
  <si>
    <t>The agent did not adapt to the caller’s needs through the pace of their speech and the volume of their voice, as appropriate.</t>
  </si>
  <si>
    <t>The agent did not avoid using terms of endearment when addressing the caller (e.g., honey, dear).</t>
  </si>
  <si>
    <t>The agent did not use appropriate and professional language.</t>
  </si>
  <si>
    <t>Acknowledge and Clarify</t>
  </si>
  <si>
    <t>Agent did not respond with appropriate phrases to ensure the caller they are actively listening and understanding the caller’s statement/question</t>
  </si>
  <si>
    <t>Repeat Caller - FCR</t>
  </si>
  <si>
    <t>Agent did not resolve all the caller’s needs to ensure the caller does not call back again. (Demonstrate ownership of the repeat caller issue by resolving all questions, issues, and/or concerns on the call)</t>
  </si>
  <si>
    <t>Agent did not verify case(s) were reviewed properly.</t>
  </si>
  <si>
    <t>Agent did not educate the caller on clinical criteria not met per clinical guidelines based on denial reason</t>
  </si>
  <si>
    <t>Agent did not utilize available resources to research the member’s concerns (i.e. Corr letter, Case Notes, Plan Contacts, Claim History, FLU/INET)</t>
  </si>
  <si>
    <t>Use Caller's Name</t>
  </si>
  <si>
    <t>The agent will appropriately use the caller’s name at least once during the call outside of caller name verification.</t>
  </si>
  <si>
    <t>The agent will address the caller using their last name and/or appropriate name/title anytime the name is provided by the caller.</t>
  </si>
  <si>
    <t>The first name may only be used to address clinician, tech, nurse, etc. unless the caller requests the first name be used.</t>
  </si>
  <si>
    <t>It is not required to address internal callers by name.</t>
  </si>
  <si>
    <t xml:space="preserve">Positive Tone </t>
  </si>
  <si>
    <t>The agent uses a tone that is pleasant/helpful (PIR).</t>
  </si>
  <si>
    <t>Professional Interaction</t>
  </si>
  <si>
    <t>The agent uses courtesy words/phrases (PIR).</t>
  </si>
  <si>
    <t>Interruptions</t>
  </si>
  <si>
    <t>The agent allows the caller to speak without blatant interruptions.</t>
  </si>
  <si>
    <t>The agent will concede/apologize if they interrupt the caller, accidentally.</t>
  </si>
  <si>
    <t>Credibility/Confidence</t>
  </si>
  <si>
    <t>Agent did not avoid blaming or speaking negatively of OptumRx or company partners.</t>
  </si>
  <si>
    <t>Agent did not promote confidence in the company’s processes when speaking to the caller.</t>
  </si>
  <si>
    <t>If systems are down or latent, the agent did not advise the caller the “system is updating”.</t>
  </si>
  <si>
    <t>Agent spoke negatively of company systems or place blame on systems.</t>
  </si>
  <si>
    <t>Call Control</t>
  </si>
  <si>
    <t>Agent did not keep the interaction/conversation of the call on track and avoids using distractive fillers.</t>
  </si>
  <si>
    <t>Agent did not answer the caller’s questions to build rapport without getting off track.</t>
  </si>
  <si>
    <t>Closing</t>
  </si>
  <si>
    <t>The agent did not ensure caller satisfaction by asking if additional assistance is needed</t>
  </si>
  <si>
    <t>The agent did not offers/Mention the survey</t>
  </si>
  <si>
    <t>Evaluator</t>
  </si>
  <si>
    <t>Eval Date</t>
  </si>
  <si>
    <t>Agent</t>
  </si>
  <si>
    <t>Supervisor</t>
  </si>
  <si>
    <t>Call Reason</t>
  </si>
  <si>
    <t>Viloria,Floraine Ann Villaraza</t>
  </si>
  <si>
    <t>Santos,Ma Alleah De Torres</t>
  </si>
  <si>
    <t>Reynald Villarino Bontuyan</t>
  </si>
  <si>
    <t>Paurillo,Rinagine Landiza</t>
  </si>
  <si>
    <t>Pacquiao,Jayzel Liwanag</t>
  </si>
  <si>
    <t>Navales,Venus Salinas</t>
  </si>
  <si>
    <t>Mansibang,Jeric Amazona</t>
  </si>
  <si>
    <t>Manalaysay,Abigael Singcol</t>
  </si>
  <si>
    <t>Malay,Edrian Credo</t>
  </si>
  <si>
    <t>Lluch,Krizza Louise Lariosa</t>
  </si>
  <si>
    <t>Llamido,Robin Antolihao</t>
  </si>
  <si>
    <t>Langomez,Mary Jane Arnigo</t>
  </si>
  <si>
    <t>Variacion,Efren Jr Caitor</t>
  </si>
  <si>
    <t>Lagare,John Earl Melitado</t>
  </si>
  <si>
    <t>Valerio,Kristel Angelica</t>
  </si>
  <si>
    <t>Juannah Ababa Mayagma</t>
  </si>
  <si>
    <t>Jadol,Cyrus Mejos</t>
  </si>
  <si>
    <t>Ivy Ciara Aquino Reyes</t>
  </si>
  <si>
    <t>Fuentenegra,Victor Jr Cabriles</t>
  </si>
  <si>
    <t>Erwin Ponciano Ocampo</t>
  </si>
  <si>
    <t>Daguil,John Kevin Otadora</t>
  </si>
  <si>
    <t>Dacanay,Paolo Cabantog</t>
  </si>
  <si>
    <t>Cuizon,Ruelan Jimenez</t>
  </si>
  <si>
    <t>"Call - Not Related to Prior Auth"</t>
  </si>
  <si>
    <t>Cortez,Khyno Elimanco</t>
  </si>
  <si>
    <t>Fernandez,Lea Ibag</t>
  </si>
  <si>
    <t>"Priority Change"</t>
  </si>
  <si>
    <t>Corrales,Donabel Sabado</t>
  </si>
  <si>
    <t>"Status Check-Pending-Additional Info submitted"</t>
  </si>
  <si>
    <t>Comendador,Leou Alven Narito</t>
  </si>
  <si>
    <t>"Status Check-Pending"</t>
  </si>
  <si>
    <t>Chaves,Rhea Fariola</t>
  </si>
  <si>
    <t>"Status Check-Cancelled"</t>
  </si>
  <si>
    <t>Charisse Mayo San Diego</t>
  </si>
  <si>
    <t>"Status Check-Denied"</t>
  </si>
  <si>
    <t>Calley,Aron Jann Bolok</t>
  </si>
  <si>
    <t>"ePA Generated"</t>
  </si>
  <si>
    <t>Bringas,Leah Bernadette Lavalle</t>
  </si>
  <si>
    <t>Calupig,Charmaine Garde</t>
  </si>
  <si>
    <t>"Call Dropped-No Information"</t>
  </si>
  <si>
    <t>Ballesteros,Joseph Andrew Cera</t>
  </si>
  <si>
    <t>"Call Dropped-Call Incomplete"</t>
  </si>
  <si>
    <t>Aude,Hannah Euri Aloba</t>
  </si>
  <si>
    <t>Pre-Determination</t>
  </si>
  <si>
    <t>Bucay,Clepon Christian Orcullo</t>
  </si>
  <si>
    <t>"Call Transferred"</t>
  </si>
  <si>
    <t>Apacible,Leeanne Rojo</t>
  </si>
  <si>
    <t>Request to cancel existing pending MD response case</t>
  </si>
  <si>
    <t>"Call - Related to PA"</t>
  </si>
  <si>
    <t>Alvaro,Cres Marvin Alexander</t>
  </si>
  <si>
    <t>Additional info for Pending MD Response</t>
  </si>
  <si>
    <t>"Status Check-Approved- Edit required"</t>
  </si>
  <si>
    <t>Alegre,Gretchen Hazel Senit</t>
  </si>
  <si>
    <t>New PA Initiation</t>
  </si>
  <si>
    <t>"Status Check-Approved"</t>
  </si>
  <si>
    <t>Aileen Grace Deniega</t>
  </si>
  <si>
    <t>Acalain, Aldrin</t>
  </si>
  <si>
    <t>Ardines, Chenneth Laurice</t>
  </si>
  <si>
    <t>Herbias, Archiene Ross</t>
  </si>
  <si>
    <t>Villamena, Joan</t>
  </si>
  <si>
    <t>Olivar, Kristine</t>
  </si>
  <si>
    <t>Zamora, Joanna Marie</t>
  </si>
  <si>
    <t>Aguilar, Jan Mikhael</t>
  </si>
  <si>
    <t>Sidra, Mark Josef</t>
  </si>
  <si>
    <t>Babatingan, Xiao</t>
  </si>
  <si>
    <t>Abas,Joanna Lou Marie</t>
  </si>
  <si>
    <t>Dando,Philip Plana</t>
  </si>
  <si>
    <t>Delos Santos, Nikki</t>
  </si>
  <si>
    <t>Cortez, Khyno</t>
  </si>
  <si>
    <t>Aude, Hannah Euri</t>
  </si>
  <si>
    <t>Escarlan,Aljon Labahata</t>
  </si>
  <si>
    <t>Franco,Janirene Tenoso</t>
  </si>
  <si>
    <t>Carrascal,Marica Caballero</t>
  </si>
  <si>
    <t>Dacanay,Beulah Grace Arroyo</t>
  </si>
  <si>
    <t>Panganiban,Lorenzo Miguel Enore</t>
  </si>
  <si>
    <t>Aboganda, Glylen</t>
  </si>
  <si>
    <t>Cuna, Jouanie</t>
  </si>
  <si>
    <t>De Guzman,Trinitas Jenica Imperial</t>
  </si>
  <si>
    <t>Dimarun,Sohaila Rangiris</t>
  </si>
  <si>
    <t>Dolatre,Fred Walter James</t>
  </si>
  <si>
    <t>Gatchalian,Ernie Marie Caburian</t>
  </si>
  <si>
    <t>Jumamoy,Zyrelle Brylle</t>
  </si>
  <si>
    <t>Logmao,Nyrene Grace Lozada</t>
  </si>
  <si>
    <t>Mengote,Mariven Ocfemia</t>
  </si>
  <si>
    <t>Napay,Rowena Joice Baguios</t>
  </si>
  <si>
    <t>Nazario Jr,Alfredo Dola</t>
  </si>
  <si>
    <t>Nunez,Jenny Dequiso</t>
  </si>
  <si>
    <t>Ocampo,Erwin Ponciano</t>
  </si>
  <si>
    <t>Ongjoco,Hanna Crystal Azana</t>
  </si>
  <si>
    <t>Purpora,Daryl</t>
  </si>
  <si>
    <t>Relon,Gazel De Guzman</t>
  </si>
  <si>
    <t>Rosillo,Jesus Navarro</t>
  </si>
  <si>
    <t>Sacurom, Lovely</t>
  </si>
  <si>
    <t>Santos,Jennilyn Chan</t>
  </si>
  <si>
    <t>Vallejo,Annabelle Abenasa</t>
  </si>
  <si>
    <t>Bautista,Tristan Dale Inot</t>
  </si>
  <si>
    <t>Guerrero,Lauberlyn Elopre</t>
  </si>
  <si>
    <t>Landig,Peter Joshua</t>
  </si>
  <si>
    <t>Caller Type</t>
  </si>
  <si>
    <t>Provider</t>
  </si>
  <si>
    <t>Member</t>
  </si>
  <si>
    <t>Pharmacy</t>
  </si>
  <si>
    <t>Third Party</t>
  </si>
  <si>
    <t>Internal/Client</t>
  </si>
  <si>
    <t>Categoy</t>
  </si>
  <si>
    <t>Remarks</t>
  </si>
  <si>
    <t>SCORE</t>
  </si>
  <si>
    <t>Total</t>
  </si>
  <si>
    <t>Pass</t>
  </si>
  <si>
    <t>Fail</t>
  </si>
  <si>
    <t>Incorrect Case Priority</t>
  </si>
  <si>
    <t>Invalid cancellation - Agent did not work and cancel cases in adherence to compliance requirements</t>
  </si>
  <si>
    <t>Case Worked for the Incorrect Member - Agent did not work each case with the correct member account as requested by the caller</t>
  </si>
  <si>
    <t xml:space="preserve"> Agent did not maintain professionalism throughout the entire interaction with the caller. Agent used unprofessional or profane language</t>
  </si>
  <si>
    <t>Compliance</t>
  </si>
  <si>
    <t>AutoFail</t>
  </si>
  <si>
    <t>INQ/Case#</t>
  </si>
  <si>
    <t>Quality</t>
  </si>
  <si>
    <t>AHT</t>
  </si>
  <si>
    <t>Speed of Answer</t>
  </si>
  <si>
    <t>Unnecessary Caller Validation</t>
  </si>
  <si>
    <t>Irrelevant probing</t>
  </si>
  <si>
    <t>Repetition of Queries</t>
  </si>
  <si>
    <t>Interpreting Trial Claim</t>
  </si>
  <si>
    <t>Issue Identification</t>
  </si>
  <si>
    <t>Search Time on Systems</t>
  </si>
  <si>
    <t>Rephrases CG question when necessary</t>
  </si>
  <si>
    <t>Difficulty in completing Drug Information</t>
  </si>
  <si>
    <t>Dead Air</t>
  </si>
  <si>
    <t>Transfer Time to Receiving Dept</t>
  </si>
  <si>
    <t>Department Transferred to</t>
  </si>
  <si>
    <t>Cross Talk</t>
  </si>
  <si>
    <t>Unstructured Scripts</t>
  </si>
  <si>
    <t>Long Call Scripts</t>
  </si>
  <si>
    <t>Parroting</t>
  </si>
  <si>
    <t>Delayed Release</t>
  </si>
  <si>
    <t>System</t>
  </si>
  <si>
    <t>Process</t>
  </si>
  <si>
    <t>Knowledge</t>
  </si>
  <si>
    <t>NPS</t>
  </si>
  <si>
    <t>Main Root Cause</t>
  </si>
  <si>
    <t>Subcategory</t>
  </si>
  <si>
    <t>Correspondence Issue</t>
  </si>
  <si>
    <t>IVR Issue</t>
  </si>
  <si>
    <t>Misrouted Calls</t>
  </si>
  <si>
    <t>OMNI Issue</t>
  </si>
  <si>
    <t>PAS/PANDA Issue</t>
  </si>
  <si>
    <t>Phone Line Issue</t>
  </si>
  <si>
    <t>Website Issue</t>
  </si>
  <si>
    <t>Yes/No</t>
  </si>
  <si>
    <t>AOR Requirement</t>
  </si>
  <si>
    <t>Approved PA</t>
  </si>
  <si>
    <t>Call Authentication</t>
  </si>
  <si>
    <t>Cancelled PA</t>
  </si>
  <si>
    <t>Denied PA</t>
  </si>
  <si>
    <t>Incomplete PA</t>
  </si>
  <si>
    <t>Member Not Found</t>
  </si>
  <si>
    <t>No Case Found</t>
  </si>
  <si>
    <t>Out of Scope</t>
  </si>
  <si>
    <t>PA Criteria/Guidelines</t>
  </si>
  <si>
    <t>PA Determination/External Message</t>
  </si>
  <si>
    <t>PA Form</t>
  </si>
  <si>
    <t>PA Issue</t>
  </si>
  <si>
    <t>Pending PA</t>
  </si>
  <si>
    <t>Accuracy of Information</t>
  </si>
  <si>
    <t>Completeness of Resolution</t>
  </si>
  <si>
    <t>Incorrect/No Resolution</t>
  </si>
  <si>
    <t>Process Familiarity</t>
  </si>
  <si>
    <t>Accent</t>
  </si>
  <si>
    <t>Active Listening/Probing</t>
  </si>
  <si>
    <t>Assertiveness</t>
  </si>
  <si>
    <t>Compassion/Empathy</t>
  </si>
  <si>
    <t>Comprehension &amp; Acknowledgement</t>
  </si>
  <si>
    <t>Confidence</t>
  </si>
  <si>
    <t>Delivery of Findings</t>
  </si>
  <si>
    <t>Pace</t>
  </si>
  <si>
    <t>Silence/Dead Air/Hold</t>
  </si>
  <si>
    <t>Tone</t>
  </si>
  <si>
    <t>Vocabulary</t>
  </si>
  <si>
    <t>Behavior</t>
  </si>
  <si>
    <t>Call Avoidance</t>
  </si>
  <si>
    <t>Case Decision Avoidance</t>
  </si>
  <si>
    <t>Declined to Escalate to Supervis or RPh</t>
  </si>
  <si>
    <t>False Response</t>
  </si>
  <si>
    <t>Negligence</t>
  </si>
  <si>
    <t>Rudeness</t>
  </si>
  <si>
    <t>Unprofessional/Inappropriate Behavior</t>
  </si>
  <si>
    <t>Yes</t>
  </si>
  <si>
    <t>No</t>
  </si>
  <si>
    <t>Agent did not maintain professionalism throughout the entire interaction with the caller. Agent used unprofessional or profane language</t>
  </si>
  <si>
    <t>Supervisor Action Plan</t>
  </si>
  <si>
    <t>Escalations</t>
  </si>
  <si>
    <t>Is this an escalation call?</t>
  </si>
  <si>
    <t>Call type</t>
  </si>
  <si>
    <t>Sup Call Request Type</t>
  </si>
  <si>
    <t>Complaint</t>
  </si>
  <si>
    <t>Feedback</t>
  </si>
  <si>
    <t>Proactive</t>
  </si>
  <si>
    <t>Requested Sup</t>
  </si>
  <si>
    <t>Outreach</t>
  </si>
  <si>
    <t>Request CB</t>
  </si>
  <si>
    <t>Site</t>
  </si>
  <si>
    <t>Employee ID</t>
  </si>
  <si>
    <t>MSID</t>
  </si>
  <si>
    <t>Employee Name</t>
  </si>
  <si>
    <t>AM Name</t>
  </si>
  <si>
    <t>CEBU</t>
  </si>
  <si>
    <t>000895913</t>
  </si>
  <si>
    <t>rfariola</t>
  </si>
  <si>
    <t>Alanie Sanchez Lapuz</t>
  </si>
  <si>
    <t>000957496</t>
  </si>
  <si>
    <t>cregalad</t>
  </si>
  <si>
    <t>Regalado,Carlo Angelo Lim</t>
  </si>
  <si>
    <t>Cathreen Aizha Ria Almazan</t>
  </si>
  <si>
    <t>001000298</t>
  </si>
  <si>
    <t>smediona</t>
  </si>
  <si>
    <t>Mediona,Samson Permejo</t>
  </si>
  <si>
    <t>John Kevin Otadora Daguil</t>
  </si>
  <si>
    <t>001011715</t>
  </si>
  <si>
    <t>lapacibl</t>
  </si>
  <si>
    <t>Carlo Angelo Lim Regalado</t>
  </si>
  <si>
    <t>001065833</t>
  </si>
  <si>
    <t>cmagusa</t>
  </si>
  <si>
    <t>Acot,Chreshiela Mag Usara</t>
  </si>
  <si>
    <t>Jean Paul Raymundo Larracas</t>
  </si>
  <si>
    <t>001090151</t>
  </si>
  <si>
    <t>mcapito</t>
  </si>
  <si>
    <t>Capito,Marydeth Judith Donayre</t>
  </si>
  <si>
    <t>Efren Jr Caitor Variacion</t>
  </si>
  <si>
    <t>001092209</t>
  </si>
  <si>
    <t>klluch</t>
  </si>
  <si>
    <t>Frederic Matthew Carlos Tuting</t>
  </si>
  <si>
    <t>001092213</t>
  </si>
  <si>
    <t>rgimenez</t>
  </si>
  <si>
    <t>Gimenez,Ronald Vicente Mangubat</t>
  </si>
  <si>
    <t>Lea Ibag Fernandez</t>
  </si>
  <si>
    <t>001093568</t>
  </si>
  <si>
    <t>lfat1</t>
  </si>
  <si>
    <t>Fat,Lee Stephen Valde</t>
  </si>
  <si>
    <t>Rosauro Gabo Misayah</t>
  </si>
  <si>
    <t>001172374</t>
  </si>
  <si>
    <t>cbrigoli</t>
  </si>
  <si>
    <t>Brigoli,Charisse Mae De La Cruz</t>
  </si>
  <si>
    <t>001183726</t>
  </si>
  <si>
    <t>cmejos</t>
  </si>
  <si>
    <t>001236900</t>
  </si>
  <si>
    <t>rpaurill</t>
  </si>
  <si>
    <t>Floraine Ann Villaraza Viloria</t>
  </si>
  <si>
    <t>001240861</t>
  </si>
  <si>
    <t>jpacquia</t>
  </si>
  <si>
    <t>001245182</t>
  </si>
  <si>
    <t>cbarte</t>
  </si>
  <si>
    <t>Barte,Camille Therese Raagas</t>
  </si>
  <si>
    <t>Edrian Credo Malay</t>
  </si>
  <si>
    <t>001249865</t>
  </si>
  <si>
    <t>hmacaser</t>
  </si>
  <si>
    <t>Macasero,Hazel Matos</t>
  </si>
  <si>
    <t>Charmaine Garde Calupig</t>
  </si>
  <si>
    <t>001255197</t>
  </si>
  <si>
    <t>rdasig</t>
  </si>
  <si>
    <t>Dasig,Rizza Joy Ymalay</t>
  </si>
  <si>
    <t>Clepon Christian Bucay Orcullo</t>
  </si>
  <si>
    <t>001255279</t>
  </si>
  <si>
    <t>pvillafl</t>
  </si>
  <si>
    <t>Villaflor,Paul Michael Suico</t>
  </si>
  <si>
    <t>Leeanne Rojo Apacible</t>
  </si>
  <si>
    <t>001256373</t>
  </si>
  <si>
    <t>mbacals1</t>
  </si>
  <si>
    <t>Bacalso,Mark Kenneth Solon</t>
  </si>
  <si>
    <t>001256445</t>
  </si>
  <si>
    <t>rsibuca1</t>
  </si>
  <si>
    <t>Sibucao,Rebecca Baldado</t>
  </si>
  <si>
    <t>Kristel Angelica Valerio</t>
  </si>
  <si>
    <t>001256565</t>
  </si>
  <si>
    <t>bbompat1</t>
  </si>
  <si>
    <t>Bompat,Bevvy Caryl Sijuela</t>
  </si>
  <si>
    <t>001256584</t>
  </si>
  <si>
    <t>aroble6</t>
  </si>
  <si>
    <t>Roble,Argie Dungog</t>
  </si>
  <si>
    <t>001291775</t>
  </si>
  <si>
    <t>ftuting</t>
  </si>
  <si>
    <t>Tuting,Frederic Matthew Carlos</t>
  </si>
  <si>
    <t>001300294</t>
  </si>
  <si>
    <t>galegre</t>
  </si>
  <si>
    <t>Janice Carbonilla Rudila</t>
  </si>
  <si>
    <t>001300316</t>
  </si>
  <si>
    <t>bdacana1</t>
  </si>
  <si>
    <t>Rhea Fariola Chaves</t>
  </si>
  <si>
    <t>001300633</t>
  </si>
  <si>
    <t>mmacalos</t>
  </si>
  <si>
    <t>Macalos,Mae Ann Guita</t>
  </si>
  <si>
    <t>001300647</t>
  </si>
  <si>
    <t>rtocmo</t>
  </si>
  <si>
    <t>Tocmo,Reina Jae Llude Muring</t>
  </si>
  <si>
    <t>001305110</t>
  </si>
  <si>
    <t>lferna19</t>
  </si>
  <si>
    <t>001305198</t>
  </si>
  <si>
    <t>imosqued</t>
  </si>
  <si>
    <t>Mosqueda,Ivy Maureen Murillo</t>
  </si>
  <si>
    <t>001317924</t>
  </si>
  <si>
    <t>jabrasad</t>
  </si>
  <si>
    <t>Abrasado,Jennie Ann Mondido</t>
  </si>
  <si>
    <t>001398442</t>
  </si>
  <si>
    <t>haude</t>
  </si>
  <si>
    <t>001398920</t>
  </si>
  <si>
    <t>dtamparo</t>
  </si>
  <si>
    <t>Tamparong,Dyan Ross Bucol</t>
  </si>
  <si>
    <t>001400912</t>
  </si>
  <si>
    <t>jacedo1</t>
  </si>
  <si>
    <t>Acedo,Jessa Mae Musong</t>
  </si>
  <si>
    <t>001485076</t>
  </si>
  <si>
    <t>jrudila</t>
  </si>
  <si>
    <t>Rudila,Janice Carbonilla</t>
  </si>
  <si>
    <t>001517351</t>
  </si>
  <si>
    <t>rrellona</t>
  </si>
  <si>
    <t>Rellona,Rosemarie Abejuela</t>
  </si>
  <si>
    <t>001517956</t>
  </si>
  <si>
    <t>vparagat</t>
  </si>
  <si>
    <t>Paragat,Vince Dagala</t>
  </si>
  <si>
    <t>001520239</t>
  </si>
  <si>
    <t>acabaner</t>
  </si>
  <si>
    <t>Cabanero,Adrienne Tabliga</t>
  </si>
  <si>
    <t>001521923</t>
  </si>
  <si>
    <t>rlawas</t>
  </si>
  <si>
    <t>Lawas,Romel John Ferrero</t>
  </si>
  <si>
    <t>001522573</t>
  </si>
  <si>
    <t>carchiva</t>
  </si>
  <si>
    <t>Archival,Christine Gabasa</t>
  </si>
  <si>
    <t>001522576</t>
  </si>
  <si>
    <t>hlagrima</t>
  </si>
  <si>
    <t>Lagrimas,Harold James Aguillon</t>
  </si>
  <si>
    <t>001610140</t>
  </si>
  <si>
    <t>mverga15</t>
  </si>
  <si>
    <t>Vergara,Mary Crystal Quirante</t>
  </si>
  <si>
    <t>001621203</t>
  </si>
  <si>
    <t>rlepite1</t>
  </si>
  <si>
    <t>Lepiten,Ronald Tolentin</t>
  </si>
  <si>
    <t>Cres Marvin Alexander Alvaro</t>
  </si>
  <si>
    <t>001621775</t>
  </si>
  <si>
    <t>jabas2</t>
  </si>
  <si>
    <t>Ma Alleah De Torres Santos</t>
  </si>
  <si>
    <t>001623038</t>
  </si>
  <si>
    <t>ccatubig</t>
  </si>
  <si>
    <t>Catubig,Cyris Marie Regidor</t>
  </si>
  <si>
    <t>001623051</t>
  </si>
  <si>
    <t>jmayagma</t>
  </si>
  <si>
    <t>Mayagma,Juannah Ababa</t>
  </si>
  <si>
    <t>Abigael Singcol Manalaysay</t>
  </si>
  <si>
    <t>001627435</t>
  </si>
  <si>
    <t>dalipoyo</t>
  </si>
  <si>
    <t>Alipoyo,Dalilah Santiago</t>
  </si>
  <si>
    <t>001628425</t>
  </si>
  <si>
    <t>jcuna2</t>
  </si>
  <si>
    <t>Cuna,Jouanie Eleptico</t>
  </si>
  <si>
    <t>001629542</t>
  </si>
  <si>
    <t>vfuenten</t>
  </si>
  <si>
    <t>001676434</t>
  </si>
  <si>
    <t>lcahokso</t>
  </si>
  <si>
    <t>Cahokson,Lady  Flor Bargamento</t>
  </si>
  <si>
    <t>001691233</t>
  </si>
  <si>
    <t>etacio</t>
  </si>
  <si>
    <t>Tacio,Erma Basubas</t>
  </si>
  <si>
    <t>001735451</t>
  </si>
  <si>
    <t>msidra</t>
  </si>
  <si>
    <t>Sidra,Mark Josef Ando</t>
  </si>
  <si>
    <t>001735520</t>
  </si>
  <si>
    <t>kgallend</t>
  </si>
  <si>
    <t>Gallendez,Kylien Villejo</t>
  </si>
  <si>
    <t>001736192</t>
  </si>
  <si>
    <t>jmeca</t>
  </si>
  <si>
    <t>Meca,Jinky Mansueto</t>
  </si>
  <si>
    <t>Ruelan Jimenez Cuizon</t>
  </si>
  <si>
    <t>001738038</t>
  </si>
  <si>
    <t>logaro</t>
  </si>
  <si>
    <t>Ogaro,Lilian Labay</t>
  </si>
  <si>
    <t>001738844</t>
  </si>
  <si>
    <t>cbucay</t>
  </si>
  <si>
    <t>001742315</t>
  </si>
  <si>
    <t>lsagan1</t>
  </si>
  <si>
    <t>Sagan,Lea Espinosa</t>
  </si>
  <si>
    <t>001742964</t>
  </si>
  <si>
    <t>sventic1</t>
  </si>
  <si>
    <t>Ventic,Sheena Marie Santisas</t>
  </si>
  <si>
    <t>001743027</t>
  </si>
  <si>
    <t>keuropio</t>
  </si>
  <si>
    <t>Europio,Karen Remedio</t>
  </si>
  <si>
    <t>001743058</t>
  </si>
  <si>
    <t>jdaguil</t>
  </si>
  <si>
    <t>001743256</t>
  </si>
  <si>
    <t>mpogado</t>
  </si>
  <si>
    <t>Pogado,Maria Christina Abenir</t>
  </si>
  <si>
    <t>001747959</t>
  </si>
  <si>
    <t>domayan</t>
  </si>
  <si>
    <t>Omayan,Danica Carpentero</t>
  </si>
  <si>
    <t>001747968</t>
  </si>
  <si>
    <t>vrodri68</t>
  </si>
  <si>
    <t>Rodriguez,Venice Mae Mahipus</t>
  </si>
  <si>
    <t>001748534</t>
  </si>
  <si>
    <t>mvillav4</t>
  </si>
  <si>
    <t>Villaver,Ma Alphecca Win</t>
  </si>
  <si>
    <t>001748627</t>
  </si>
  <si>
    <t>msulinay</t>
  </si>
  <si>
    <t>Sulinay,Michelle Bajilar</t>
  </si>
  <si>
    <t>001772386</t>
  </si>
  <si>
    <t>jpaquibo</t>
  </si>
  <si>
    <t>Paquibot,Jennilan</t>
  </si>
  <si>
    <t>001772425</t>
  </si>
  <si>
    <t>lenriq12</t>
  </si>
  <si>
    <t>Enriquez,Liduvina Cuario</t>
  </si>
  <si>
    <t>001772436</t>
  </si>
  <si>
    <t>cmelliza</t>
  </si>
  <si>
    <t>Melliza,Charles Clement Suarez</t>
  </si>
  <si>
    <t>001772477</t>
  </si>
  <si>
    <t>ndeloss2</t>
  </si>
  <si>
    <t>Delos Santos,Nikki Jane Naraja</t>
  </si>
  <si>
    <t>001789785</t>
  </si>
  <si>
    <t>acabal14</t>
  </si>
  <si>
    <t>Caballes,Aiahna Kirsten</t>
  </si>
  <si>
    <t>001834955</t>
  </si>
  <si>
    <t>lhallars</t>
  </si>
  <si>
    <t>Hallarsis,Lester Dwight Santos</t>
  </si>
  <si>
    <t>001834966</t>
  </si>
  <si>
    <t>jmaglint</t>
  </si>
  <si>
    <t>Maglinte,Janus Joy Dei Turimutsa</t>
  </si>
  <si>
    <t>001836840</t>
  </si>
  <si>
    <t>mavila46</t>
  </si>
  <si>
    <t>Avila,Mary Mae Mabini</t>
  </si>
  <si>
    <t>001839962</t>
  </si>
  <si>
    <t>canasco</t>
  </si>
  <si>
    <t>Anasco,Charity Martinez</t>
  </si>
  <si>
    <t>001895222</t>
  </si>
  <si>
    <t>lcomenda</t>
  </si>
  <si>
    <t>001905550</t>
  </si>
  <si>
    <t>rcuizon3</t>
  </si>
  <si>
    <t>001913059</t>
  </si>
  <si>
    <t>abarlas</t>
  </si>
  <si>
    <t>Barlas,Albert Bernard</t>
  </si>
  <si>
    <t>001913648</t>
  </si>
  <si>
    <t>ktacal</t>
  </si>
  <si>
    <t>Tac Al,Kristal Jane Avila</t>
  </si>
  <si>
    <t>001913818</t>
  </si>
  <si>
    <t>agenera3</t>
  </si>
  <si>
    <t>Generalao,Algemar Muit</t>
  </si>
  <si>
    <t>001916439</t>
  </si>
  <si>
    <t>gcabili</t>
  </si>
  <si>
    <t>Cabili,Glendys Mae</t>
  </si>
  <si>
    <t>001918905</t>
  </si>
  <si>
    <t>xbabatin</t>
  </si>
  <si>
    <t>Babatingan,Xiao</t>
  </si>
  <si>
    <t>001918906</t>
  </si>
  <si>
    <t>rbontuya</t>
  </si>
  <si>
    <t>Bontuyan,Reynald Villarino</t>
  </si>
  <si>
    <t>001919795</t>
  </si>
  <si>
    <t>jcariqui</t>
  </si>
  <si>
    <t>Cariquitan,Jennifer Rivera</t>
  </si>
  <si>
    <t>001920001</t>
  </si>
  <si>
    <t>plandig</t>
  </si>
  <si>
    <t>001920002</t>
  </si>
  <si>
    <t>adenieg2</t>
  </si>
  <si>
    <t>Deniega,Aileen Grace</t>
  </si>
  <si>
    <t>001920059</t>
  </si>
  <si>
    <t>jmahina5</t>
  </si>
  <si>
    <t>Mahinay,John Mark</t>
  </si>
  <si>
    <t>001920221</t>
  </si>
  <si>
    <t>bornopia</t>
  </si>
  <si>
    <t>Ornopia,Bandam Bebs Sinogbuhan</t>
  </si>
  <si>
    <t>001920222</t>
  </si>
  <si>
    <t>lguerr33</t>
  </si>
  <si>
    <t>001920223</t>
  </si>
  <si>
    <t>mvega42</t>
  </si>
  <si>
    <t>Vega,Mark Anthony Ardiente</t>
  </si>
  <si>
    <t>001926537</t>
  </si>
  <si>
    <t>avalle11</t>
  </si>
  <si>
    <t>001928599</t>
  </si>
  <si>
    <t>sbulalaq</t>
  </si>
  <si>
    <t>Bulalaque,Shermagne Alyza Del Rosario</t>
  </si>
  <si>
    <t>001928611</t>
  </si>
  <si>
    <t>afacundo</t>
  </si>
  <si>
    <t>Facundo,Annalou Pepito</t>
  </si>
  <si>
    <t>001928617</t>
  </si>
  <si>
    <t>snellas1</t>
  </si>
  <si>
    <t>Nellas,Sofia Anne Marie</t>
  </si>
  <si>
    <t>001928631</t>
  </si>
  <si>
    <t>ntorcend</t>
  </si>
  <si>
    <t>Torcende,Nina Mae Magnanao</t>
  </si>
  <si>
    <t>001931814</t>
  </si>
  <si>
    <t>gderama</t>
  </si>
  <si>
    <t>Derama,Gyd Jasmin Ragot</t>
  </si>
  <si>
    <t>001932050</t>
  </si>
  <si>
    <t>rquijan7</t>
  </si>
  <si>
    <t>Quijano,Reggie Giaco</t>
  </si>
  <si>
    <t>001936739</t>
  </si>
  <si>
    <t>pbumatay</t>
  </si>
  <si>
    <t>Bumatay,Paul Kent Tanza</t>
  </si>
  <si>
    <t>001939497</t>
  </si>
  <si>
    <t>dpigar1</t>
  </si>
  <si>
    <t>Pigar,Danna Dorothy Epe</t>
  </si>
  <si>
    <t>001939513</t>
  </si>
  <si>
    <t>ggonzag4</t>
  </si>
  <si>
    <t>Gonzaga,Geraline Magtagad</t>
  </si>
  <si>
    <t>001939520</t>
  </si>
  <si>
    <t>gperez65</t>
  </si>
  <si>
    <t>Perez,Gwen Kristina Ebardo</t>
  </si>
  <si>
    <t>001942146</t>
  </si>
  <si>
    <t>eampo</t>
  </si>
  <si>
    <t>Ampo,Emilie Lozano</t>
  </si>
  <si>
    <t>001942171</t>
  </si>
  <si>
    <t>tbautis5</t>
  </si>
  <si>
    <t>001943135</t>
  </si>
  <si>
    <t>lsacurom</t>
  </si>
  <si>
    <t>Sacurom,Lovely Mae Enot</t>
  </si>
  <si>
    <t>001943508</t>
  </si>
  <si>
    <t>pdelos6</t>
  </si>
  <si>
    <t>De Los Santos,Phoebe Hannah Apara</t>
  </si>
  <si>
    <t>001949856</t>
  </si>
  <si>
    <t>fmagsala</t>
  </si>
  <si>
    <t>Magsalay,Fitzgerald Caballes</t>
  </si>
  <si>
    <t>001950503</t>
  </si>
  <si>
    <t>fdolatre</t>
  </si>
  <si>
    <t>001950504</t>
  </si>
  <si>
    <t>evariaci</t>
  </si>
  <si>
    <t>001957088</t>
  </si>
  <si>
    <t>cgaray4</t>
  </si>
  <si>
    <t>Garay,Cezannelle</t>
  </si>
  <si>
    <t>001957089</t>
  </si>
  <si>
    <t>ncompora</t>
  </si>
  <si>
    <t>Comporal,Nemesio Jr Manuel</t>
  </si>
  <si>
    <t>001957874</t>
  </si>
  <si>
    <t>jcande13</t>
  </si>
  <si>
    <t>Candelanza,Janeth Placido</t>
  </si>
  <si>
    <t>001957875</t>
  </si>
  <si>
    <t>mcarra15</t>
  </si>
  <si>
    <t>001957896</t>
  </si>
  <si>
    <t>rgeloca</t>
  </si>
  <si>
    <t>Geloca,Ramses Panimdim</t>
  </si>
  <si>
    <t>001958201</t>
  </si>
  <si>
    <t>ssasing</t>
  </si>
  <si>
    <t>Sasing,Stella Maris</t>
  </si>
  <si>
    <t>001965488</t>
  </si>
  <si>
    <t>mgallene</t>
  </si>
  <si>
    <t>Gallener,Maria Thalia Alban</t>
  </si>
  <si>
    <t>001967487</t>
  </si>
  <si>
    <t>jnunez77</t>
  </si>
  <si>
    <t>001967776</t>
  </si>
  <si>
    <t>abasera</t>
  </si>
  <si>
    <t>Basera,Abigail Jose Canonaso</t>
  </si>
  <si>
    <t>Jayzel Liwanag Pacquiao</t>
  </si>
  <si>
    <t>001988888</t>
  </si>
  <si>
    <t>calvaro1</t>
  </si>
  <si>
    <t>002108294</t>
  </si>
  <si>
    <t>mjutba</t>
  </si>
  <si>
    <t>Jutba,Michell Magno</t>
  </si>
  <si>
    <t>002108364</t>
  </si>
  <si>
    <t>kcanete5</t>
  </si>
  <si>
    <t>Canete,Kathleen Pableo</t>
  </si>
  <si>
    <t>002108368</t>
  </si>
  <si>
    <t>bcarino1</t>
  </si>
  <si>
    <t>Cariño,Bryan Urboda</t>
  </si>
  <si>
    <t>002108439</t>
  </si>
  <si>
    <t>jchiong5</t>
  </si>
  <si>
    <t>Chiong,Joy Mae Daniot</t>
  </si>
  <si>
    <t>002108440</t>
  </si>
  <si>
    <t>jnavar83</t>
  </si>
  <si>
    <t>Navarro,Jamaica Mari Debil</t>
  </si>
  <si>
    <t>002109649</t>
  </si>
  <si>
    <t>mgabuti2</t>
  </si>
  <si>
    <t>Gabutin,Marie Fel Borja</t>
  </si>
  <si>
    <t>002109680</t>
  </si>
  <si>
    <t>qcabaero</t>
  </si>
  <si>
    <t>Cabaero,Queen Ann Mondreza</t>
  </si>
  <si>
    <t>002110299</t>
  </si>
  <si>
    <t>rabell12</t>
  </si>
  <si>
    <t>Abella,Regie Baclayon</t>
  </si>
  <si>
    <t>002117503</t>
  </si>
  <si>
    <t>gsabayto</t>
  </si>
  <si>
    <t>Sabayton,Grace Jazmine Agustin</t>
  </si>
  <si>
    <t>Danica Villano Furiscal</t>
  </si>
  <si>
    <t>002117597</t>
  </si>
  <si>
    <t>hdaing</t>
  </si>
  <si>
    <t>Daing,Helbert Malaki</t>
  </si>
  <si>
    <t>002119295</t>
  </si>
  <si>
    <t>arafael3</t>
  </si>
  <si>
    <t>Rafael,Angeline Baculinao</t>
  </si>
  <si>
    <t>002119301</t>
  </si>
  <si>
    <t>jcast247</t>
  </si>
  <si>
    <t>Castro,John Varry Obiso</t>
  </si>
  <si>
    <t>002119312</t>
  </si>
  <si>
    <t>mnebria1</t>
  </si>
  <si>
    <t>Nebria,Meshel Cris Hermosa</t>
  </si>
  <si>
    <t>002119313</t>
  </si>
  <si>
    <t>mlascun2</t>
  </si>
  <si>
    <t>Lascuna,Mia Nica Anoba</t>
  </si>
  <si>
    <t>002119315</t>
  </si>
  <si>
    <t>jbuenvi2</t>
  </si>
  <si>
    <t>Buenviaje,Jhetro Ugsang</t>
  </si>
  <si>
    <t>002119317</t>
  </si>
  <si>
    <t>ctoremot</t>
  </si>
  <si>
    <t>Toremotcha,Ciara Dane Baring</t>
  </si>
  <si>
    <t>002119325</t>
  </si>
  <si>
    <t>cborgoni</t>
  </si>
  <si>
    <t>Borgonia,Cesar Medellin</t>
  </si>
  <si>
    <t>002119328</t>
  </si>
  <si>
    <t>faguil13</t>
  </si>
  <si>
    <t>Aguilar,Franc Lyn Tubalde</t>
  </si>
  <si>
    <t>002119335</t>
  </si>
  <si>
    <t>respin62</t>
  </si>
  <si>
    <t>Espinosa,Rein Athalia De La Victoria</t>
  </si>
  <si>
    <t>002119338</t>
  </si>
  <si>
    <t>ccongcon</t>
  </si>
  <si>
    <t>Congcong,Christian Faye Papas</t>
  </si>
  <si>
    <t>002119340</t>
  </si>
  <si>
    <t>ctinghil</t>
  </si>
  <si>
    <t>Tinghil,Charlyn Salin</t>
  </si>
  <si>
    <t>002119625</t>
  </si>
  <si>
    <t>amontese</t>
  </si>
  <si>
    <t>Monteseven,April Labitan</t>
  </si>
  <si>
    <t>002119889</t>
  </si>
  <si>
    <t>anazari1</t>
  </si>
  <si>
    <t>002120767</t>
  </si>
  <si>
    <t>tperdigu</t>
  </si>
  <si>
    <t>Perdiguez,Trisha Mae Monzolin</t>
  </si>
  <si>
    <t>002124713</t>
  </si>
  <si>
    <t>sdimarun</t>
  </si>
  <si>
    <t>002125310</t>
  </si>
  <si>
    <t>aarioja</t>
  </si>
  <si>
    <t>Arioja,Ava Christine Caneba</t>
  </si>
  <si>
    <t>002125318</t>
  </si>
  <si>
    <t>tquijan3</t>
  </si>
  <si>
    <t>Quijano,Tirs Jolebelle Lamberte</t>
  </si>
  <si>
    <t>002125325</t>
  </si>
  <si>
    <t>avill216</t>
  </si>
  <si>
    <t>Villamor,Arnel Villanueva</t>
  </si>
  <si>
    <t>002125332</t>
  </si>
  <si>
    <t>jvill350</t>
  </si>
  <si>
    <t>Villacampo,Jennisa Buhia</t>
  </si>
  <si>
    <t>002125333</t>
  </si>
  <si>
    <t>mpublic2</t>
  </si>
  <si>
    <t>Publico,Ma Rica Pat</t>
  </si>
  <si>
    <t>002125341</t>
  </si>
  <si>
    <t>jsaband3</t>
  </si>
  <si>
    <t>Sabando,Jave Astrid Rosario</t>
  </si>
  <si>
    <t>Leou Alven Narito Comendador</t>
  </si>
  <si>
    <t>002125352</t>
  </si>
  <si>
    <t>nmata11</t>
  </si>
  <si>
    <t>Mata,Novenette Abasolo</t>
  </si>
  <si>
    <t>002125361</t>
  </si>
  <si>
    <t>jlambera</t>
  </si>
  <si>
    <t>Lamberang,Jack Maurice Bautista</t>
  </si>
  <si>
    <t>002125879</t>
  </si>
  <si>
    <t>jcabre52</t>
  </si>
  <si>
    <t>Cabreros,Jhanen Quinio</t>
  </si>
  <si>
    <t>002125901</t>
  </si>
  <si>
    <t>zjumamoy</t>
  </si>
  <si>
    <t>002125906</t>
  </si>
  <si>
    <t>raleto</t>
  </si>
  <si>
    <t>Aleto,Rodelene</t>
  </si>
  <si>
    <t>002125929</t>
  </si>
  <si>
    <t>dguanes</t>
  </si>
  <si>
    <t>Guanes,Donna Anne Anasco</t>
  </si>
  <si>
    <t>002125947</t>
  </si>
  <si>
    <t>corland1</t>
  </si>
  <si>
    <t>Orlanda,Charles Ivan Bayon</t>
  </si>
  <si>
    <t>002130126</t>
  </si>
  <si>
    <t>cpantor1</t>
  </si>
  <si>
    <t>Pantorilla,Cirila Montilde</t>
  </si>
  <si>
    <t>Janella Ivane Baltazar Villa</t>
  </si>
  <si>
    <t>002135173</t>
  </si>
  <si>
    <t>jmanagay</t>
  </si>
  <si>
    <t>Managaytay,Jessica Ypil</t>
  </si>
  <si>
    <t>002147962</t>
  </si>
  <si>
    <t>kzabate</t>
  </si>
  <si>
    <t>Zabate,Kc Marie Capol</t>
  </si>
  <si>
    <t>002147970</t>
  </si>
  <si>
    <t>jrosill1</t>
  </si>
  <si>
    <t>002147971</t>
  </si>
  <si>
    <t>dmesa5</t>
  </si>
  <si>
    <t>Mesa,Darril Borres</t>
  </si>
  <si>
    <t>Krizza Louise Lariosa Lluch</t>
  </si>
  <si>
    <t>002147980</t>
  </si>
  <si>
    <t>jpaquebo</t>
  </si>
  <si>
    <t>Paquebot,Joseph Darrel Tagimacruz</t>
  </si>
  <si>
    <t>002147983</t>
  </si>
  <si>
    <t>rbulland</t>
  </si>
  <si>
    <t>Bullanday,Reynan Pancho</t>
  </si>
  <si>
    <t>002148190</t>
  </si>
  <si>
    <t>jubas6</t>
  </si>
  <si>
    <t>Ubas,Jubeth Kay Delica</t>
  </si>
  <si>
    <t>002148209</t>
  </si>
  <si>
    <t>gtaneo</t>
  </si>
  <si>
    <t>Taneo,Ghegier Niño Lerias</t>
  </si>
  <si>
    <t>002148245</t>
  </si>
  <si>
    <t>mgolo</t>
  </si>
  <si>
    <t>Golo,Maria Carissa Masong</t>
  </si>
  <si>
    <t>002148269</t>
  </si>
  <si>
    <t>mdela152</t>
  </si>
  <si>
    <t>De La Cerna,Maria Dalisay Sanosa</t>
  </si>
  <si>
    <t>002148326</t>
  </si>
  <si>
    <t>nfollosc</t>
  </si>
  <si>
    <t>Follosco,Nikko Flores</t>
  </si>
  <si>
    <t>002148792</t>
  </si>
  <si>
    <t>jvill376</t>
  </si>
  <si>
    <t>Villanueva,Joshua Benedict Araco</t>
  </si>
  <si>
    <t>002148837</t>
  </si>
  <si>
    <t>mseri</t>
  </si>
  <si>
    <t>Seri,Maria Carmina Inoc</t>
  </si>
  <si>
    <t>002148844</t>
  </si>
  <si>
    <t>malerta2</t>
  </si>
  <si>
    <t>Alerta,Michael Arriesgado</t>
  </si>
  <si>
    <t>002148845</t>
  </si>
  <si>
    <t>amalait</t>
  </si>
  <si>
    <t>Malait,Alfredo Monsales</t>
  </si>
  <si>
    <t>002148932</t>
  </si>
  <si>
    <t>cverallo</t>
  </si>
  <si>
    <t>Verallo,Christian Neil</t>
  </si>
  <si>
    <t>002148941</t>
  </si>
  <si>
    <t>mrota</t>
  </si>
  <si>
    <t>Rota,Mary Lyka Dela Cruz</t>
  </si>
  <si>
    <t>002148943</t>
  </si>
  <si>
    <t>jorti156</t>
  </si>
  <si>
    <t>Ortiz,Josephine Sinangote</t>
  </si>
  <si>
    <t>002148944</t>
  </si>
  <si>
    <t>kgumera</t>
  </si>
  <si>
    <t>Gumera,Kenneth Villarta</t>
  </si>
  <si>
    <t>002149639</t>
  </si>
  <si>
    <t>mimperi4</t>
  </si>
  <si>
    <t>Imperial,Mark Gil Estrera</t>
  </si>
  <si>
    <t>002149643</t>
  </si>
  <si>
    <t>gabogand</t>
  </si>
  <si>
    <t>Aboganda,Glylen Jay Basada</t>
  </si>
  <si>
    <t>002232915</t>
  </si>
  <si>
    <t>ppacino</t>
  </si>
  <si>
    <t>Paciño,Princess Jean Menor</t>
  </si>
  <si>
    <t>002232917</t>
  </si>
  <si>
    <t>mclaver3</t>
  </si>
  <si>
    <t>Claver,Mark Brendon Dalaoyan</t>
  </si>
  <si>
    <t>002233004</t>
  </si>
  <si>
    <t>baniban</t>
  </si>
  <si>
    <t>Aniban,Brandon Saludaga</t>
  </si>
  <si>
    <t>002233005</t>
  </si>
  <si>
    <t>rvill147</t>
  </si>
  <si>
    <t>Villanueva,Ramil Alasan</t>
  </si>
  <si>
    <t>002233020</t>
  </si>
  <si>
    <t>mmansue2</t>
  </si>
  <si>
    <t>Mansueto,Mark Anthony Titong</t>
  </si>
  <si>
    <t>002233676</t>
  </si>
  <si>
    <t>fferoli1</t>
  </si>
  <si>
    <t>Ferolino,Franz Louie Alcano</t>
  </si>
  <si>
    <t>002235972</t>
  </si>
  <si>
    <t>ecenerpi</t>
  </si>
  <si>
    <t>Cenerpida,Eliza Joe Lumayag</t>
  </si>
  <si>
    <t>002235981</t>
  </si>
  <si>
    <t>emotos</t>
  </si>
  <si>
    <t>Motos,Erika Xanthia Mortejo</t>
  </si>
  <si>
    <t>002235984</t>
  </si>
  <si>
    <t>jbureros</t>
  </si>
  <si>
    <t>Bureros,Jaybee Benigay</t>
  </si>
  <si>
    <t>002236010</t>
  </si>
  <si>
    <t>mtabar1</t>
  </si>
  <si>
    <t>Tabar,Maria Lourdes Rabe</t>
  </si>
  <si>
    <t>002236011</t>
  </si>
  <si>
    <t>mespi105</t>
  </si>
  <si>
    <t>Espinosa,Monica Lyn Sibonga</t>
  </si>
  <si>
    <t>002236030</t>
  </si>
  <si>
    <t>vavestan</t>
  </si>
  <si>
    <t>Avestano,Vanesa Barredo</t>
  </si>
  <si>
    <t>002236076</t>
  </si>
  <si>
    <t>labueva</t>
  </si>
  <si>
    <t>Abueva,Lovely Mae Canizar</t>
  </si>
  <si>
    <t>002236081</t>
  </si>
  <si>
    <t>scanada5</t>
  </si>
  <si>
    <t>Cañada,Sepora Villaflores</t>
  </si>
  <si>
    <t>002236085</t>
  </si>
  <si>
    <t>jantilig</t>
  </si>
  <si>
    <t>Antiligando,Jan Victor Escobedo</t>
  </si>
  <si>
    <t>002236086</t>
  </si>
  <si>
    <t>jgino</t>
  </si>
  <si>
    <t>Gino,Jecelyn Villaver</t>
  </si>
  <si>
    <t>002236087</t>
  </si>
  <si>
    <t>rbooc2</t>
  </si>
  <si>
    <t>Booc,Rhea Angga</t>
  </si>
  <si>
    <t>002238202</t>
  </si>
  <si>
    <t>jmagasi</t>
  </si>
  <si>
    <t>Mag-Asin,Jake Unabia</t>
  </si>
  <si>
    <t>002238244</t>
  </si>
  <si>
    <t>ynudalo1</t>
  </si>
  <si>
    <t>Nudalo,Yvette Pacaldo</t>
  </si>
  <si>
    <t>002238298</t>
  </si>
  <si>
    <t>lsuson3</t>
  </si>
  <si>
    <t>Suson,Lurraine</t>
  </si>
  <si>
    <t>002243261</t>
  </si>
  <si>
    <t>rcahoy</t>
  </si>
  <si>
    <t>Cahoy,Ralph Basilio</t>
  </si>
  <si>
    <t>002243267</t>
  </si>
  <si>
    <t>ppamplo1</t>
  </si>
  <si>
    <t>Pamplona,Princess Joanna Yamson</t>
  </si>
  <si>
    <t>002243271</t>
  </si>
  <si>
    <t>dpacarat</t>
  </si>
  <si>
    <t>Pacarat Jr,Danilo Gontinas</t>
  </si>
  <si>
    <t>002243272</t>
  </si>
  <si>
    <t>jfran186</t>
  </si>
  <si>
    <t>Francisco,John Paul Opina</t>
  </si>
  <si>
    <t>002243285</t>
  </si>
  <si>
    <t>jlambati</t>
  </si>
  <si>
    <t>Lambating,Joshua Darvin Gumera</t>
  </si>
  <si>
    <t>002243289</t>
  </si>
  <si>
    <t>csescon1</t>
  </si>
  <si>
    <t>Sescon,Claire</t>
  </si>
  <si>
    <t>002244051</t>
  </si>
  <si>
    <t>jabul</t>
  </si>
  <si>
    <t>Abul,Jane Savil Allyssa Yap</t>
  </si>
  <si>
    <t>002244157</t>
  </si>
  <si>
    <t>pmollasc</t>
  </si>
  <si>
    <t>Mollasco,Princess Camille Brazil</t>
  </si>
  <si>
    <t>002244256</t>
  </si>
  <si>
    <t>katendi2</t>
  </si>
  <si>
    <t>Atendido,Kristelle Calamdag</t>
  </si>
  <si>
    <t>002244263</t>
  </si>
  <si>
    <t>cpepit13</t>
  </si>
  <si>
    <t>Pepito,Chris Nino Bataclan</t>
  </si>
  <si>
    <t>002244264</t>
  </si>
  <si>
    <t>jtangkay</t>
  </si>
  <si>
    <t>Tangkay,Jericho James Tek Ing</t>
  </si>
  <si>
    <t>002244265</t>
  </si>
  <si>
    <t>rrufino</t>
  </si>
  <si>
    <t>Rufino,Ross Nicolle Tomaroy</t>
  </si>
  <si>
    <t>002244267</t>
  </si>
  <si>
    <t>jastaca</t>
  </si>
  <si>
    <t>Astaca An,Jake Potot</t>
  </si>
  <si>
    <t>002244273</t>
  </si>
  <si>
    <t>ptaculod</t>
  </si>
  <si>
    <t>Taculod,Pearlycil Magallanes</t>
  </si>
  <si>
    <t>002244612</t>
  </si>
  <si>
    <t>rbasilg2</t>
  </si>
  <si>
    <t>Basilgo,Rey Martin Impang</t>
  </si>
  <si>
    <t>002244659</t>
  </si>
  <si>
    <t>jtempla1</t>
  </si>
  <si>
    <t>Templado,Jeanette Tejadillo</t>
  </si>
  <si>
    <t>002244762</t>
  </si>
  <si>
    <t>hroda</t>
  </si>
  <si>
    <t>Roda,Hunny Mae Legara</t>
  </si>
  <si>
    <t>002245220</t>
  </si>
  <si>
    <t>jrafael2</t>
  </si>
  <si>
    <t>Rafaela,John Vert Cabato</t>
  </si>
  <si>
    <t>002254042</t>
  </si>
  <si>
    <t>mocubill</t>
  </si>
  <si>
    <t>Ocubillo,Mariele Zamora</t>
  </si>
  <si>
    <t>002254043</t>
  </si>
  <si>
    <t>ffaciol</t>
  </si>
  <si>
    <t>Faciol,Felicity Dawn Jabonite</t>
  </si>
  <si>
    <t>002254044</t>
  </si>
  <si>
    <t>mtumanda</t>
  </si>
  <si>
    <t>Tumanda,Michael Allan Mantilla</t>
  </si>
  <si>
    <t>002254045</t>
  </si>
  <si>
    <t>bcampani</t>
  </si>
  <si>
    <t>Campanilla,Brennan Roy Solis</t>
  </si>
  <si>
    <t>002254046</t>
  </si>
  <si>
    <t>jmedi135</t>
  </si>
  <si>
    <t>Medina,Jan Levy Sungcad</t>
  </si>
  <si>
    <t>002254047</t>
  </si>
  <si>
    <t>cmend101</t>
  </si>
  <si>
    <t>Mendoza,Clifford Yutis</t>
  </si>
  <si>
    <t>002254048</t>
  </si>
  <si>
    <t>jtimogti</t>
  </si>
  <si>
    <t>Timogtimog,Joshed Ej Sayaboc</t>
  </si>
  <si>
    <t>002254049</t>
  </si>
  <si>
    <t>jcort122</t>
  </si>
  <si>
    <t>Cortes,Jhudiel Maano</t>
  </si>
  <si>
    <t>002254050</t>
  </si>
  <si>
    <t>htizon</t>
  </si>
  <si>
    <t>Tizon,Hannah Allysa Daffon</t>
  </si>
  <si>
    <t>002254051</t>
  </si>
  <si>
    <t>vdecier1</t>
  </si>
  <si>
    <t>Decierdo,Vannessa Dela Cerna</t>
  </si>
  <si>
    <t>002254052</t>
  </si>
  <si>
    <t>ksilanga</t>
  </si>
  <si>
    <t>Silangan,Kathrina Mae Suycano</t>
  </si>
  <si>
    <t>002254054</t>
  </si>
  <si>
    <t>maggara1</t>
  </si>
  <si>
    <t>Aggarao Jr,Michael John Subido</t>
  </si>
  <si>
    <t>002254055</t>
  </si>
  <si>
    <t>gtaburna</t>
  </si>
  <si>
    <t>Taburnal,Godfrey Justan</t>
  </si>
  <si>
    <t>002254111</t>
  </si>
  <si>
    <t>slucresi</t>
  </si>
  <si>
    <t>Lucresia,Sheena Estorba</t>
  </si>
  <si>
    <t>002254771</t>
  </si>
  <si>
    <t>cramo112</t>
  </si>
  <si>
    <t>Ramos,Cherrie Elaine Flores</t>
  </si>
  <si>
    <t>002258515</t>
  </si>
  <si>
    <t>qgarcia1</t>
  </si>
  <si>
    <t>Garcia,Queeny Rose Undaloc</t>
  </si>
  <si>
    <t>Victor Jr Cabriles Fuentenegra</t>
  </si>
  <si>
    <t>002258516</t>
  </si>
  <si>
    <t>aigongi</t>
  </si>
  <si>
    <t>Igong Igong,Angel Eloise Bontilao</t>
  </si>
  <si>
    <t>002258517</t>
  </si>
  <si>
    <t>sdabalos</t>
  </si>
  <si>
    <t>Dabalos,Shella Sipalay</t>
  </si>
  <si>
    <t>002258518</t>
  </si>
  <si>
    <t>xpedroza</t>
  </si>
  <si>
    <t>Pedroza,Xynah Belle</t>
  </si>
  <si>
    <t>002258536</t>
  </si>
  <si>
    <t>cgudarid</t>
  </si>
  <si>
    <t>Gudarido,Cherry Mae Tortugo</t>
  </si>
  <si>
    <t>002258550</t>
  </si>
  <si>
    <t>adicdiqu</t>
  </si>
  <si>
    <t>Dicdiquin,Analyn Auditor</t>
  </si>
  <si>
    <t>002258571</t>
  </si>
  <si>
    <t>mlibres2</t>
  </si>
  <si>
    <t>Libres,Mark Riaz</t>
  </si>
  <si>
    <t>002258576</t>
  </si>
  <si>
    <t>mamana</t>
  </si>
  <si>
    <t>Amaña,Maria Isabel Cañafuego</t>
  </si>
  <si>
    <t>002258577</t>
  </si>
  <si>
    <t>tcabildo</t>
  </si>
  <si>
    <t>Cabildo,Tisah May Villamor</t>
  </si>
  <si>
    <t>002258578</t>
  </si>
  <si>
    <t>sulgasa1</t>
  </si>
  <si>
    <t>Ulgasan,Sheryl Mae Gulay</t>
  </si>
  <si>
    <t>002258591</t>
  </si>
  <si>
    <t>mrevecoy</t>
  </si>
  <si>
    <t>Revecoy,Michael Probitso</t>
  </si>
  <si>
    <t>002258592</t>
  </si>
  <si>
    <t>ecielo</t>
  </si>
  <si>
    <t>Cielo,Edmond Buñao</t>
  </si>
  <si>
    <t>002260128</t>
  </si>
  <si>
    <t>clangub</t>
  </si>
  <si>
    <t>Langub,Cushmhan Zachari Pablo</t>
  </si>
  <si>
    <t>002260158</t>
  </si>
  <si>
    <t>tricana</t>
  </si>
  <si>
    <t>Ricaña,Tomas Iii Samson</t>
  </si>
  <si>
    <t>002260213</t>
  </si>
  <si>
    <t>ztalle</t>
  </si>
  <si>
    <t>Talle,Zaldy Arranchado</t>
  </si>
  <si>
    <t>002260223</t>
  </si>
  <si>
    <t>ktabanas</t>
  </si>
  <si>
    <t>Tabanas,Kirby Tañeza</t>
  </si>
  <si>
    <t>002260762</t>
  </si>
  <si>
    <t>malbari3</t>
  </si>
  <si>
    <t>Albarico,Mecaila</t>
  </si>
  <si>
    <t>MAKATI</t>
  </si>
  <si>
    <t>000867321</t>
  </si>
  <si>
    <t>jvilla11</t>
  </si>
  <si>
    <t>Villa,Janella Ivane Baltazar</t>
  </si>
  <si>
    <t>Lee Stephen Valde Fat</t>
  </si>
  <si>
    <t>001014806</t>
  </si>
  <si>
    <t>ezablan2</t>
  </si>
  <si>
    <t>Zablan,Emmanuel Laguilles</t>
  </si>
  <si>
    <t>Robert Castillo Santos</t>
  </si>
  <si>
    <t>001016821</t>
  </si>
  <si>
    <t>aespidi1</t>
  </si>
  <si>
    <t>Espidido,Alexis Ramon</t>
  </si>
  <si>
    <t>001025337</t>
  </si>
  <si>
    <t>abarcel4</t>
  </si>
  <si>
    <t>Barcelona,Arjay Regil</t>
  </si>
  <si>
    <t>001026075</t>
  </si>
  <si>
    <t>asalvad2</t>
  </si>
  <si>
    <t>Cacnio,Anna Katrina Salvador</t>
  </si>
  <si>
    <t>001026458</t>
  </si>
  <si>
    <t>rsanto20</t>
  </si>
  <si>
    <t>Santos,Robert Castillo</t>
  </si>
  <si>
    <t>001046283</t>
  </si>
  <si>
    <t>atilbe</t>
  </si>
  <si>
    <t>Tilbe,Angielyn Yap</t>
  </si>
  <si>
    <t>001081100</t>
  </si>
  <si>
    <t>jflore50</t>
  </si>
  <si>
    <t>Flores,Jan Michael Enciso</t>
  </si>
  <si>
    <t>001087050</t>
  </si>
  <si>
    <t>mmagpus1</t>
  </si>
  <si>
    <t>Magpusao,Mariecris Villarete</t>
  </si>
  <si>
    <t>001089313</t>
  </si>
  <si>
    <t>jgalang3</t>
  </si>
  <si>
    <t>Galang,Jerwin Sanchez</t>
  </si>
  <si>
    <t>001091719</t>
  </si>
  <si>
    <t>dfurisc1</t>
  </si>
  <si>
    <t>Furiscal,Danica Villano</t>
  </si>
  <si>
    <t>001126814</t>
  </si>
  <si>
    <t>ccalupig</t>
  </si>
  <si>
    <t>001136433</t>
  </si>
  <si>
    <t>jlarrac1</t>
  </si>
  <si>
    <t>Larracas,Jean Paul Raymundo</t>
  </si>
  <si>
    <t>001145959</t>
  </si>
  <si>
    <t>erobles5</t>
  </si>
  <si>
    <t>Luzong,Erika Nica Robles</t>
  </si>
  <si>
    <t>001145993</t>
  </si>
  <si>
    <t>ccastr11</t>
  </si>
  <si>
    <t>Castro,Christian Lavaran</t>
  </si>
  <si>
    <t>001149651</t>
  </si>
  <si>
    <t>jbaccay1</t>
  </si>
  <si>
    <t>Baccay,Jonamie</t>
  </si>
  <si>
    <t>001164811</t>
  </si>
  <si>
    <t>mpalma11</t>
  </si>
  <si>
    <t>Palma,Michael Richard Infante</t>
  </si>
  <si>
    <t>001164877</t>
  </si>
  <si>
    <t>kdaileg</t>
  </si>
  <si>
    <t>Daileg,Kristine Dianne Evangelista</t>
  </si>
  <si>
    <t>001183755</t>
  </si>
  <si>
    <t>cmart133</t>
  </si>
  <si>
    <t>Martinez,Chrisel Lingat</t>
  </si>
  <si>
    <t>001183771</t>
  </si>
  <si>
    <t>rgolino</t>
  </si>
  <si>
    <t>Golino,Roselle Marie Buenaventura</t>
  </si>
  <si>
    <t>001185804</t>
  </si>
  <si>
    <t>epasores</t>
  </si>
  <si>
    <t>Pasores,Erika Jane Rodriguez</t>
  </si>
  <si>
    <t>001227045</t>
  </si>
  <si>
    <t>rdelea1</t>
  </si>
  <si>
    <t>Delena,Rhea Mea Mabulac</t>
  </si>
  <si>
    <t>001249049</t>
  </si>
  <si>
    <t>lgaviol2</t>
  </si>
  <si>
    <t>Gaviola,Lester Torno</t>
  </si>
  <si>
    <t>001260035</t>
  </si>
  <si>
    <t>nyulo1</t>
  </si>
  <si>
    <t>Yulo,Nickaela Felongco</t>
  </si>
  <si>
    <t>001296850</t>
  </si>
  <si>
    <t>mtampioc</t>
  </si>
  <si>
    <t>Tampioc,Ma Rose Ann Casimpoy</t>
  </si>
  <si>
    <t>001307003</t>
  </si>
  <si>
    <t>eguiquin</t>
  </si>
  <si>
    <t>Guiquin,Edison Keith Calawagan</t>
  </si>
  <si>
    <t>001370513</t>
  </si>
  <si>
    <t>scuaresm</t>
  </si>
  <si>
    <t>Cuaresma,Sherap Don De Guzman</t>
  </si>
  <si>
    <t>001381979</t>
  </si>
  <si>
    <t>rlegada</t>
  </si>
  <si>
    <t>Legada,Rennjan Basiliano</t>
  </si>
  <si>
    <t>001390507</t>
  </si>
  <si>
    <t>gticuala</t>
  </si>
  <si>
    <t>Ticuala,Geraldine Damolkis</t>
  </si>
  <si>
    <t>001395790</t>
  </si>
  <si>
    <t>jbonocan</t>
  </si>
  <si>
    <t>Bonocan,Johnny Rey Diaz</t>
  </si>
  <si>
    <t>OPRO</t>
  </si>
  <si>
    <t>001419701</t>
  </si>
  <si>
    <t>driver44</t>
  </si>
  <si>
    <t>Cruz Rivera,Denisse Cruz</t>
  </si>
  <si>
    <t>Osmari Rodriguez</t>
  </si>
  <si>
    <t>001432267</t>
  </si>
  <si>
    <t>arodr193</t>
  </si>
  <si>
    <t>Rodriguez,Aida Marie</t>
  </si>
  <si>
    <t>001439420</t>
  </si>
  <si>
    <t>hlaboy</t>
  </si>
  <si>
    <t>Laboy- Lebron,Hector Ramiro</t>
  </si>
  <si>
    <t>Luis Joel Traverso Rodriguez</t>
  </si>
  <si>
    <t>001439443</t>
  </si>
  <si>
    <t>aburgos8</t>
  </si>
  <si>
    <t>Burgos,Arlene Natalia</t>
  </si>
  <si>
    <t>Hector Ramiro Laboy- Lebron</t>
  </si>
  <si>
    <t>001441049</t>
  </si>
  <si>
    <t>ymerced</t>
  </si>
  <si>
    <t>Merced- Figueroa,Yanira</t>
  </si>
  <si>
    <t>001441341</t>
  </si>
  <si>
    <t>ltraver1</t>
  </si>
  <si>
    <t>Traverso Rodriguez,Luis Joel</t>
  </si>
  <si>
    <t>Maria Theresa Oliva V Ramos</t>
  </si>
  <si>
    <t>001449004</t>
  </si>
  <si>
    <t>pmedina5</t>
  </si>
  <si>
    <t>Medina Pol,Paola</t>
  </si>
  <si>
    <t>001449796</t>
  </si>
  <si>
    <t>ebenite3</t>
  </si>
  <si>
    <t>Benitez-Garcia,Edward Abraham</t>
  </si>
  <si>
    <t>001450906</t>
  </si>
  <si>
    <t>jburgos7</t>
  </si>
  <si>
    <t>Burgos-Rivera,Jennifer N</t>
  </si>
  <si>
    <t>001451378</t>
  </si>
  <si>
    <t>jpuello</t>
  </si>
  <si>
    <t>Puello,Jennipher</t>
  </si>
  <si>
    <t>001451820</t>
  </si>
  <si>
    <t>jortizr2</t>
  </si>
  <si>
    <t>Ortiz Rodriguez,Joel M</t>
  </si>
  <si>
    <t>001457804</t>
  </si>
  <si>
    <t>ariver79</t>
  </si>
  <si>
    <t>Rivera-Ramos,Analisa</t>
  </si>
  <si>
    <t>001459142</t>
  </si>
  <si>
    <t>javiles8</t>
  </si>
  <si>
    <t>Aviles-Rodriguez,Jose</t>
  </si>
  <si>
    <t>001459170</t>
  </si>
  <si>
    <t>ylebron</t>
  </si>
  <si>
    <t>Lebron-Gonzalez,Yara Lidmar</t>
  </si>
  <si>
    <t>001490965</t>
  </si>
  <si>
    <t>yburgos1</t>
  </si>
  <si>
    <t>Burgos Gomez,Yazlyn Carmen</t>
  </si>
  <si>
    <t>001491338</t>
  </si>
  <si>
    <t>ddelga19</t>
  </si>
  <si>
    <t>Delgado Lopez,Deborah Marie</t>
  </si>
  <si>
    <t>001491441</t>
  </si>
  <si>
    <t>jvalcarc</t>
  </si>
  <si>
    <t>Valcarcel,Jean Andre</t>
  </si>
  <si>
    <t>001508652</t>
  </si>
  <si>
    <t>ctexidor</t>
  </si>
  <si>
    <t>Texidor Serrano,Crystal</t>
  </si>
  <si>
    <t>001510874</t>
  </si>
  <si>
    <t>ccastr26</t>
  </si>
  <si>
    <t>Castro,Clarideliz M</t>
  </si>
  <si>
    <t>001512026</t>
  </si>
  <si>
    <t>ddejesu8</t>
  </si>
  <si>
    <t>De Jesus Baez,Dimarys</t>
  </si>
  <si>
    <t>001514605</t>
  </si>
  <si>
    <t>cdelval1</t>
  </si>
  <si>
    <t>Del Valle,Cesar Antonio</t>
  </si>
  <si>
    <t>001515058</t>
  </si>
  <si>
    <t>iherre16</t>
  </si>
  <si>
    <t>Herrera Mercedes,Leurys C</t>
  </si>
  <si>
    <t>001516699</t>
  </si>
  <si>
    <t>tsotoro</t>
  </si>
  <si>
    <t>Soto Rossi,Thaimara Enid</t>
  </si>
  <si>
    <t>001516707</t>
  </si>
  <si>
    <t>pcolong</t>
  </si>
  <si>
    <t>Colon Garcia,Paulita Janice</t>
  </si>
  <si>
    <t>001517184</t>
  </si>
  <si>
    <t>abrewst3</t>
  </si>
  <si>
    <t>Brewster Fuentes,Analories</t>
  </si>
  <si>
    <t>001517798</t>
  </si>
  <si>
    <t>zhernan8</t>
  </si>
  <si>
    <t>Hernandez,Zara Ellis</t>
  </si>
  <si>
    <t>001520574</t>
  </si>
  <si>
    <t>jortizf</t>
  </si>
  <si>
    <t>Ortiz Figueroa,Jennifer L</t>
  </si>
  <si>
    <t>001523459</t>
  </si>
  <si>
    <t>jnieve17</t>
  </si>
  <si>
    <t>Nieves,Johan Emmanuel</t>
  </si>
  <si>
    <t>001523496</t>
  </si>
  <si>
    <t>lburgos6</t>
  </si>
  <si>
    <t>Burgos Ramos,Luis R</t>
  </si>
  <si>
    <t>001526201</t>
  </si>
  <si>
    <t>orodri26</t>
  </si>
  <si>
    <t>Rodriguez,Osmari</t>
  </si>
  <si>
    <t>001526203</t>
  </si>
  <si>
    <t>jgarc301</t>
  </si>
  <si>
    <t>Garcia Rivera,Jose Ivan</t>
  </si>
  <si>
    <t>001526211</t>
  </si>
  <si>
    <t>rcarril7</t>
  </si>
  <si>
    <t>Carrillo,Ruth N</t>
  </si>
  <si>
    <t>001526221</t>
  </si>
  <si>
    <t>asanti30</t>
  </si>
  <si>
    <t>Santiago,Annette Patricia</t>
  </si>
  <si>
    <t>001526227</t>
  </si>
  <si>
    <t>xsantiag</t>
  </si>
  <si>
    <t>Santiago,Xiomara</t>
  </si>
  <si>
    <t>001610513</t>
  </si>
  <si>
    <t>lnieves4</t>
  </si>
  <si>
    <t>Nieves Rivera,Luz Celenia</t>
  </si>
  <si>
    <t>001618688</t>
  </si>
  <si>
    <t>portiz23</t>
  </si>
  <si>
    <t>Ortiz,Paloma M</t>
  </si>
  <si>
    <t>001621525</t>
  </si>
  <si>
    <t>lorteg22</t>
  </si>
  <si>
    <t>Ortega,Luis Emanuel</t>
  </si>
  <si>
    <t>001621602</t>
  </si>
  <si>
    <t>hmontero</t>
  </si>
  <si>
    <t>Montero Santiago,Hector Manuel</t>
  </si>
  <si>
    <t>001623515</t>
  </si>
  <si>
    <t>khernan68</t>
  </si>
  <si>
    <t>Hernandez,Karolina</t>
  </si>
  <si>
    <t>001624620</t>
  </si>
  <si>
    <t>jmiran44</t>
  </si>
  <si>
    <t>Miranda,Joanliz</t>
  </si>
  <si>
    <t>001625887</t>
  </si>
  <si>
    <t>nrosado1</t>
  </si>
  <si>
    <t>Rosado Ortiz,Neyssa Yeshaira</t>
  </si>
  <si>
    <t>001628247</t>
  </si>
  <si>
    <t>sriver70</t>
  </si>
  <si>
    <t>Rivera Perez,Samuel</t>
  </si>
  <si>
    <t>001745000</t>
  </si>
  <si>
    <t>jlope284</t>
  </si>
  <si>
    <t>Lopez Roman,Juan Carlos</t>
  </si>
  <si>
    <t>002060201</t>
  </si>
  <si>
    <t>kdiaz60</t>
  </si>
  <si>
    <t>Diaz,Karyna</t>
  </si>
  <si>
    <t>002061920</t>
  </si>
  <si>
    <t>jrodr634</t>
  </si>
  <si>
    <t>Rodriguez,Jeannie Ivette</t>
  </si>
  <si>
    <t>002064193</t>
  </si>
  <si>
    <t>gagosto</t>
  </si>
  <si>
    <t>Agosto Sanchez,Gladys Maria</t>
  </si>
  <si>
    <t>002065776</t>
  </si>
  <si>
    <t>dpellot2</t>
  </si>
  <si>
    <t>Pellot Nieves,Dermalis</t>
  </si>
  <si>
    <t>002066271</t>
  </si>
  <si>
    <t>fsmadi</t>
  </si>
  <si>
    <t>Smadi,Fathia</t>
  </si>
  <si>
    <t>002066277</t>
  </si>
  <si>
    <t>rrodr273</t>
  </si>
  <si>
    <t>Rodriguez,Rhona</t>
  </si>
  <si>
    <t>002067636</t>
  </si>
  <si>
    <t>srive146</t>
  </si>
  <si>
    <t>Rivera Rodriguez,Shirley Ann</t>
  </si>
  <si>
    <t>002069753</t>
  </si>
  <si>
    <t>jhuert18</t>
  </si>
  <si>
    <t>Huertas,Jazmine</t>
  </si>
  <si>
    <t>002069802</t>
  </si>
  <si>
    <t>mdejes55</t>
  </si>
  <si>
    <t>De Jesus,Michelle</t>
  </si>
  <si>
    <t>002069808</t>
  </si>
  <si>
    <t>jdelga98</t>
  </si>
  <si>
    <t>Delgado,Jahyra</t>
  </si>
  <si>
    <t>002088201</t>
  </si>
  <si>
    <t>lmiran23</t>
  </si>
  <si>
    <t>Miranda Cintron,Luis Daniel</t>
  </si>
  <si>
    <t>002088202</t>
  </si>
  <si>
    <t>nestreme</t>
  </si>
  <si>
    <t>Estremera,Natasha Alana</t>
  </si>
  <si>
    <t>002088210</t>
  </si>
  <si>
    <t>sdvilas</t>
  </si>
  <si>
    <t>Davila-Soto,Stacey N</t>
  </si>
  <si>
    <t>002088211</t>
  </si>
  <si>
    <t>elastra1</t>
  </si>
  <si>
    <t>Lastra,Esteban Isaul</t>
  </si>
  <si>
    <t>002088217</t>
  </si>
  <si>
    <t>crive171</t>
  </si>
  <si>
    <t>Rivera Alvarado,Christian O</t>
  </si>
  <si>
    <t>002244654</t>
  </si>
  <si>
    <t>ssanti41</t>
  </si>
  <si>
    <t>Santiago Quinones,Steffanie Vionette</t>
  </si>
  <si>
    <t>002249968</t>
  </si>
  <si>
    <t>nsiurano</t>
  </si>
  <si>
    <t>Siurano,Natassia Krystal</t>
  </si>
  <si>
    <t>002250097</t>
  </si>
  <si>
    <t>brodr154</t>
  </si>
  <si>
    <t>Rodriguez Silva,Bradley</t>
  </si>
  <si>
    <t>002250120</t>
  </si>
  <si>
    <t>bsegarra</t>
  </si>
  <si>
    <t>Segarra Detres,Betzaida</t>
  </si>
  <si>
    <t>002252449</t>
  </si>
  <si>
    <t>rrodr313</t>
  </si>
  <si>
    <t>Rodriguez,Rumabel</t>
  </si>
  <si>
    <t>002253915</t>
  </si>
  <si>
    <t>cramosr2</t>
  </si>
  <si>
    <t>Ramos-Rodriguez,Cristina Michelle</t>
  </si>
  <si>
    <t>002254878</t>
  </si>
  <si>
    <t>vserran7</t>
  </si>
  <si>
    <t>Serrano Garcia,Victor Manuel</t>
  </si>
  <si>
    <t>002254895</t>
  </si>
  <si>
    <t>efelic10</t>
  </si>
  <si>
    <t>Feliciano,Evelyn</t>
  </si>
  <si>
    <t>QC</t>
  </si>
  <si>
    <t>001014237</t>
  </si>
  <si>
    <t>xarro1</t>
  </si>
  <si>
    <t>Arro,Xylene Rose Arroyo</t>
  </si>
  <si>
    <t>001031095</t>
  </si>
  <si>
    <t>jmansiba</t>
  </si>
  <si>
    <t>001031099</t>
  </si>
  <si>
    <t>gbartolo</t>
  </si>
  <si>
    <t>Bartolome,Grace Yumul</t>
  </si>
  <si>
    <t>001035894</t>
  </si>
  <si>
    <t>mmarian2</t>
  </si>
  <si>
    <t>Mariano,Maria Bernadette Policarpio</t>
  </si>
  <si>
    <t>001065671</t>
  </si>
  <si>
    <t>mramos29</t>
  </si>
  <si>
    <t>Ramos,Maria Theresa Oliva Valenciano</t>
  </si>
  <si>
    <t>Cian O'Mahony</t>
  </si>
  <si>
    <t>001073247</t>
  </si>
  <si>
    <t>pdacanay</t>
  </si>
  <si>
    <t>001081291</t>
  </si>
  <si>
    <t>mbalboa1</t>
  </si>
  <si>
    <t>Balboa,Maria Carmela Eugenio</t>
  </si>
  <si>
    <t>001087051</t>
  </si>
  <si>
    <t>fvillar1</t>
  </si>
  <si>
    <t>001087313</t>
  </si>
  <si>
    <t>hsarmie3</t>
  </si>
  <si>
    <t>Sarmiento,Helina Jane Wagayen</t>
  </si>
  <si>
    <t>001089038</t>
  </si>
  <si>
    <t>umillano</t>
  </si>
  <si>
    <t>Millano Jr,Uldarico Nazareno</t>
  </si>
  <si>
    <t>001090847</t>
  </si>
  <si>
    <t>jgaurano</t>
  </si>
  <si>
    <t>Gaurano,Jacob Philip Jumaquio</t>
  </si>
  <si>
    <t>001091356</t>
  </si>
  <si>
    <t>jabanes</t>
  </si>
  <si>
    <t>Abanes,Jerone Paul Pacatcatin</t>
  </si>
  <si>
    <t>001091357</t>
  </si>
  <si>
    <t>jtiangco</t>
  </si>
  <si>
    <t>Tiangco,Jeffrey Cabangal</t>
  </si>
  <si>
    <t>001130605</t>
  </si>
  <si>
    <t>pcabuena</t>
  </si>
  <si>
    <t>Cabuenas,Paula Joy Diaz</t>
  </si>
  <si>
    <t>001145971</t>
  </si>
  <si>
    <t>mricamor</t>
  </si>
  <si>
    <t>Ricamora,Maria Regina Victoria Laguna</t>
  </si>
  <si>
    <t>001171295</t>
  </si>
  <si>
    <t>dcorral2</t>
  </si>
  <si>
    <t>001172236</t>
  </si>
  <si>
    <t>ctenio1</t>
  </si>
  <si>
    <t>Tenio,Crispina Villanueva</t>
  </si>
  <si>
    <t>001180052</t>
  </si>
  <si>
    <t>vnares1</t>
  </si>
  <si>
    <t>Nares,Vincent Gualdada</t>
  </si>
  <si>
    <t>001181770</t>
  </si>
  <si>
    <t>mmerca13</t>
  </si>
  <si>
    <t>Dumalag,Maria Luisa Mercado</t>
  </si>
  <si>
    <t>001182157</t>
  </si>
  <si>
    <t>rllamido</t>
  </si>
  <si>
    <t>001183689</t>
  </si>
  <si>
    <t>jballes6</t>
  </si>
  <si>
    <t>001186681</t>
  </si>
  <si>
    <t>alapuz</t>
  </si>
  <si>
    <t>Lapuz,Alanie Sanchez</t>
  </si>
  <si>
    <t>001226815</t>
  </si>
  <si>
    <t>dsulit</t>
  </si>
  <si>
    <t>Sulit,Deserie Bumanglag</t>
  </si>
  <si>
    <t>001227617</t>
  </si>
  <si>
    <t>vnavales</t>
  </si>
  <si>
    <t>001249987</t>
  </si>
  <si>
    <t>snieva10</t>
  </si>
  <si>
    <t>Nieva,Sheryl Ann Palomata</t>
  </si>
  <si>
    <t>001250275</t>
  </si>
  <si>
    <t>dramos30</t>
  </si>
  <si>
    <t>Ramos,Delta Anne Valeen Ambre</t>
  </si>
  <si>
    <t>001251522</t>
  </si>
  <si>
    <t>lbringas</t>
  </si>
  <si>
    <t>001251523</t>
  </si>
  <si>
    <t>kcortez7</t>
  </si>
  <si>
    <t>001253363</t>
  </si>
  <si>
    <t>rmisayah</t>
  </si>
  <si>
    <t>Misayah,Rosauro Gabo</t>
  </si>
  <si>
    <t>001256948</t>
  </si>
  <si>
    <t>emalay</t>
  </si>
  <si>
    <t>001285305</t>
  </si>
  <si>
    <t>cfalsis</t>
  </si>
  <si>
    <t>Falsis,Cyrus Hope Banot</t>
  </si>
  <si>
    <t>John Earl Melitado Lagare</t>
  </si>
  <si>
    <t>001297998</t>
  </si>
  <si>
    <t>kmangind</t>
  </si>
  <si>
    <t>Mangindin,Keisha Alinea</t>
  </si>
  <si>
    <t>001298011</t>
  </si>
  <si>
    <t>globrin</t>
  </si>
  <si>
    <t>Lobrin,Gay Olid</t>
  </si>
  <si>
    <t>001300816</t>
  </si>
  <si>
    <t>malejan4</t>
  </si>
  <si>
    <t>Alejandrino,Ma Lourdes Fontillas</t>
  </si>
  <si>
    <t>001304362</t>
  </si>
  <si>
    <t>ssales2</t>
  </si>
  <si>
    <t>Demdam,Sheena Sales</t>
  </si>
  <si>
    <t>001364166</t>
  </si>
  <si>
    <t>edomingo</t>
  </si>
  <si>
    <t>Domingo,Erica Joyce Angustia</t>
  </si>
  <si>
    <t>001364822</t>
  </si>
  <si>
    <t>oesperat</t>
  </si>
  <si>
    <t>Esperat,Orlando Jr Ignacio</t>
  </si>
  <si>
    <t>001365554</t>
  </si>
  <si>
    <t>placida</t>
  </si>
  <si>
    <t>Lacida,Princess Aileen Delloson</t>
  </si>
  <si>
    <t>001383778</t>
  </si>
  <si>
    <t>hgarci19</t>
  </si>
  <si>
    <t>Garcia,Hubert Fulgar</t>
  </si>
  <si>
    <t>001383786</t>
  </si>
  <si>
    <t>mlangome</t>
  </si>
  <si>
    <t>001384153</t>
  </si>
  <si>
    <t>malasaas</t>
  </si>
  <si>
    <t>Alasaas,Mark Anthony Espigar</t>
  </si>
  <si>
    <t>001392341</t>
  </si>
  <si>
    <t>jgaringo</t>
  </si>
  <si>
    <t>Garingo,Jeovina Ganan</t>
  </si>
  <si>
    <t>001398901</t>
  </si>
  <si>
    <t>jdelosr6</t>
  </si>
  <si>
    <t>Delos Reyes,Jhorelle Lerona</t>
  </si>
  <si>
    <t>001398913</t>
  </si>
  <si>
    <t>amanalay</t>
  </si>
  <si>
    <t>001445134</t>
  </si>
  <si>
    <t>acalley</t>
  </si>
  <si>
    <t>001478991</t>
  </si>
  <si>
    <t>rbauti26</t>
  </si>
  <si>
    <t>Bautista,Renato Jr Calimlim</t>
  </si>
  <si>
    <t>001516082</t>
  </si>
  <si>
    <t>balejaga</t>
  </si>
  <si>
    <t>Alejaga,Bryan Manombaga</t>
  </si>
  <si>
    <t>Robin Antolihao Llamido</t>
  </si>
  <si>
    <t>001523534</t>
  </si>
  <si>
    <t>jvill105</t>
  </si>
  <si>
    <t>Villanueva,Janshen Leyda Dacanay</t>
  </si>
  <si>
    <t>001524032</t>
  </si>
  <si>
    <t>sdomin16</t>
  </si>
  <si>
    <t>Domingo,Senna Lara Ramirez</t>
  </si>
  <si>
    <t>001524273</t>
  </si>
  <si>
    <t>sdelros</t>
  </si>
  <si>
    <t>Del Rosario,Sarah Vanessa Acero</t>
  </si>
  <si>
    <t>001616547</t>
  </si>
  <si>
    <t>jmustaci</t>
  </si>
  <si>
    <t>Mustacisa,Jella Mae Pepito</t>
  </si>
  <si>
    <t>Jeric Amazona Mansibang</t>
  </si>
  <si>
    <t>001625328</t>
  </si>
  <si>
    <t>mlibiran</t>
  </si>
  <si>
    <t>Libiran,Marites Mabuting</t>
  </si>
  <si>
    <t>001626237</t>
  </si>
  <si>
    <t>ediligen</t>
  </si>
  <si>
    <t>Diligencia,Eunice Datar</t>
  </si>
  <si>
    <t>001627458</t>
  </si>
  <si>
    <t>gtejada3</t>
  </si>
  <si>
    <t>Tejada,Gregorio Jr Iii Gallego</t>
  </si>
  <si>
    <t>001736907</t>
  </si>
  <si>
    <t>minteria</t>
  </si>
  <si>
    <t>Interia,Madelliene Natino</t>
  </si>
  <si>
    <t>001748546</t>
  </si>
  <si>
    <t>jpere222</t>
  </si>
  <si>
    <t>Perez,Joyce Ann Elisan</t>
  </si>
  <si>
    <t>001884556</t>
  </si>
  <si>
    <t>calmaza3</t>
  </si>
  <si>
    <t>Almazan,Cathreen Aizha Ria</t>
  </si>
  <si>
    <t>001907247</t>
  </si>
  <si>
    <t>jmacaril</t>
  </si>
  <si>
    <t>Macarilay,Jean</t>
  </si>
  <si>
    <t>001910162</t>
  </si>
  <si>
    <t>jalfon14</t>
  </si>
  <si>
    <t>Alfonso,Jovimin Millares</t>
  </si>
  <si>
    <t>001910668</t>
  </si>
  <si>
    <t>pdando</t>
  </si>
  <si>
    <t>Dando,Philip Plania</t>
  </si>
  <si>
    <t>001910677</t>
  </si>
  <si>
    <t>jfran135</t>
  </si>
  <si>
    <t>001910787</t>
  </si>
  <si>
    <t>cdelac54</t>
  </si>
  <si>
    <t>Dela Cruz,Carl Dominic</t>
  </si>
  <si>
    <t>001913076</t>
  </si>
  <si>
    <t>msant137</t>
  </si>
  <si>
    <t>001918853</t>
  </si>
  <si>
    <t>kvaleri2</t>
  </si>
  <si>
    <t>001918874</t>
  </si>
  <si>
    <t>adelac92</t>
  </si>
  <si>
    <t>Dela Cruz,Alyana Marie Jose</t>
  </si>
  <si>
    <t>001918993</t>
  </si>
  <si>
    <t>rbaldoz1</t>
  </si>
  <si>
    <t>Baldoza,Ronalyn</t>
  </si>
  <si>
    <t>Khyno Elimanco Cortez</t>
  </si>
  <si>
    <t>001919948</t>
  </si>
  <si>
    <t>akhalifa</t>
  </si>
  <si>
    <t>Khalifa,Adnan Raymundo</t>
  </si>
  <si>
    <t>001920081</t>
  </si>
  <si>
    <t>shadjer1</t>
  </si>
  <si>
    <t>Hadjerel,Shalimar Aira</t>
  </si>
  <si>
    <t>001920146</t>
  </si>
  <si>
    <t>drudio</t>
  </si>
  <si>
    <t>Rudio,Desiree Granpil</t>
  </si>
  <si>
    <t>001922793</t>
  </si>
  <si>
    <t>jbolina1</t>
  </si>
  <si>
    <t>Bolinao,Joseph Nikko Paz</t>
  </si>
  <si>
    <t>001927728</t>
  </si>
  <si>
    <t>jdejes43</t>
  </si>
  <si>
    <t>De Jesus,Junamin Octavo</t>
  </si>
  <si>
    <t>001928288</t>
  </si>
  <si>
    <t>mbaratas</t>
  </si>
  <si>
    <t>Baratas,Ma Shiella Mae Cagas</t>
  </si>
  <si>
    <t>Leandro Nino Macabulos Gatbunton</t>
  </si>
  <si>
    <t>001928595</t>
  </si>
  <si>
    <t>vbalinog</t>
  </si>
  <si>
    <t>Balinong,Vennesa Lachica</t>
  </si>
  <si>
    <t>001928630</t>
  </si>
  <si>
    <t>apacena</t>
  </si>
  <si>
    <t>Pacena,Alberto Rivera</t>
  </si>
  <si>
    <t>001929560</t>
  </si>
  <si>
    <t>mcastr87</t>
  </si>
  <si>
    <t>Castro,Maricris Eunice Fernandez</t>
  </si>
  <si>
    <t>001929580</t>
  </si>
  <si>
    <t>jbarbe26</t>
  </si>
  <si>
    <t>Barber,Jovielyn Parulan</t>
  </si>
  <si>
    <t>001929604</t>
  </si>
  <si>
    <t>dmanalil</t>
  </si>
  <si>
    <t>Manalili,Diana Paula Galit</t>
  </si>
  <si>
    <t>001930639</t>
  </si>
  <si>
    <t>rsanto92</t>
  </si>
  <si>
    <t>Santos Jr,Rogelio Lubiano</t>
  </si>
  <si>
    <t>001933799</t>
  </si>
  <si>
    <t>moran</t>
  </si>
  <si>
    <t>Oran,Mark Jayson Lucino</t>
  </si>
  <si>
    <t>001937547</t>
  </si>
  <si>
    <t>rgarc259</t>
  </si>
  <si>
    <t>Garcia,Raqsher Anne Miras</t>
  </si>
  <si>
    <t>001938955</t>
  </si>
  <si>
    <t>bcanares</t>
  </si>
  <si>
    <t>Canares,Bunce Reno</t>
  </si>
  <si>
    <t>001939156</t>
  </si>
  <si>
    <t>msilva73</t>
  </si>
  <si>
    <t>Silva,Maclin Tiamzon</t>
  </si>
  <si>
    <t>001940893</t>
  </si>
  <si>
    <t>jcarra23</t>
  </si>
  <si>
    <t>Carranza,Jellie Anne Tuscano</t>
  </si>
  <si>
    <t>001940927</t>
  </si>
  <si>
    <t>mjulagay</t>
  </si>
  <si>
    <t>Julagay,Mary Angelette Escobido</t>
  </si>
  <si>
    <t>001940963</t>
  </si>
  <si>
    <t>dpurpora</t>
  </si>
  <si>
    <t>Purpora,Daryl Barbado</t>
  </si>
  <si>
    <t>001943236</t>
  </si>
  <si>
    <t>svelas12</t>
  </si>
  <si>
    <t>Velasquez,Steven Amoguis</t>
  </si>
  <si>
    <t>001944148</t>
  </si>
  <si>
    <t>jvicen14</t>
  </si>
  <si>
    <t>Vicentillo,Jude Mike Mojado</t>
  </si>
  <si>
    <t>001944454</t>
  </si>
  <si>
    <t>jramo188</t>
  </si>
  <si>
    <t>Ramos,John Mar Canda</t>
  </si>
  <si>
    <t>001947447</t>
  </si>
  <si>
    <t>lgatbun3</t>
  </si>
  <si>
    <t>Gatbunton,Leandro Nino Macabulos</t>
  </si>
  <si>
    <t>001949865</t>
  </si>
  <si>
    <t>rsalved2</t>
  </si>
  <si>
    <t>Salvedia,Roselyn Bulacja</t>
  </si>
  <si>
    <t>001950578</t>
  </si>
  <si>
    <t>kflordel</t>
  </si>
  <si>
    <t>Flordeliz,Korby Palima</t>
  </si>
  <si>
    <t>001958859</t>
  </si>
  <si>
    <t>clope194</t>
  </si>
  <si>
    <t>Lopez,Charito Viojan</t>
  </si>
  <si>
    <t>001958871</t>
  </si>
  <si>
    <t>jtrinita</t>
  </si>
  <si>
    <t>001958881</t>
  </si>
  <si>
    <t>pberna15</t>
  </si>
  <si>
    <t>Bernardez,Paolo Angelo Claveria</t>
  </si>
  <si>
    <t>001958905</t>
  </si>
  <si>
    <t>dbrioso1</t>
  </si>
  <si>
    <t>Brioso,Denisse Rosero</t>
  </si>
  <si>
    <t>001958931</t>
  </si>
  <si>
    <t>jpelica1</t>
  </si>
  <si>
    <t>Pelicano,Janjejoyce Alvez</t>
  </si>
  <si>
    <t>001958944</t>
  </si>
  <si>
    <t>lpangani</t>
  </si>
  <si>
    <t>001959866</t>
  </si>
  <si>
    <t>ccatubi2</t>
  </si>
  <si>
    <t>Catubigan,Carmelita Cageta</t>
  </si>
  <si>
    <t>001959872</t>
  </si>
  <si>
    <t>ecamua</t>
  </si>
  <si>
    <t>Camua,Elijah Roi Enriquez</t>
  </si>
  <si>
    <t>001964635</t>
  </si>
  <si>
    <t>etasarra</t>
  </si>
  <si>
    <t>Tasarra,Edward Joseph Sumaylo</t>
  </si>
  <si>
    <t>001991437</t>
  </si>
  <si>
    <t>jlagare1</t>
  </si>
  <si>
    <t>002109611</t>
  </si>
  <si>
    <t>mlegista</t>
  </si>
  <si>
    <t>Legista,Marycel Abastillas</t>
  </si>
  <si>
    <t>002109619</t>
  </si>
  <si>
    <t>hlandan</t>
  </si>
  <si>
    <t>Landan,Hans Mattew Ronco</t>
  </si>
  <si>
    <t>002109623</t>
  </si>
  <si>
    <t>eflor102</t>
  </si>
  <si>
    <t>Flores,Ezra Marie Padilla</t>
  </si>
  <si>
    <t>002109624</t>
  </si>
  <si>
    <t>sobias</t>
  </si>
  <si>
    <t>Obias,Shaina Angelica Castro</t>
  </si>
  <si>
    <t>002109629</t>
  </si>
  <si>
    <t>jmicael1</t>
  </si>
  <si>
    <t>Micael,Jonathan'C Fabular</t>
  </si>
  <si>
    <t>002109679</t>
  </si>
  <si>
    <t>nbacals1</t>
  </si>
  <si>
    <t>Bacalso,Noemie Cruz</t>
  </si>
  <si>
    <t>002109749</t>
  </si>
  <si>
    <t>amacara7</t>
  </si>
  <si>
    <t>Macaraig,Avon Grace Jimenez</t>
  </si>
  <si>
    <t>002109782</t>
  </si>
  <si>
    <t>afern150</t>
  </si>
  <si>
    <t>Fernandez,Anaquin Rose Reyes</t>
  </si>
  <si>
    <t>002111583</t>
  </si>
  <si>
    <t>psenar</t>
  </si>
  <si>
    <t>Señar,Pinky Bribon</t>
  </si>
  <si>
    <t>002111586</t>
  </si>
  <si>
    <t>tlirit</t>
  </si>
  <si>
    <t>Lirit,Timothy James Ho</t>
  </si>
  <si>
    <t>002111614</t>
  </si>
  <si>
    <t>pcalma2</t>
  </si>
  <si>
    <t>Calma,Princess Pelipada</t>
  </si>
  <si>
    <t>002111615</t>
  </si>
  <si>
    <t>mazul2</t>
  </si>
  <si>
    <t>Azul,Maria Hannah Apacible</t>
  </si>
  <si>
    <t>002116291</t>
  </si>
  <si>
    <t>eocamp10</t>
  </si>
  <si>
    <t>002116323</t>
  </si>
  <si>
    <t>nlogmao</t>
  </si>
  <si>
    <t>002116345</t>
  </si>
  <si>
    <t>csandie1</t>
  </si>
  <si>
    <t>San Diego,Charisse Mayo</t>
  </si>
  <si>
    <t>002116392</t>
  </si>
  <si>
    <t>cbelen4</t>
  </si>
  <si>
    <t>Belen,Carmella Silva</t>
  </si>
  <si>
    <t>002116397</t>
  </si>
  <si>
    <t>ireyes33</t>
  </si>
  <si>
    <t>Reyes,Ivy Ciara Aquino</t>
  </si>
  <si>
    <t>002120771</t>
  </si>
  <si>
    <t>jumali23</t>
  </si>
  <si>
    <t>Umali,Jeffry Talampas</t>
  </si>
  <si>
    <t>002120785</t>
  </si>
  <si>
    <t>emacalma</t>
  </si>
  <si>
    <t>Macalma,Elmar John Jazmin</t>
  </si>
  <si>
    <t>002121190</t>
  </si>
  <si>
    <t>rampulle</t>
  </si>
  <si>
    <t>Ampuller,Ronnel Gaitan</t>
  </si>
  <si>
    <t>002122475</t>
  </si>
  <si>
    <t>lpadua3</t>
  </si>
  <si>
    <t>Padua,Lanie Lentija</t>
  </si>
  <si>
    <t>002122476</t>
  </si>
  <si>
    <t>jsant192</t>
  </si>
  <si>
    <t>hongjoco</t>
  </si>
  <si>
    <t>002122624</t>
  </si>
  <si>
    <t>lsanto54</t>
  </si>
  <si>
    <t>Santos,Lorenzo Mari Quijano</t>
  </si>
  <si>
    <t>002122650</t>
  </si>
  <si>
    <t>grelon</t>
  </si>
  <si>
    <t>002123281</t>
  </si>
  <si>
    <t>nsuare20</t>
  </si>
  <si>
    <t>Suarez,Nazerene Quinto</t>
  </si>
  <si>
    <t>002123350</t>
  </si>
  <si>
    <t>ndungo</t>
  </si>
  <si>
    <t>Dungo,Niño Salazar</t>
  </si>
  <si>
    <t>002133436</t>
  </si>
  <si>
    <t>jallord1</t>
  </si>
  <si>
    <t>Allorde,Jose Francisco Sustituido</t>
  </si>
  <si>
    <t>Alyana Marie Jose Dela Cruz</t>
  </si>
  <si>
    <t>002133437</t>
  </si>
  <si>
    <t>cong9</t>
  </si>
  <si>
    <t>Ong,Charles Benedict Garces</t>
  </si>
  <si>
    <t>002133438</t>
  </si>
  <si>
    <t>abogayao</t>
  </si>
  <si>
    <t>Bogayao,Anjie Valzado</t>
  </si>
  <si>
    <t>002133442</t>
  </si>
  <si>
    <t>egatcha2</t>
  </si>
  <si>
    <t>002133444</t>
  </si>
  <si>
    <t>arondin4</t>
  </si>
  <si>
    <t>Rondina,Angelica Gabieta</t>
  </si>
  <si>
    <t>002133445</t>
  </si>
  <si>
    <t>mmengot3</t>
  </si>
  <si>
    <t>002133446</t>
  </si>
  <si>
    <t>lbiagtas</t>
  </si>
  <si>
    <t>Biagtas,Lilet Estigoy</t>
  </si>
  <si>
    <t>002133451</t>
  </si>
  <si>
    <t>jmanue47</t>
  </si>
  <si>
    <t>Manuel,Jose Jason Merioles</t>
  </si>
  <si>
    <t>002133455</t>
  </si>
  <si>
    <t>rnapay</t>
  </si>
  <si>
    <t>002133457</t>
  </si>
  <si>
    <t>mtabuzo2</t>
  </si>
  <si>
    <t>Tabuzo,Ma Sofia Lorraine Yuga</t>
  </si>
  <si>
    <t>002133805</t>
  </si>
  <si>
    <t>bama</t>
  </si>
  <si>
    <t>Ama,Brent Bryant Formeloza</t>
  </si>
  <si>
    <t>002133816</t>
  </si>
  <si>
    <t>emeteoro</t>
  </si>
  <si>
    <t>Meteoro,Emily Doctor</t>
  </si>
  <si>
    <t>002133821</t>
  </si>
  <si>
    <t>pgarci96</t>
  </si>
  <si>
    <t>Garcia,Pauline Gacosta</t>
  </si>
  <si>
    <t>002133849</t>
  </si>
  <si>
    <t>ibajande</t>
  </si>
  <si>
    <t>Bajande,Ivy Ann Barcenas</t>
  </si>
  <si>
    <t>002160029</t>
  </si>
  <si>
    <t>ccatayas</t>
  </si>
  <si>
    <t>Catayas,Cristel Ann Nodesca</t>
  </si>
  <si>
    <t>002243195</t>
  </si>
  <si>
    <t>jribo1</t>
  </si>
  <si>
    <t>Ribo,Josepha Minel Teves</t>
  </si>
  <si>
    <t>002243209</t>
  </si>
  <si>
    <t>kbaculpo</t>
  </si>
  <si>
    <t>Baculpo,Krishia Rein Allaraiz</t>
  </si>
  <si>
    <t>002243210</t>
  </si>
  <si>
    <t>ksilves5</t>
  </si>
  <si>
    <t>Silvestre,Khate Rigo</t>
  </si>
  <si>
    <t>002243222</t>
  </si>
  <si>
    <t>jlauret3</t>
  </si>
  <si>
    <t>Laureta,Jaicel Tubig</t>
  </si>
  <si>
    <t>002243223</t>
  </si>
  <si>
    <t>jjamandr</t>
  </si>
  <si>
    <t>Jamandron,Jaryd Mariano</t>
  </si>
  <si>
    <t>002243226</t>
  </si>
  <si>
    <t>jcatuba3</t>
  </si>
  <si>
    <t>Catubay,Jiro Jon Camaso</t>
  </si>
  <si>
    <t>002243231</t>
  </si>
  <si>
    <t>mmuril25</t>
  </si>
  <si>
    <t>Murillo,Marc Christoffer Guday</t>
  </si>
  <si>
    <t>002243232</t>
  </si>
  <si>
    <t>jtoled29</t>
  </si>
  <si>
    <t>Toledo,Junior Abraham Iii Acero</t>
  </si>
  <si>
    <t>002243233</t>
  </si>
  <si>
    <t>jalmodi3</t>
  </si>
  <si>
    <t>Almodiel,John Christian Cataluña</t>
  </si>
  <si>
    <t>002243236</t>
  </si>
  <si>
    <t>slocsin1</t>
  </si>
  <si>
    <t>Locsin,Sheena</t>
  </si>
  <si>
    <t>002243238</t>
  </si>
  <si>
    <t>aresulla</t>
  </si>
  <si>
    <t>Resullar,Arvie Klade Arfapo</t>
  </si>
  <si>
    <t>002243241</t>
  </si>
  <si>
    <t>hungab</t>
  </si>
  <si>
    <t>Ungab,Hazel Valencia</t>
  </si>
  <si>
    <t>002243245</t>
  </si>
  <si>
    <t>lbarona1</t>
  </si>
  <si>
    <t>Baroña,Lady Glennise Maristela</t>
  </si>
  <si>
    <t>002243253</t>
  </si>
  <si>
    <t>bginn1</t>
  </si>
  <si>
    <t>Ginn,Brian Philip Orbeso</t>
  </si>
  <si>
    <t>002244740</t>
  </si>
  <si>
    <t>edacutan</t>
  </si>
  <si>
    <t>Dacutan,Erick John Somera</t>
  </si>
  <si>
    <t>002244749</t>
  </si>
  <si>
    <t>syu15</t>
  </si>
  <si>
    <t>Yu,Samantha Joyce Tumbali</t>
  </si>
  <si>
    <t>002244760</t>
  </si>
  <si>
    <t>jdela204</t>
  </si>
  <si>
    <t>Delacruz,Jacques Mikhail Obstaculo</t>
  </si>
  <si>
    <t>002247367</t>
  </si>
  <si>
    <t>egela</t>
  </si>
  <si>
    <t>Gela,Eunice Brillantes</t>
  </si>
  <si>
    <t>002247371</t>
  </si>
  <si>
    <t>ndelac32</t>
  </si>
  <si>
    <t>Dela Cruz,Nelson Victorio</t>
  </si>
  <si>
    <t>002247372</t>
  </si>
  <si>
    <t>bseatri1</t>
  </si>
  <si>
    <t>Seatriz,Ben Israel Ramos</t>
  </si>
  <si>
    <t>002247380</t>
  </si>
  <si>
    <t>amanue24</t>
  </si>
  <si>
    <t>Manuel,Aldrin Nugas</t>
  </si>
  <si>
    <t>002247404</t>
  </si>
  <si>
    <t>csapung1</t>
  </si>
  <si>
    <t>Sapungan,Cherry Ann Gerbabuena</t>
  </si>
  <si>
    <t>002247405</t>
  </si>
  <si>
    <t>lmasanqu</t>
  </si>
  <si>
    <t>Masanque,Lina Jasmin Ferreras</t>
  </si>
  <si>
    <t>002247420</t>
  </si>
  <si>
    <t>kcatamco</t>
  </si>
  <si>
    <t>Catamco,Kc Bagalanon</t>
  </si>
  <si>
    <t>002247421</t>
  </si>
  <si>
    <t>esoria25</t>
  </si>
  <si>
    <t>Soriano,Ericka Mae</t>
  </si>
  <si>
    <t>002250907</t>
  </si>
  <si>
    <t>dgo6</t>
  </si>
  <si>
    <t>Go,Dean Matthew</t>
  </si>
  <si>
    <t>002250910</t>
  </si>
  <si>
    <t>amahina4</t>
  </si>
  <si>
    <t>Mahinay,Arianne Inez Sabayo</t>
  </si>
  <si>
    <t>002250911</t>
  </si>
  <si>
    <t>cromer87</t>
  </si>
  <si>
    <t>Romero,Chelsea Ann</t>
  </si>
  <si>
    <t>002250913</t>
  </si>
  <si>
    <t>scostal1</t>
  </si>
  <si>
    <t>Costales,Sean Jed Bituaran</t>
  </si>
  <si>
    <t>002250925</t>
  </si>
  <si>
    <t>klinaza</t>
  </si>
  <si>
    <t>Linaza,Kimmy Jane Evangelio</t>
  </si>
  <si>
    <t>002250928</t>
  </si>
  <si>
    <t>jumalla1</t>
  </si>
  <si>
    <t>Umalla,Julie Valeros</t>
  </si>
  <si>
    <t>002250934</t>
  </si>
  <si>
    <t>hcarino</t>
  </si>
  <si>
    <t>Cariño,Harley Rosaldo</t>
  </si>
  <si>
    <t>002250947</t>
  </si>
  <si>
    <t>amaurill</t>
  </si>
  <si>
    <t>Maurillo,Ariane Denise Peñada</t>
  </si>
  <si>
    <t>002250954</t>
  </si>
  <si>
    <t>mcemane1</t>
  </si>
  <si>
    <t>Cemanes,Mercy Ann Caylao</t>
  </si>
  <si>
    <t>002250957</t>
  </si>
  <si>
    <t>jbeltr46</t>
  </si>
  <si>
    <t>Beltran,James Patrick Canceran</t>
  </si>
  <si>
    <t>002258005</t>
  </si>
  <si>
    <t>amanaba3</t>
  </si>
  <si>
    <t>Manabat,Aubrey Serojano</t>
  </si>
  <si>
    <t>002258006</t>
  </si>
  <si>
    <t>pcalizar</t>
  </si>
  <si>
    <t>Calizar,Princess Vitalicio</t>
  </si>
  <si>
    <t>002258009</t>
  </si>
  <si>
    <t>emayoral</t>
  </si>
  <si>
    <t>Mayoralgo,Erik John</t>
  </si>
  <si>
    <t>002258010</t>
  </si>
  <si>
    <t>ccatalu1</t>
  </si>
  <si>
    <t>Cataluna,Casciusclay Gigawin</t>
  </si>
  <si>
    <t>002258011</t>
  </si>
  <si>
    <t>cramo113</t>
  </si>
  <si>
    <t>Ramos,Chester Irvin Bautista</t>
  </si>
  <si>
    <t>002258018</t>
  </si>
  <si>
    <t>cgayola</t>
  </si>
  <si>
    <t>Gayola,Cristy Tupas</t>
  </si>
  <si>
    <t>002258019</t>
  </si>
  <si>
    <t>xtulbe</t>
  </si>
  <si>
    <t>Tulbe,Xyrina Geneve Casi</t>
  </si>
  <si>
    <t>002258020</t>
  </si>
  <si>
    <t>lyurong</t>
  </si>
  <si>
    <t>Yurong,Lovely Faith Ememenci</t>
  </si>
  <si>
    <t>002258026</t>
  </si>
  <si>
    <t>facol</t>
  </si>
  <si>
    <t>Acol,Francis Menzon</t>
  </si>
  <si>
    <t>002258037</t>
  </si>
  <si>
    <t>abato2</t>
  </si>
  <si>
    <t>Bato,Arnel Sulatorio</t>
  </si>
  <si>
    <t>002258045</t>
  </si>
  <si>
    <t>jabanta2</t>
  </si>
  <si>
    <t>Abantao,Julius Queno</t>
  </si>
  <si>
    <t>002258048</t>
  </si>
  <si>
    <t>ijoson</t>
  </si>
  <si>
    <t>Joson,Irish Shayne Abendaño</t>
  </si>
  <si>
    <t>002258056</t>
  </si>
  <si>
    <t>rintes</t>
  </si>
  <si>
    <t>Intes,Raffy Rubio</t>
  </si>
  <si>
    <t>002258066</t>
  </si>
  <si>
    <t>cfabie</t>
  </si>
  <si>
    <t>Fabie,Camille Ann Maybituin</t>
  </si>
  <si>
    <t>002258073</t>
  </si>
  <si>
    <t>fdayola</t>
  </si>
  <si>
    <t>Dayola Jr,Feliciano Samson</t>
  </si>
  <si>
    <t>002258074</t>
  </si>
  <si>
    <t>jcarisma</t>
  </si>
  <si>
    <t>Carisma,Jeffrey Capiral</t>
  </si>
  <si>
    <t>002258526</t>
  </si>
  <si>
    <t>fbihag</t>
  </si>
  <si>
    <t>Bihag,Floriebel Dellona</t>
  </si>
  <si>
    <t>002258529</t>
  </si>
  <si>
    <t>jtejad14</t>
  </si>
  <si>
    <t>Tejada,Jan Jaycle Javillonar</t>
  </si>
  <si>
    <t>002258531</t>
  </si>
  <si>
    <t>dalva1</t>
  </si>
  <si>
    <t>Alva,Daphnie Joy Ferrer</t>
  </si>
  <si>
    <t>002258553</t>
  </si>
  <si>
    <t>rbase</t>
  </si>
  <si>
    <t>Base,Rachel Mae Mabini</t>
  </si>
  <si>
    <t>002258568</t>
  </si>
  <si>
    <t>jyodico</t>
  </si>
  <si>
    <t>Yodico,Jobert Tercio</t>
  </si>
  <si>
    <t>002259996</t>
  </si>
  <si>
    <t>ajamoos</t>
  </si>
  <si>
    <t>Jamoos,Anisah Syquimsiam</t>
  </si>
  <si>
    <t>002260126</t>
  </si>
  <si>
    <t>jzuluet2</t>
  </si>
  <si>
    <t>Zulueta,Juan Miguel Golpirica</t>
  </si>
  <si>
    <t>002260189</t>
  </si>
  <si>
    <t>ccubill2</t>
  </si>
  <si>
    <t>Cubillas,Chenne Biazon</t>
  </si>
  <si>
    <t>002260194</t>
  </si>
  <si>
    <t>ccaunca</t>
  </si>
  <si>
    <t>Caunca,Claudine Kaye Guillermo</t>
  </si>
  <si>
    <t>002260206</t>
  </si>
  <si>
    <t>nlumala1</t>
  </si>
  <si>
    <t>Lumalang,Nadine May Guevarra</t>
  </si>
  <si>
    <t>002260209</t>
  </si>
  <si>
    <t>mtorlao</t>
  </si>
  <si>
    <t>Torlao,Maria Rowena</t>
  </si>
  <si>
    <t>002260219</t>
  </si>
  <si>
    <t>mmama</t>
  </si>
  <si>
    <t>Mama,Monisah Cacasi</t>
  </si>
  <si>
    <t>002260231</t>
  </si>
  <si>
    <t>jdasig</t>
  </si>
  <si>
    <t>Dasig,John Anthony Gabia</t>
  </si>
  <si>
    <t>002262572</t>
  </si>
  <si>
    <t>scoritan</t>
  </si>
  <si>
    <t>Coritana,Samuel Sierra</t>
  </si>
  <si>
    <t>002262576</t>
  </si>
  <si>
    <t>rlumabao</t>
  </si>
  <si>
    <t>Lumabao,Rein Amyl Montanez</t>
  </si>
  <si>
    <t>002280853</t>
  </si>
  <si>
    <t>ctabita</t>
  </si>
  <si>
    <t>Tabita,Czarina Manuel</t>
  </si>
  <si>
    <t>002280854</t>
  </si>
  <si>
    <t>hbravant</t>
  </si>
  <si>
    <t>Bravante,Hazel Anne Regunay</t>
  </si>
  <si>
    <t>002280861</t>
  </si>
  <si>
    <t>mcarill9</t>
  </si>
  <si>
    <t>Carillo,Mearijen Ganola</t>
  </si>
  <si>
    <t>002280863</t>
  </si>
  <si>
    <t>fbacsal</t>
  </si>
  <si>
    <t>Bacsal Jr,Fitsgerald Cabilin</t>
  </si>
  <si>
    <t>002280873</t>
  </si>
  <si>
    <t>ftadaya</t>
  </si>
  <si>
    <t>Tadaya,Frederic Palongpong</t>
  </si>
  <si>
    <t>002280878</t>
  </si>
  <si>
    <t>eaustri3</t>
  </si>
  <si>
    <t>Austria,Effie Galang</t>
  </si>
  <si>
    <t>002280893</t>
  </si>
  <si>
    <t>jcorpu25</t>
  </si>
  <si>
    <t>Corpuz,Jem Nicole Escabel</t>
  </si>
  <si>
    <t>002280901</t>
  </si>
  <si>
    <t>eolpenda</t>
  </si>
  <si>
    <t>Olpenda,Erah Marie Padernal</t>
  </si>
  <si>
    <t>002280902</t>
  </si>
  <si>
    <t>edabalos</t>
  </si>
  <si>
    <t>Dabalos,Ella Mae Sequito</t>
  </si>
  <si>
    <t>002280903</t>
  </si>
  <si>
    <t>aagui119</t>
  </si>
  <si>
    <t>Aguilar,Arnel Olarte</t>
  </si>
  <si>
    <t>002281274</t>
  </si>
  <si>
    <t>tcandel2</t>
  </si>
  <si>
    <t>Candelaria,Tyronne Tillain</t>
  </si>
  <si>
    <t>002281572</t>
  </si>
  <si>
    <t>froque3</t>
  </si>
  <si>
    <t>Roque,Francis Anthony Jacobe</t>
  </si>
  <si>
    <t>002281785</t>
  </si>
  <si>
    <t>lpedimon</t>
  </si>
  <si>
    <t>Pedimonte,Leonard Auxillo</t>
  </si>
  <si>
    <t>002281997</t>
  </si>
  <si>
    <t>droces</t>
  </si>
  <si>
    <t>Roces,Diana Abia</t>
  </si>
  <si>
    <t>002282018</t>
  </si>
  <si>
    <t>eazul</t>
  </si>
  <si>
    <t>Azul,Erbie Rowin Alarcos</t>
  </si>
  <si>
    <t>002282019</t>
  </si>
  <si>
    <t>asepe3</t>
  </si>
  <si>
    <t>Sepe,Amir Batistis</t>
  </si>
  <si>
    <t>002282037</t>
  </si>
  <si>
    <t>wpecson</t>
  </si>
  <si>
    <t>Pecson,Warren Dela Cruz</t>
  </si>
  <si>
    <t>002282068</t>
  </si>
  <si>
    <t>aalzaga</t>
  </si>
  <si>
    <t>Alzaga,Abigael Alano</t>
  </si>
  <si>
    <t>002282116</t>
  </si>
  <si>
    <t>arelano</t>
  </si>
  <si>
    <t>Relano,Abimael Soliman</t>
  </si>
  <si>
    <t>002282123</t>
  </si>
  <si>
    <t>jtangla1</t>
  </si>
  <si>
    <t>Tanglao,Jaycee Fernando</t>
  </si>
  <si>
    <t>002282129</t>
  </si>
  <si>
    <t>rramo173</t>
  </si>
  <si>
    <t>Ramos,Ruth Marionne Dalut</t>
  </si>
  <si>
    <t>002282130</t>
  </si>
  <si>
    <t>ccasoco</t>
  </si>
  <si>
    <t>Casoco,Carlito Trinidad</t>
  </si>
  <si>
    <t>002282131</t>
  </si>
  <si>
    <t>kveron</t>
  </si>
  <si>
    <t>Veron,Kent Romeo Theryz Perce</t>
  </si>
  <si>
    <t>002282139</t>
  </si>
  <si>
    <t>gsangil</t>
  </si>
  <si>
    <t>Sangil Jr,Gaudencio Abeleda</t>
  </si>
  <si>
    <t>002282142</t>
  </si>
  <si>
    <t>aadrian5</t>
  </si>
  <si>
    <t>Adriano,Anthony Floresca</t>
  </si>
  <si>
    <t>002282540</t>
  </si>
  <si>
    <t>lmoral85</t>
  </si>
  <si>
    <t>Morales,Lendy Ochate</t>
  </si>
  <si>
    <t>002282550</t>
  </si>
  <si>
    <t>wsulayao</t>
  </si>
  <si>
    <t>Sulayao,Windy Homyao</t>
  </si>
  <si>
    <t>002282551</t>
  </si>
  <si>
    <t>egonz270</t>
  </si>
  <si>
    <t>Gonzales,Elyon Roi Ordonio</t>
  </si>
  <si>
    <t>002282954</t>
  </si>
  <si>
    <t>jpaule1</t>
  </si>
  <si>
    <t>Paule,John Melvin Manansala</t>
  </si>
  <si>
    <t>002282987</t>
  </si>
  <si>
    <t>cfern108</t>
  </si>
  <si>
    <t>Fernando,Catherine Pilar Wolfe</t>
  </si>
  <si>
    <t>002283016</t>
  </si>
  <si>
    <t>cmalina5</t>
  </si>
  <si>
    <t>Malinao Jr,Charman Macapua</t>
  </si>
  <si>
    <t>002283408</t>
  </si>
  <si>
    <t>ctolen23</t>
  </si>
  <si>
    <t>Tolentino,Christopher Pronuevo</t>
  </si>
  <si>
    <t>002283868</t>
  </si>
  <si>
    <t>jquides2</t>
  </si>
  <si>
    <t>Quides,Jeriel Joy Del Mar</t>
  </si>
  <si>
    <t>002284243</t>
  </si>
  <si>
    <t>mbonifa9</t>
  </si>
  <si>
    <t>Bonifacio,Melanie Gadia</t>
  </si>
  <si>
    <t>002116332</t>
  </si>
  <si>
    <t>mcome</t>
  </si>
  <si>
    <t>Come,Martin Cultivo</t>
  </si>
  <si>
    <t>002123241</t>
  </si>
  <si>
    <t>jagui103</t>
  </si>
  <si>
    <t>Aguilar,Jaen Mikhail Lopez</t>
  </si>
  <si>
    <t>001748672</t>
  </si>
  <si>
    <t>eono</t>
  </si>
  <si>
    <t>Ono,Emmy Yukiko Villamor</t>
  </si>
  <si>
    <t>Date</t>
  </si>
  <si>
    <t>Auditor</t>
  </si>
  <si>
    <t>Case/INQ</t>
  </si>
  <si>
    <t>QA Score</t>
  </si>
  <si>
    <t>(All)</t>
  </si>
  <si>
    <t>Month</t>
  </si>
  <si>
    <t>December</t>
  </si>
  <si>
    <t>January</t>
  </si>
  <si>
    <t>February</t>
  </si>
  <si>
    <t>March</t>
  </si>
  <si>
    <t>April</t>
  </si>
  <si>
    <t>May</t>
  </si>
  <si>
    <t>June</t>
  </si>
  <si>
    <t>July</t>
  </si>
  <si>
    <t>August</t>
  </si>
  <si>
    <t>September</t>
  </si>
  <si>
    <t>October</t>
  </si>
  <si>
    <t>November</t>
  </si>
  <si>
    <t>Dacanay, Paolo</t>
  </si>
  <si>
    <t>Grand Total</t>
  </si>
  <si>
    <t>Row Labels</t>
  </si>
  <si>
    <t>Count of Case/INQ</t>
  </si>
  <si>
    <t>Values</t>
  </si>
  <si>
    <t>Documentation</t>
  </si>
  <si>
    <t xml:space="preserve"> Agent did not confirm the caller's needs that was already stated</t>
  </si>
  <si>
    <t xml:space="preserve"> Merge Decision - Agent did not evaluate and compare the information from the original pending case to the current case when presented with final case duplicates for merging</t>
  </si>
  <si>
    <t xml:space="preserve"> The agent did not avoid using terms of endearment when addressing the caller (e.g., honey, dear).</t>
  </si>
  <si>
    <t xml:space="preserve"> Agent did not utilize available resources to research the member’s concerns (i.e. Corr letter, Case Notes, Plan Contacts, Claim History, FLU/INET)</t>
  </si>
  <si>
    <t xml:space="preserve"> Agent did not verify whom they are speaking to</t>
  </si>
  <si>
    <t xml:space="preserve"> Agent did not obtain Caller's callback number.</t>
  </si>
  <si>
    <t xml:space="preserve"> Agent did not obtain member's dob</t>
  </si>
  <si>
    <t xml:space="preserve"> Agent did not ask for a third identifier if member ID is not available</t>
  </si>
  <si>
    <t xml:space="preserve"> Agent did not obtain provider's last name</t>
  </si>
  <si>
    <t xml:space="preserve"> Agent did not obtain provider's NPI</t>
  </si>
  <si>
    <t xml:space="preserve"> Agent did not authenticate office phone number</t>
  </si>
  <si>
    <t xml:space="preserve"> Agent did not authenticate office fax number</t>
  </si>
  <si>
    <t xml:space="preserve"> Agent did not obtain pharmacy name</t>
  </si>
  <si>
    <t xml:space="preserve"> Agent did not use the mute button when placing the caller on silent hold</t>
  </si>
  <si>
    <t xml:space="preserve"> Agent placed the caller on hold at the start of the call.</t>
  </si>
  <si>
    <t xml:space="preserve"> For internal transfers, agent did not provide the name and number (if available) of the department the caller is being transferred to, and for external Provide the name and number of the department caller is being transferred to.</t>
  </si>
  <si>
    <t xml:space="preserve"> Agent did not warm and cold transfer according to current policy. </t>
  </si>
  <si>
    <t xml:space="preserve"> The agent uses courtesy words/phrases (PIR).</t>
  </si>
  <si>
    <t xml:space="preserve"> Agent did not provide their name/department</t>
  </si>
  <si>
    <t xml:space="preserve"> Agent did not obtain the name of the caller</t>
  </si>
  <si>
    <t xml:space="preserve"> Member PHI was inappropriately provided to third party caller</t>
  </si>
  <si>
    <t xml:space="preserve"> Agent did not obtain member's first and last name</t>
  </si>
  <si>
    <t xml:space="preserve"> Agent did not obtain Caller's Location, if not member (e.g., MDO, LTC, Hospice).</t>
  </si>
  <si>
    <t xml:space="preserve"> Agent did not utilize scripting for auto-pop information</t>
  </si>
  <si>
    <t xml:space="preserve"> Agent did not authenticate the provider information</t>
  </si>
  <si>
    <t xml:space="preserve"> Agent did not obtain pharmacy NPI or NABP number</t>
  </si>
  <si>
    <t xml:space="preserve"> Agent did not ask if caller is from a "dispensing pharmacy"</t>
  </si>
  <si>
    <t xml:space="preserve"> Agent did not follow member authentication protocol when accessing the member's account is required</t>
  </si>
  <si>
    <t xml:space="preserve"> Agent did not change the caller type to provider or pharmacy as needed and follow the applicable authentication process per caller type</t>
  </si>
  <si>
    <t xml:space="preserve"> Agent did not ask the transition question if case populate in member case history</t>
  </si>
  <si>
    <t xml:space="preserve"> Agent did not ask the transition question if case populate in member case history if case do not populate in member case history</t>
  </si>
  <si>
    <t xml:space="preserve"> Agent did not select the correct member account Note: If the member has multiple accounts</t>
  </si>
  <si>
    <t xml:space="preserve"> Agent failed to recognize that the account is handled by a dedicated team, did not transfer the call appropriately</t>
  </si>
  <si>
    <t xml:space="preserve"> Agent did not leverage the Identify Provider and Drug and/or Pharmacy from Member Claims to identify the provider, target drug, and pharmacy.</t>
  </si>
  <si>
    <t xml:space="preserve"> Agent did not pull up the case history and provide the correct status of case for the target drug</t>
  </si>
  <si>
    <t xml:space="preserve"> New PA request- The agent did not educate the caller on the availability of an ePA once determined that a PA is required</t>
  </si>
  <si>
    <t xml:space="preserve"> Denied Status Checks - The agent did not inform the caller of the appeals information from the denial correspondence as well as client-specific appeals process information</t>
  </si>
  <si>
    <t xml:space="preserve"> Approved Status Checks - The agent did not inform the caller of the approval duration; The agent did not troubleshoot the authorization to get a paid claim</t>
  </si>
  <si>
    <t xml:space="preserve"> Pending Status Checks - The agent did not inform the caller Quoted TAT, status of the pending case, and document any additional information when provided; The agent did not correctly update the urgency on a pending case, if requested.</t>
  </si>
  <si>
    <t xml:space="preserve"> Miscellaneous - The agent did not resend correspondence(s) when requested.; The agent did not assist the caller by providing formulary alternatives, via Formulary Lookup, the trial claim, denial correspondence, etc. when appropriate</t>
  </si>
  <si>
    <t xml:space="preserve"> Agent did not select the most appropriate dropdown options as a starting point to document the actions taken during the call</t>
  </si>
  <si>
    <t xml:space="preserve"> Agent did not revise the guided verbiage as needed</t>
  </si>
  <si>
    <t xml:space="preserve"> Agent should not cancel the phone request when the drug product and formulation has been validated; Agent did not continue with the PA phone request when the call drops after drug product and formulation have been entered</t>
  </si>
  <si>
    <t xml:space="preserve"> Agent did not ensure brand versus generic request; did not correct the error and reenter the drug product</t>
  </si>
  <si>
    <t xml:space="preserve"> Agent did not enter case detail according to the caller's request (e.g. selecting cost reduction)</t>
  </si>
  <si>
    <t xml:space="preserve"> Agent did not document any additional information outside of the clinical guidelines within the additional notes textbox</t>
  </si>
  <si>
    <t xml:space="preserve"> Agent did not guide unprepared caller through the other options in submitting a PA (e.g. ePA key, pend to clinician by answering the medical record clinical guideline questions unfavorably)</t>
  </si>
  <si>
    <t xml:space="preserve"> Agent did not identify the discrepancy and guide the caller to resolve it via updating the guideline answer or resubmitting the dispensed quantity/day supply using Retry trial claim, this applies to callers who gives inconsistent answers to QL questions</t>
  </si>
  <si>
    <t xml:space="preserve"> Agent did not convert ICD code when only ICD code is provided and did not select the correct answer</t>
  </si>
  <si>
    <t xml:space="preserve"> The agent did not ensure caller satisfaction by asking if additional assistance is needed</t>
  </si>
  <si>
    <t xml:space="preserve"> The agent did not offers/Mention the survey</t>
  </si>
  <si>
    <t xml:space="preserve"> The agent did not the brand the call and thank the caller:</t>
  </si>
  <si>
    <t xml:space="preserve"> Agent did not requests permission from the caller before placing them on hold.</t>
  </si>
  <si>
    <t xml:space="preserve"> Agent did not thank the caller for holding upon returning to the caller.</t>
  </si>
  <si>
    <t xml:space="preserve"> Exceeded Limit of five seconds before the greeting of the call.</t>
  </si>
  <si>
    <t xml:space="preserve"> Exceeded Limit of twenty seconds of unannounced silence.</t>
  </si>
  <si>
    <t xml:space="preserve"> Exceeded Limit of fifty seconds of announced silence.</t>
  </si>
  <si>
    <t xml:space="preserve"> Explain the reason/need to transfer the caller.</t>
  </si>
  <si>
    <t xml:space="preserve"> Gain permission from the caller to transfer.</t>
  </si>
  <si>
    <t xml:space="preserve"> The agent will did not speak clearly without mumbling, using jargon, or slang.</t>
  </si>
  <si>
    <t xml:space="preserve"> The agent did not adapt to the caller’s needs through the pace of their speech and the volume of their voice, as appropriate.</t>
  </si>
  <si>
    <t xml:space="preserve"> The agent did not use appropriate and professional language.</t>
  </si>
  <si>
    <t xml:space="preserve"> Agent did not respond with appropriate phrases to ensure the caller they are actively listening and understanding the caller’s statement/question</t>
  </si>
  <si>
    <t xml:space="preserve"> Agent did not resolve all the caller’s needs to ensure the caller does not call back again. (Demonstrate ownership of the repeat caller issue by resolving all questions, issues, and/or concerns on the call)</t>
  </si>
  <si>
    <t xml:space="preserve"> Agent did not verify case(s) were reviewed properly.</t>
  </si>
  <si>
    <t xml:space="preserve"> Agent did not educate the caller on clinical criteria not met per clinical guidelines based on denial reason</t>
  </si>
  <si>
    <t xml:space="preserve"> The agent will appropriately use the caller’s name at least once during the call outside of caller name verification.</t>
  </si>
  <si>
    <t xml:space="preserve"> The first name may only be used to address clinician, tech, nurse, etc. unless the caller requests the first name be used.</t>
  </si>
  <si>
    <t xml:space="preserve"> The agent will address the caller using their last name and/or appropriate name/title anytime the name is provided by the caller.</t>
  </si>
  <si>
    <t xml:space="preserve"> It is not required to address internal callers by name.</t>
  </si>
  <si>
    <t xml:space="preserve"> The agent uses a tone that is pleasant/helpful (PIR).</t>
  </si>
  <si>
    <t xml:space="preserve"> The agent allows the caller to speak without blatant interruptions.</t>
  </si>
  <si>
    <t xml:space="preserve"> The agent will concede/apologize if they interrupt the caller, accidentally.</t>
  </si>
  <si>
    <t xml:space="preserve"> Agent did not avoid blaming or speaking negatively of OptumRx or company partners.</t>
  </si>
  <si>
    <t xml:space="preserve"> Agent did not promote confidence in the company’s processes when speaking to the caller.</t>
  </si>
  <si>
    <t xml:space="preserve"> If systems are down or latent, the agent did not advise the caller the “system is updating”.</t>
  </si>
  <si>
    <t xml:space="preserve"> Agent spoke negatively of company systems or place blame on systems.</t>
  </si>
  <si>
    <t xml:space="preserve"> Agent did not keep the interaction/conversation of the call on track and avoids using distractive fillers.</t>
  </si>
  <si>
    <t xml:space="preserve"> Incorrect Case Priority</t>
  </si>
  <si>
    <t xml:space="preserve"> Invalid cancellation - Agent did not work and cancel cases in adherence to compliance requirements</t>
  </si>
  <si>
    <t xml:space="preserve"> Case Worked for the Incorrect Member - Agent did not work each case with the correct member account as requested by the caller</t>
  </si>
  <si>
    <t xml:space="preserve"> </t>
  </si>
  <si>
    <t xml:space="preserve"> Agent did not enter quantity and days supply exactly as the caller's intent; Agent did not evaluate the reject in action step; Agent did not use retry trial claim to adjust the dispensed quantity and days supply in proportion to 30 days to drive the appropriate rejects</t>
  </si>
  <si>
    <t xml:space="preserve"> Technician Approv'al or Denial Decision - Agent did not allow the system-driven approval when clinical guidelines are answered favorably; Agent did not enter the appropriate overrides when prompted by the system at the override screen; Agent did not allow the system-driven denial when appropriate</t>
  </si>
  <si>
    <t xml:space="preserve"> Proceed with the Review Decision - Agent did not allow the system to pend for clinician review as appropriate; Agent manipulated answers to force pend the cases without specific direction listed in a job aid or plan specific process; Agent did not use the additional notes field to document pertinent clinical information obtained at the action or guidelines screen.</t>
  </si>
  <si>
    <t xml:space="preserve"> Retry Trial Claim -  Agent did not use the retry trial claim feature to adjust the dispensed quantity and days supply in proportion to 30 days to drive the appropriate rejects; Agent did not change the day supply to 30 days without also recalculating the quantity to 30 days</t>
  </si>
  <si>
    <t xml:space="preserve"> Cancellation Decision - Agent did not use the retry trial claim feature at the guideline screen first before selecting cancel case; Agent changed the intent of the initial trial claim; Agent did not select the correct cancel reason code; A subsequent Medicare case with a denial on file within the appeal window must be evaluated for Forwarding to Appeals</t>
  </si>
  <si>
    <t xml:space="preserve"> Agent did not verify case(s) were reviewed properly</t>
  </si>
  <si>
    <t xml:space="preserve"> The agent did not avoid using terms of endearment when addressing the caller (eg, honey, dear)</t>
  </si>
  <si>
    <t xml:space="preserve"> Agent did not obtain Caller's callback number</t>
  </si>
  <si>
    <t xml:space="preserve"> Agent placed the caller on hold at the start of the call</t>
  </si>
  <si>
    <t xml:space="preserve"> For internal transfers, agent did not provide the name and number (if available) of the department the caller is being transferred to, and for external Provide the name and number of the department caller is being transferred to</t>
  </si>
  <si>
    <t xml:space="preserve"> Agent did not warm and cold transfer according to current policy </t>
  </si>
  <si>
    <t xml:space="preserve"> The agent uses courtesy words/phrases (PIR)</t>
  </si>
  <si>
    <t xml:space="preserve"> Agent did not answer the caller’s questions to build rapport without getting off track</t>
  </si>
  <si>
    <t xml:space="preserve"> Agent did not obtain Caller's Location, if not member (eg, MDO, LTC, Hospice)</t>
  </si>
  <si>
    <t xml:space="preserve"> Agent did not authenticate partial address (eg, street name, street number, city, state)</t>
  </si>
  <si>
    <t xml:space="preserve"> Agent did not leverage the Identify Provider and Drug and/or Pharmacy from Member Claims to identify the provider, target drug, and pharmacy</t>
  </si>
  <si>
    <t xml:space="preserve"> Agent did not requests permission from the caller before placing them on hold</t>
  </si>
  <si>
    <t xml:space="preserve"> Agent did not thank the caller for holding upon returning to the caller</t>
  </si>
  <si>
    <t xml:space="preserve"> Exceeded Limit of five seconds before the greeting of the call</t>
  </si>
  <si>
    <t xml:space="preserve"> Exceeded Limit of twenty seconds of unannounced silence</t>
  </si>
  <si>
    <t xml:space="preserve"> Exceeded Limit of fifty seconds of announced silence</t>
  </si>
  <si>
    <t xml:space="preserve"> Explain the reason/need to transfer the caller</t>
  </si>
  <si>
    <t xml:space="preserve"> Gain permission from the caller to transfer</t>
  </si>
  <si>
    <t xml:space="preserve"> The agent will did not speak clearly without mumbling, using jargon, or slang</t>
  </si>
  <si>
    <t xml:space="preserve"> The agent did not adapt to the caller’s needs through the pace of their speech and the volume of their voice, as appropriate</t>
  </si>
  <si>
    <t xml:space="preserve"> The agent did not use appropriate and professional language</t>
  </si>
  <si>
    <t xml:space="preserve"> The agent will appropriately use the caller’s name at least once during the call outside of caller name verification</t>
  </si>
  <si>
    <t xml:space="preserve"> The first name may only be used to address clinician, tech, nurse, etc unless the caller requests the first name be used</t>
  </si>
  <si>
    <t xml:space="preserve"> The agent will address the caller using their last name and/or appropriate name/title anytime the name is provided by the caller</t>
  </si>
  <si>
    <t xml:space="preserve"> It is not required to address internal callers by name</t>
  </si>
  <si>
    <t xml:space="preserve"> The agent uses a tone that is pleasant/helpful (PIR)</t>
  </si>
  <si>
    <t xml:space="preserve"> The agent allows the caller to speak without blatant interruptions</t>
  </si>
  <si>
    <t xml:space="preserve"> The agent will concede/apologize if they interrupt the caller, accidentally</t>
  </si>
  <si>
    <t xml:space="preserve"> Agent did not avoid blaming or speaking negatively of OptumRx or company partners</t>
  </si>
  <si>
    <t xml:space="preserve"> Agent did not promote confidence in the company’s processes when speaking to the caller</t>
  </si>
  <si>
    <t xml:space="preserve"> If systems are down or latent, the agent did not advise the caller the “system is updating”</t>
  </si>
  <si>
    <t xml:space="preserve"> Agent spoke negatively of company systems or place blame on systems</t>
  </si>
  <si>
    <t xml:space="preserve"> Agent did not keep the interaction/conversation of the call on track and avoids using distractive fillers</t>
  </si>
  <si>
    <t>Average of QA Score</t>
  </si>
  <si>
    <t>jalbes1</t>
  </si>
  <si>
    <t>Albes,Jack Lloyd Enano</t>
  </si>
  <si>
    <t>amatias9</t>
  </si>
  <si>
    <t>Matias,Alberto Lasola</t>
  </si>
  <si>
    <t>mmacara6</t>
  </si>
  <si>
    <t>Macaraeg,Michael Bairan</t>
  </si>
  <si>
    <t>sbalunos</t>
  </si>
  <si>
    <t>Balunos,Shiela Mae Polidario</t>
  </si>
  <si>
    <t>jbasanez</t>
  </si>
  <si>
    <t>Basanez,Jeremiah Velez</t>
  </si>
  <si>
    <t>jgueva63</t>
  </si>
  <si>
    <t>Guevara,Jessica Minoza</t>
  </si>
  <si>
    <t>cvill133</t>
  </si>
  <si>
    <t>Villanueva,Carmina Minorca</t>
  </si>
  <si>
    <t>dlabro1</t>
  </si>
  <si>
    <t>Labro,Dester Alei Bandojo</t>
  </si>
  <si>
    <t>jcaling3</t>
  </si>
  <si>
    <t>Calinga,Jo An Dungog</t>
  </si>
  <si>
    <t>rborcel5</t>
  </si>
  <si>
    <t>Borcelo,Rizalyn Aloroy</t>
  </si>
  <si>
    <t>ipalad</t>
  </si>
  <si>
    <t>Palad,Inah Kirshtine Bernabe</t>
  </si>
  <si>
    <t>jdayrit6</t>
  </si>
  <si>
    <t>Dayrit,Jon Paolo Jao</t>
  </si>
  <si>
    <t>Desiree Rudio</t>
  </si>
  <si>
    <t>Rudio, Desiree</t>
  </si>
  <si>
    <t>Dela Cruz, Alyana Marie</t>
  </si>
  <si>
    <t>INQ-E860611</t>
  </si>
  <si>
    <t>Agent did not validate the correct drug product, drug formulation, direction for use, dispensed quantity and days supply</t>
  </si>
  <si>
    <t xml:space="preserve"> Agent did not validate the correct drug product, drug formulation, direction for use, dispensed quantity and days supply</t>
  </si>
  <si>
    <t>INQ-E896400</t>
  </si>
  <si>
    <t>INQ-E920853</t>
  </si>
  <si>
    <t>INQ-E942381</t>
  </si>
  <si>
    <t>INQ-E938548</t>
  </si>
  <si>
    <t>Commendation</t>
  </si>
  <si>
    <t>`</t>
  </si>
  <si>
    <t>INQ-E895822</t>
  </si>
  <si>
    <t>INQ-E896100</t>
  </si>
  <si>
    <t>INQ-E921924</t>
  </si>
  <si>
    <t>INQ-E922636</t>
  </si>
  <si>
    <t>N/A</t>
  </si>
  <si>
    <t>INQ-E939796</t>
  </si>
  <si>
    <t>INQ-E945758</t>
  </si>
  <si>
    <t>INQ-E970005</t>
  </si>
  <si>
    <t>INQ-E974427</t>
  </si>
  <si>
    <t xml:space="preserve">PA-E2234004 </t>
  </si>
  <si>
    <t>INQ-E999677</t>
  </si>
  <si>
    <t>INQ-F000964</t>
  </si>
  <si>
    <t>INQ-E971669</t>
  </si>
  <si>
    <t>INQ-E996407</t>
  </si>
  <si>
    <t>PA-E2308486</t>
  </si>
  <si>
    <t>INQ-E964501</t>
  </si>
  <si>
    <t>INQ-E965084</t>
  </si>
  <si>
    <t>INQ-E963696</t>
  </si>
  <si>
    <t>INQ-E993253</t>
  </si>
  <si>
    <t>INQ-E994473</t>
  </si>
  <si>
    <t>INQ-E971024</t>
  </si>
  <si>
    <t xml:space="preserve">INQ-E971706  </t>
  </si>
  <si>
    <t>INQ-E945247</t>
  </si>
  <si>
    <t>INQ-E972364</t>
  </si>
  <si>
    <t>INQ-E963047</t>
  </si>
  <si>
    <t>PA-E2230494</t>
  </si>
  <si>
    <t>PA-E2237756</t>
  </si>
  <si>
    <t xml:space="preserve">INQ-F024720  </t>
  </si>
  <si>
    <t xml:space="preserve">INQ-F026068  </t>
  </si>
  <si>
    <t>INQ-F027685</t>
  </si>
  <si>
    <t>INQ-F027089</t>
  </si>
  <si>
    <t>PA-E2425554</t>
  </si>
  <si>
    <t xml:space="preserve">PA-E2423570 </t>
  </si>
  <si>
    <t>PA-E2404635</t>
  </si>
  <si>
    <t>INQ-E851695</t>
  </si>
  <si>
    <t>INQ-E873134</t>
  </si>
  <si>
    <t xml:space="preserve">INQ-E896084  </t>
  </si>
  <si>
    <t>INQ-E897174, PA-E1957287</t>
  </si>
  <si>
    <t>(Multiple Items)</t>
  </si>
  <si>
    <t xml:space="preserve">PA-E204611 </t>
  </si>
  <si>
    <t>Sum of Agent did not obtain Caller's Location, if not member (e.g., MDO, LTC, Hospice).</t>
  </si>
  <si>
    <t>Sum of Agent did not obtain Caller's callback number.</t>
  </si>
  <si>
    <t>Sum of Agent did not ask for a third identifier if member ID is not available</t>
  </si>
  <si>
    <t>Sum of Agent did not leverage the Identify Provider and Drug and/or Pharmacy from Member Claims to identify the provider, target drug, and pharmacy.</t>
  </si>
  <si>
    <t>Sum of Agent did not pull up the case history and provide the correct status of case for the target drug</t>
  </si>
  <si>
    <t>Sum of Agent did not requests permission from the caller before placing them on hold.</t>
  </si>
  <si>
    <t>Sum of Agent did not thank the caller for holding upon returning to the caller.</t>
  </si>
  <si>
    <t>Sum of Agent placed the caller on hold at the start of the call.</t>
  </si>
  <si>
    <t>Sum of Exceeded Limit of five seconds before the greeting of the call.</t>
  </si>
  <si>
    <t>Sum of Exceeded Limit of twenty seconds of unannounced silence.</t>
  </si>
  <si>
    <t>Sum of Exceeded Limit of fifty seconds of announced silence.</t>
  </si>
  <si>
    <t>Sum of Explain the reason/need to transfer the caller.</t>
  </si>
  <si>
    <t>Sum of Gain permission from the caller to transfer.</t>
  </si>
  <si>
    <t>Sum of For internal transfers, agent did not provide the name and number (if available) of the department the caller is being transferred to, and for external Provide the name and number of the department caller is being transferred to.</t>
  </si>
  <si>
    <t>Sum of Agent did not warm and cold transfer according to current policy. </t>
  </si>
  <si>
    <t>Sum of The agent will did not speak clearly without mumbling, using jargon, or slang.</t>
  </si>
  <si>
    <t>Sum of The agent did not adapt to the caller’s needs through the pace of their speech and the volume of their voice, as appropriate.</t>
  </si>
  <si>
    <t>Sum of The agent did not avoid using terms of endearment when addressing the caller (e.g., honey, dear).</t>
  </si>
  <si>
    <t>Sum of The agent did not use appropriate and professional language.</t>
  </si>
  <si>
    <t>Week</t>
  </si>
  <si>
    <t>Jan Week 1</t>
  </si>
  <si>
    <t>Jan Week 2</t>
  </si>
  <si>
    <t>Jan Week 3</t>
  </si>
  <si>
    <t>Jan Week 4</t>
  </si>
  <si>
    <t>Feb Week 4</t>
  </si>
  <si>
    <t>Feb Week 1</t>
  </si>
  <si>
    <t>Feb Week 2</t>
  </si>
  <si>
    <t>Feb Week 3</t>
  </si>
  <si>
    <t>Class</t>
  </si>
  <si>
    <t>Class 11.2</t>
  </si>
  <si>
    <t>Name</t>
  </si>
  <si>
    <t>EID</t>
  </si>
  <si>
    <t xml:space="preserve">Supervisor </t>
  </si>
  <si>
    <t>Class Number</t>
  </si>
  <si>
    <t>Comendador, Leou</t>
  </si>
  <si>
    <t>Cebu</t>
  </si>
  <si>
    <t>Class 5</t>
  </si>
  <si>
    <t>Apacible, Leeanne</t>
  </si>
  <si>
    <t>Class 6.1</t>
  </si>
  <si>
    <t>Almodiel, John Christian Cataluña</t>
  </si>
  <si>
    <t>Llamido, Robin</t>
  </si>
  <si>
    <t>Class 6.2</t>
  </si>
  <si>
    <t>Baculpo, Krishia Allaraiz</t>
  </si>
  <si>
    <t>Barona, Lady Glennise Maristela</t>
  </si>
  <si>
    <t>Catubay, Jiro Jon Camaso</t>
  </si>
  <si>
    <t>Ginn, Brian Philip Orbeso</t>
  </si>
  <si>
    <t>Jamandron, Jaryd Mariano</t>
  </si>
  <si>
    <t>Laureta, Jaicel Tubig</t>
  </si>
  <si>
    <t xml:space="preserve">Locsin, Sheena </t>
  </si>
  <si>
    <t>Murillo, Marc Christoffer Guday</t>
  </si>
  <si>
    <t>Resullar, Arvie Klade Arfapo</t>
  </si>
  <si>
    <t>Ribo, Josepha Minel Teves</t>
  </si>
  <si>
    <t>Silvestre, Khate Rigo</t>
  </si>
  <si>
    <t>Toledo, Junior Abraham III  Acero</t>
  </si>
  <si>
    <t>Ungab, Hazel Valencia</t>
  </si>
  <si>
    <t>Dacutan, Erick John Someran</t>
  </si>
  <si>
    <t>Delacruz, Jacques Mikhail Obstaculo</t>
  </si>
  <si>
    <t>Yu, Samantha Joyce Tumbali</t>
  </si>
  <si>
    <t xml:space="preserve">Beltran, James Patrick Canceran </t>
  </si>
  <si>
    <t>Class 7</t>
  </si>
  <si>
    <t>Cariño, Harley Rosaldo</t>
  </si>
  <si>
    <t xml:space="preserve">Catamco, KC Bagalanon </t>
  </si>
  <si>
    <t>Cemanes, Mercy Ann Caylao</t>
  </si>
  <si>
    <t>Costales, Sean Jed Bituaran</t>
  </si>
  <si>
    <t xml:space="preserve">Dela Cruz,  Nelson Victorio </t>
  </si>
  <si>
    <t>Fababier, Norlyn Alido</t>
  </si>
  <si>
    <t>nfababie</t>
  </si>
  <si>
    <t>Gela, Eunice Brillantes</t>
  </si>
  <si>
    <t xml:space="preserve">Go,  Dean Matthew </t>
  </si>
  <si>
    <t xml:space="preserve">Linaza, Kimmy Jane </t>
  </si>
  <si>
    <t xml:space="preserve">Lorenzana, Kryzia Anne Nicole Vidallon </t>
  </si>
  <si>
    <t>klorenz8</t>
  </si>
  <si>
    <t xml:space="preserve">Mahinay, Arianne Inez Sabayo </t>
  </si>
  <si>
    <t xml:space="preserve">Manuel, Aldrin Nugas </t>
  </si>
  <si>
    <t>Masanque, Lina Jasmin Ferreras</t>
  </si>
  <si>
    <t>Maurillo, Ariane Denise Penada</t>
  </si>
  <si>
    <t xml:space="preserve">Romero,  Chelsea Ann </t>
  </si>
  <si>
    <t xml:space="preserve">Sapungan, Cherry-Ann Gerbabuena </t>
  </si>
  <si>
    <t>Seatriz, Ben Israel Ramos</t>
  </si>
  <si>
    <t xml:space="preserve">Soriano, Ericka Mae  </t>
  </si>
  <si>
    <t>Umalla, Julie Valeros</t>
  </si>
  <si>
    <t>Estallo, Jeffry Dela Cruz</t>
  </si>
  <si>
    <t>jestallo</t>
  </si>
  <si>
    <t>Alvaro, Cres</t>
  </si>
  <si>
    <t>Class 8</t>
  </si>
  <si>
    <t>Lagare, John Earl</t>
  </si>
  <si>
    <t>Class 9.1</t>
  </si>
  <si>
    <t>Fuentenegra, Victor</t>
  </si>
  <si>
    <t>Class 9.2</t>
  </si>
  <si>
    <t>Mansibang, Jeric</t>
  </si>
  <si>
    <t>Class 10</t>
  </si>
  <si>
    <t>Class 11.1</t>
  </si>
  <si>
    <t>Status</t>
  </si>
  <si>
    <t>RAMP</t>
  </si>
  <si>
    <t>Nesting</t>
  </si>
  <si>
    <t>Logmao, Nyrene Grace L</t>
  </si>
  <si>
    <t>Relon, Gazel D</t>
  </si>
  <si>
    <t>Gatchalian, Ernie Marie C</t>
  </si>
  <si>
    <t>Napay, Rowena Joice B</t>
  </si>
  <si>
    <t>Purpora, Daryl B</t>
  </si>
  <si>
    <t>Cortez, Khyno E</t>
  </si>
  <si>
    <t>Escarlan, Aljon L</t>
  </si>
  <si>
    <t>Aguilar, Jam</t>
  </si>
  <si>
    <t>INQ-F058751</t>
  </si>
  <si>
    <t>INQ-F046632</t>
  </si>
  <si>
    <t>INQ-F055385</t>
  </si>
  <si>
    <t>INQ-E964114</t>
  </si>
  <si>
    <t>INQ-E999702</t>
  </si>
  <si>
    <t>INQ-E974520</t>
  </si>
  <si>
    <t>INQ-E996784</t>
  </si>
  <si>
    <t>INQ-E997141</t>
  </si>
  <si>
    <t>INQ-F000934</t>
  </si>
  <si>
    <t>INQ-F030130</t>
  </si>
  <si>
    <t>INQ-F026068</t>
  </si>
  <si>
    <t>INQ-F055290</t>
  </si>
  <si>
    <t>INQ-F059200</t>
  </si>
  <si>
    <t>INQ-F058235</t>
  </si>
  <si>
    <t>INQ-F055573</t>
  </si>
  <si>
    <t>INQ-F058787</t>
  </si>
  <si>
    <t>INQ-E969255</t>
  </si>
  <si>
    <t>PA-E2224896</t>
  </si>
  <si>
    <t>INQ-E969234</t>
  </si>
  <si>
    <t>INQ-E970896</t>
  </si>
  <si>
    <t>Misrouted Call - Transfer</t>
  </si>
  <si>
    <t>Check Status Approve</t>
  </si>
  <si>
    <t>Check Status Denied</t>
  </si>
  <si>
    <t>Transfer - Additional Assistance</t>
  </si>
  <si>
    <t>PA Initiation</t>
  </si>
  <si>
    <t>Others</t>
  </si>
  <si>
    <t>Check Formulary Coverage</t>
  </si>
  <si>
    <t>"Status Check - Formulary Coverage"</t>
  </si>
  <si>
    <t>INQ-F074855</t>
  </si>
  <si>
    <t>INQ-F058180</t>
  </si>
  <si>
    <t>INQ-F075778</t>
  </si>
  <si>
    <t xml:space="preserve">INQ-F074528  </t>
  </si>
  <si>
    <t>INQ-F101059</t>
  </si>
  <si>
    <t>INQ-F102862</t>
  </si>
  <si>
    <t>INQ-F116053</t>
  </si>
  <si>
    <t>INQ-F100403</t>
  </si>
  <si>
    <t>INQ-F101217</t>
  </si>
  <si>
    <t>INQ-F101775</t>
  </si>
  <si>
    <t>INQ-F103832</t>
  </si>
  <si>
    <t>INQ-F103248</t>
  </si>
  <si>
    <t>Column Labels</t>
  </si>
  <si>
    <t>Agent did not select the correct caller type OR correct the caller type when it is discovered tom be incorrect</t>
  </si>
  <si>
    <t>j.</t>
  </si>
  <si>
    <t>Agent did not revise the guided verbiage to show what was advise, pertinent action steps done that is not mentioned in the guided verbiage ( i.e. reason for transfer, reason for force pending the case, additional T/F medication, what medication was referenced</t>
  </si>
  <si>
    <t>False documentation</t>
  </si>
  <si>
    <t>Agent did not turn INQ call to PA when appropriate</t>
  </si>
  <si>
    <t>Merge Decision - Agent did not evaluate and compare the information from the original pending case to the current case when presented with case duplicates for merging</t>
  </si>
  <si>
    <t>Proceed with the Guideline Decision - New PA requests (e.g., drugs that have not previously been reviewed), must always proceed to the Guideline screen, unless cancellation is warranted. A subsequent commercial case with new information must always proceed to review to evaluate for approval at the Guidelines screen</t>
  </si>
  <si>
    <t>Agent did not return to the caller from hold after the initial 2mins</t>
  </si>
  <si>
    <t>Approved Status Checks - The agent did not inform the caller of the approval duration</t>
  </si>
  <si>
    <t>The agent did not troubleshoot the authorization to get a paid claim</t>
  </si>
  <si>
    <t>The agent did not correctly update the urgency on a pending case, if requested.</t>
  </si>
  <si>
    <t>Miscellaneous - The agent did not resend correspondence(s) when requested</t>
  </si>
  <si>
    <t xml:space="preserve"> The agent did not assist the caller by providing formulary alternatives, via Formulary Lookup, the trial claim, denial correspondence, etc. when appropriate</t>
  </si>
  <si>
    <t>Agent did not run test claims when appropriate</t>
  </si>
  <si>
    <t>Agent did not provide correct internal/external contact numbers</t>
  </si>
  <si>
    <t>Agent did not offer to create a key code for epa when caller requested fax form to be sent</t>
  </si>
  <si>
    <t>Agent did not accurately send approval/denial correspondence to MDO, when requested</t>
  </si>
  <si>
    <t>Agent did not provide how the PA process works</t>
  </si>
  <si>
    <t>Agent did not provide accurate case turnaround time per the plan time</t>
  </si>
  <si>
    <t>Agent did not provide new/correct member ID, if provided incorrectly</t>
  </si>
  <si>
    <t>Agent did not enter quantity and days supply exactly as the caller's intent</t>
  </si>
  <si>
    <t>Agent did not evaluate the reject in action step</t>
  </si>
  <si>
    <t>Agent did not use retry trial claim to adjust the dispensed quantity and days supply in proportion to 30 days to drive the appropriate rejects</t>
  </si>
  <si>
    <t>Agent did not follow the system guided "WALKME" instruction at the Enhanced Duplicate Screen</t>
  </si>
  <si>
    <t>Agent did not complete the Multiple PA type selections (when presented appropriately)</t>
  </si>
  <si>
    <t>Retry Trial Claim -  Agent did not use the retry trial claim feature to adjust the dispensed quantity and days supply in proportion to 30 days to drive the appropriate rejects</t>
  </si>
  <si>
    <t>Agent did not change the day supply to 30 days without also recalculating the quantity to 30 days</t>
  </si>
  <si>
    <t>Cancellation Decision - Agent did not use the retry trial claim feature at the guideline screen first before selecting cancel case</t>
  </si>
  <si>
    <t>Agent changed the intent of the initial trial claim</t>
  </si>
  <si>
    <t>Agent did not select the correct cancel reason code</t>
  </si>
  <si>
    <t>A subsequent Medicare case with a denial on file within the appeal window must be evaluated for Forwarding to Appeals</t>
  </si>
  <si>
    <t>Agent did not ask the diagnosis question(s); Agent did not make the correct selection(s) based on the caller's response</t>
  </si>
  <si>
    <t>Agent did not answer initial vs reauth questions correctly</t>
  </si>
  <si>
    <t>Did not ask the CG QL question</t>
  </si>
  <si>
    <t>Did not update the DQ and DS on the case according to the caller's response to the QL question</t>
  </si>
  <si>
    <t>Agent did not offer to create ePA keycode when CG question require submission of chartnotes</t>
  </si>
  <si>
    <t>Agent did not evaluate and compare the information from the original pending case to the current case when presented with final/second case duplicates for merging</t>
  </si>
  <si>
    <t>Sum of The agent did not correctly update the urgency on a pending case, if requested.</t>
  </si>
  <si>
    <t>Sum of False documentation</t>
  </si>
  <si>
    <t>Sum of Agent changed the intent of the initial trial claim</t>
  </si>
  <si>
    <t>Sum of Agent did not return to the caller from hold after the initial 2mins</t>
  </si>
  <si>
    <t xml:space="preserve"> The agent did not correctly update the urgency on a pending case, if requested.</t>
  </si>
  <si>
    <t xml:space="preserve"> Agent did not revise the guided verbiage to show what was advise, pertinent action steps done that is not mentioned in the guided verbiage ( i.e. reason for transfer, reason for force pending the case, additional T/F medication, what medication was refe</t>
  </si>
  <si>
    <t xml:space="preserve"> False documentation</t>
  </si>
  <si>
    <t xml:space="preserve"> Proceed with the Guideline Decision - New PA requests (e.g., drugs that have not previously been reviewed), must always proceed to the Guideline screen, unless cancellation is warranted. A subsequent commercial case with new information must always proc</t>
  </si>
  <si>
    <t xml:space="preserve"> Agent changed the intent of the initial trial claim</t>
  </si>
  <si>
    <t xml:space="preserve"> Agent did not return to the caller from hold after the initial 2mins</t>
  </si>
  <si>
    <t>Pending Status Checks - The agent did not inform the caller Quoted TAT, status of the pending case, and document any additional information when provided</t>
  </si>
  <si>
    <t>The agent did not correctly update the urgency on a pending case, if requested</t>
  </si>
  <si>
    <t>k.</t>
  </si>
  <si>
    <t>l.</t>
  </si>
  <si>
    <t>m.</t>
  </si>
  <si>
    <t>n.</t>
  </si>
  <si>
    <t>o.</t>
  </si>
  <si>
    <t>p.</t>
  </si>
  <si>
    <t>q.</t>
  </si>
  <si>
    <t>r.</t>
  </si>
  <si>
    <t>s.</t>
  </si>
  <si>
    <t>Agent did not follow the system guided "WALKME" instruction at the Enhanced Duplicate Screen;</t>
  </si>
  <si>
    <t xml:space="preserve">Agent did not ask ALL External questions and responses verbatim; </t>
  </si>
  <si>
    <t xml:space="preserve">Agent did not document additional information in the additional notes textbox when prompted; </t>
  </si>
  <si>
    <t>The agent did not the brand the call and thank the caller</t>
  </si>
  <si>
    <t>Agent did not document additional information in the additional notes textbox when prompted.</t>
  </si>
  <si>
    <t>Did not update the DQ and DS on the case according to the caller's response to the QL question.</t>
  </si>
  <si>
    <t>Did not ask the CG QL question.</t>
  </si>
  <si>
    <t>Agent did not answer initial vs reauth questions correctly.</t>
  </si>
  <si>
    <t>Agent did not ask the diagnosis question(s); Agent did not make the correct selection(s) based on the caller's response.</t>
  </si>
  <si>
    <t>Agent did not ask ALL External questions and responses verbatim.</t>
  </si>
  <si>
    <t>Agent did not select the correct cancel reason code.</t>
  </si>
  <si>
    <t>A subsequent Medicare case with a denial on file within the appeal window must be evaluated for Forwarding to Appeals.</t>
  </si>
  <si>
    <t>Cancellation Decision - Agent did not use the retry trial claim feature at the guideline screen first before selecting cancel case.</t>
  </si>
  <si>
    <t>Agent did not change the day supply to 30 days without also recalculating the quantity to 30 days.</t>
  </si>
  <si>
    <t>Proceed with the Guideline Decision - New PA requests (e.g., drugs that have not previously been reviewed), must always proceed to the Guideline screen, unless cancellation is warranted. A subsequent commercial case with new information must always proceed to review to evaluate for approval at the Guidelines screen.</t>
  </si>
  <si>
    <t>Retry Trial Claim -  Agent did not use the retry trial claim feature to adjust the dispensed quantity and days supply in proportion to 30 days to drive the appropriate rejects.</t>
  </si>
  <si>
    <t>Agent did not follow the system guided "WALKME" instruction at the Enhanced Duplicate Screen.</t>
  </si>
  <si>
    <t>Agent did not complete the Multiple PA type selections (when presented appropriately).</t>
  </si>
  <si>
    <t>Merge Decision - Agent did not evaluate and compare the information from the original pending case to the current case when presented with final case duplicates for merging.</t>
  </si>
  <si>
    <t>Agent did not turn INQ call to PA when appropriate.</t>
  </si>
  <si>
    <t>Agent did not enter case detail according to the caller's request (e.g. selecting cost reduction).</t>
  </si>
  <si>
    <t>Agent did not use retry trial claim to adjust the dispensed quantity and days supply in proportion to 30 days to drive the appropriate rejects.</t>
  </si>
  <si>
    <t>Agent did not evaluate the reject in action step.</t>
  </si>
  <si>
    <t>Agent did not enter quantity and days supply exactly as the caller's intent.</t>
  </si>
  <si>
    <t>Agent did not ensure brand versus generic request; did not correct the error and reenter the drug product.</t>
  </si>
  <si>
    <t>Agent should not cancel the phone request when the drug product and formulation has been validated; Agent did not continue with the PA phone request when the call drops after drug product and formulation have been entered.</t>
  </si>
  <si>
    <t>Agent did not provide their name/department.</t>
  </si>
  <si>
    <t>Agent did not verify whom they are speaking to.</t>
  </si>
  <si>
    <t>Agent did not obtain the name of the caller.</t>
  </si>
  <si>
    <t>Agent did not select the correct caller type OR correct the caller type when it is discovered tom be incorrect.</t>
  </si>
  <si>
    <t>Agent did not obtain member's first and last name.</t>
  </si>
  <si>
    <t>Agent did not obtain member's dob.</t>
  </si>
  <si>
    <t>Member PHI was inappropriately provided to third party caller.</t>
  </si>
  <si>
    <t>Agent did not utilize scripting for auto-pop information.</t>
  </si>
  <si>
    <t>Agent did not obtain provider's last name.</t>
  </si>
  <si>
    <t>Agent did not obtain provider's NPI.</t>
  </si>
  <si>
    <t>Agent did not authenticate partial address (e.g., street name, street number, city, state).</t>
  </si>
  <si>
    <t>Agent did not authenticate office phone number.</t>
  </si>
  <si>
    <t>Agent did not authenticate office fax number.</t>
  </si>
  <si>
    <t>Agent did not authenticate the provider information.</t>
  </si>
  <si>
    <t>Agent did not obtain pharmacy name.</t>
  </si>
  <si>
    <t>Agent did not obtain pharmacy NPI or NABP number.</t>
  </si>
  <si>
    <t>Agent did not ask if caller is from a "dispensing pharmacy".</t>
  </si>
  <si>
    <t>Agent did not follow member authentication protocol when accessing the member's account is required.</t>
  </si>
  <si>
    <t>Agent did not change the caller type to provider or pharmacy as needed and follow the applicable authentication process per caller type.</t>
  </si>
  <si>
    <t>Agent did not ask the transition question if case populate in member case history.</t>
  </si>
  <si>
    <t>Agent did not ask the transition question if case populate in member case history if case do not populate in member case history.</t>
  </si>
  <si>
    <t>Agent did not confirm the caller's needs that was already stated.</t>
  </si>
  <si>
    <t>Agent did not select the correct member account Note: If the member has multiple accounts.</t>
  </si>
  <si>
    <t>Agent failed to recognize that the account is handled by a dedicated team, did not transfer the call appropriately.</t>
  </si>
  <si>
    <t>New PA request- The agent did not educate the caller on the availability of an ePA once determined that a PA is required.</t>
  </si>
  <si>
    <t>Denied Status Checks - The agent did not inform the caller of the appeals information from the denial correspondence as well as client-specific appeals process information.</t>
  </si>
  <si>
    <t>Approved Status Checks - The agent did not inform the caller of the approval duration.</t>
  </si>
  <si>
    <t>The agent did not troubleshoot the authorization to get a paid claim.</t>
  </si>
  <si>
    <t>Pending Status Checks - The agent did not inform the caller Quoted TAT, status of the pending case, and document any additional information when provided.</t>
  </si>
  <si>
    <t>Miscellaneous - The agent did not resend correspondence(s) when requested.</t>
  </si>
  <si>
    <t xml:space="preserve"> The agent did not assist the caller by providing formulary alternatives, via Formulary Lookup, the trial claim, denial correspondence, etc. when appropriate.</t>
  </si>
  <si>
    <t>Agent did not run test claims when appropriate.</t>
  </si>
  <si>
    <t>Agent did not provide correct internal/external contact numbers.</t>
  </si>
  <si>
    <t>Agent did not offer to create a key code for epa when caller requested fax form to be sent.</t>
  </si>
  <si>
    <t>Agent did not accurately send approval/denial correspondence to MDO, when requested.</t>
  </si>
  <si>
    <t>Agent did not provide how the PA process works.</t>
  </si>
  <si>
    <t>Agent did not provide accurate case turnaround time per the plan time.</t>
  </si>
  <si>
    <t>Agent did not provide new/correct member ID, if provided incorrectly.</t>
  </si>
  <si>
    <t>Agent did not select the most appropriate dropdown options as a starting point to document the actions taken during the call.</t>
  </si>
  <si>
    <t>Agent did not revise the guided verbiage to show what was advise, pertinent action steps done that is not mentioned in the guided verbiage ( i.e. reason for transfer, reason for force pending the case, additional T/F medication, what medication was referenced.</t>
  </si>
  <si>
    <t>Agent did not validate the correct drug product, drug formulation, direction for use, dispensed quantity and days supply.</t>
  </si>
  <si>
    <t>Agent did not offer to create ePA keycode when CG question require submission of chartnotes.</t>
  </si>
  <si>
    <t>Agent did not evaluate and compare the information from the original pending case to the current case when presented with final/second case duplicates for merging.</t>
  </si>
  <si>
    <t>The agent did not ensure caller satisfaction by asking if additional assistance is needed.</t>
  </si>
  <si>
    <t>The agent did not offers/Mention the survey.</t>
  </si>
  <si>
    <t>The agent did not the brand the call and thank the caller.</t>
  </si>
  <si>
    <t>Agent did not use the mute button when placing the caller on silent hold.</t>
  </si>
  <si>
    <t>Agent did not respond with appropriate phrases to ensure the caller they are actively listening and understanding the caller’s statement/question.</t>
  </si>
  <si>
    <t>Agent did not resolve all the caller’s needs to ensure the caller does not call back again. (Demonstrate ownership of the repeat caller issue by resolving all questions, issues, and/or concerns on the call); Agent created a homework for the caller.</t>
  </si>
  <si>
    <t>Agent did not utilize available resources to research the member’s concerns (i.e. Corr letter, Case Notes, Plan Contacts, Claim History, FLU/INET).</t>
  </si>
  <si>
    <t>Agent did not educate the caller on clinical criteria not met per clinical guidelines based on denial reason.</t>
  </si>
  <si>
    <t>Incorrect Case Priority.</t>
  </si>
  <si>
    <t>Invalid cancellation - Agent did not work and cancel cases in adherence to compliance requirements.</t>
  </si>
  <si>
    <t>Case Worked for the Incorrect Member - Agent did not work each case with the correct member account as requested by the caller.</t>
  </si>
  <si>
    <t>Agent did not maintain professionalism throughout the entire interaction with the caller. Agent used unprofessional or profane language.</t>
  </si>
  <si>
    <t xml:space="preserve"> Agent did not provide their name/department.</t>
  </si>
  <si>
    <t xml:space="preserve"> Agent did not verify whom they are speaking to.</t>
  </si>
  <si>
    <t xml:space="preserve"> Agent did not obtain the name of the caller.</t>
  </si>
  <si>
    <t xml:space="preserve"> Agent did not select the correct caller type OR correct the caller type when it is discovered tom be incorrect.</t>
  </si>
  <si>
    <t xml:space="preserve"> Agent did not obtain member's first and last name.</t>
  </si>
  <si>
    <t xml:space="preserve"> Agent did not obtain member's dob.</t>
  </si>
  <si>
    <t xml:space="preserve"> Member PHI was inappropriately provided to third party caller.</t>
  </si>
  <si>
    <t xml:space="preserve"> Agent did not utilize scripting for auto-pop information.</t>
  </si>
  <si>
    <t xml:space="preserve"> Agent did not obtain provider's last name.</t>
  </si>
  <si>
    <t xml:space="preserve"> Agent did not obtain provider's NPI.</t>
  </si>
  <si>
    <t xml:space="preserve"> Agent did not authenticate partial address (e.g., street name, street number, city, state).</t>
  </si>
  <si>
    <t xml:space="preserve"> Agent did not authenticate office phone number.</t>
  </si>
  <si>
    <t xml:space="preserve"> Agent did not authenticate office fax number.</t>
  </si>
  <si>
    <t xml:space="preserve"> Agent did not authenticate the provider information.</t>
  </si>
  <si>
    <t xml:space="preserve"> Agent did not utilize scripting for auto-pop information.2</t>
  </si>
  <si>
    <t xml:space="preserve"> Agent did not obtain pharmacy name.</t>
  </si>
  <si>
    <t xml:space="preserve"> Agent did not obtain pharmacy NPI or NABP number.</t>
  </si>
  <si>
    <t xml:space="preserve"> Agent did not ask if caller is from a "dispensing pharmacy".</t>
  </si>
  <si>
    <t xml:space="preserve"> Agent did not utilize scripting for auto-pop information.3</t>
  </si>
  <si>
    <t xml:space="preserve"> Agent did not follow member authentication protocol when accessing the member's account is required.</t>
  </si>
  <si>
    <t xml:space="preserve"> Agent did not change the caller type to provider or pharmacy as needed and follow the applicable authentication process per caller type.</t>
  </si>
  <si>
    <t xml:space="preserve"> Agent did not ask the transition question if case populate in member case history.</t>
  </si>
  <si>
    <t xml:space="preserve"> Agent did not ask the transition question if case populate in member case history if case do not populate in member case history.</t>
  </si>
  <si>
    <t xml:space="preserve"> Agent did not confirm the caller's needs that was already stated.</t>
  </si>
  <si>
    <t xml:space="preserve"> Agent did not select the correct member account Note: If the member has multiple accounts.</t>
  </si>
  <si>
    <t xml:space="preserve"> Agent failed to recognize that the account is handled by a dedicated team, did not transfer the call appropriately.</t>
  </si>
  <si>
    <t xml:space="preserve"> New PA request- The agent did not educate the caller on the availability of an ePA once determined that a PA is required.</t>
  </si>
  <si>
    <t xml:space="preserve"> Denied Status Checks - The agent did not inform the caller of the appeals information from the denial correspondence as well as client-specific appeals process information.</t>
  </si>
  <si>
    <t xml:space="preserve"> Approved Status Checks - The agent did not inform the caller of the approval duration.</t>
  </si>
  <si>
    <t xml:space="preserve"> Pending Status Checks - The agent did not inform the caller Quoted TAT, status of the pending case, and document any additional information when provided.</t>
  </si>
  <si>
    <t xml:space="preserve"> The agent did not troubleshoot the authorization to get a paid claim.</t>
  </si>
  <si>
    <t xml:space="preserve"> Miscellaneous - The agent did not resend correspondence(s) when requested.</t>
  </si>
  <si>
    <t xml:space="preserve">  The agent did not assist the caller by providing formulary alternatives, via Formulary Lookup, the trial claim, denial correspondence, etc. when appropriate.</t>
  </si>
  <si>
    <t xml:space="preserve"> Agent did not run test claims when appropriate.</t>
  </si>
  <si>
    <t xml:space="preserve"> Agent did not provide correct internal/external contact numbers.</t>
  </si>
  <si>
    <t xml:space="preserve"> Agent did not offer to create a key code for epa when caller requested fax form to be sent.</t>
  </si>
  <si>
    <t xml:space="preserve"> Agent did not accurately send approval/denial correspondence to MDO, when requested.</t>
  </si>
  <si>
    <t xml:space="preserve"> Agent did not provide how the PA process works.</t>
  </si>
  <si>
    <t xml:space="preserve"> Agent did not provide accurate case turnaround time per the plan time.</t>
  </si>
  <si>
    <t xml:space="preserve"> Agent did not provide new/correct member ID, if provided incorrectly.</t>
  </si>
  <si>
    <t xml:space="preserve"> Agent did not select the most appropriate dropdown options as a starting point to document the actions taken during the call.</t>
  </si>
  <si>
    <t xml:space="preserve"> Agent did not validate the correct drug product, drug formulation, direction for use, dispensed quantity and days supply.</t>
  </si>
  <si>
    <t xml:space="preserve"> Agent should not cancel the phone request when the drug product and formulation has been validated; Agent did not continue with the PA phone request when the call drops after drug product and formulation have been entered.</t>
  </si>
  <si>
    <t xml:space="preserve"> Agent did not ensure brand versus generic request; did not correct the error and reenter the drug product.</t>
  </si>
  <si>
    <t xml:space="preserve"> Agent did not enter quantity and days supply exactly as the caller's intent.</t>
  </si>
  <si>
    <t xml:space="preserve"> Agent did not evaluate the reject in action step.</t>
  </si>
  <si>
    <t xml:space="preserve"> Agent did not use retry trial claim to adjust the dispensed quantity and days supply in proportion to 30 days to drive the appropriate rejects.</t>
  </si>
  <si>
    <t xml:space="preserve"> Agent did not enter case detail according to the caller's request (e.g. selecting cost reduction).</t>
  </si>
  <si>
    <t xml:space="preserve"> Agent did not turn INQ call to PA when appropriate.</t>
  </si>
  <si>
    <t xml:space="preserve"> Merge Decision - Agent did not evaluate and compare the information from the original pending case to the current case when presented with final case duplicates for merging.</t>
  </si>
  <si>
    <t xml:space="preserve"> Agent did not follow the system guided "WALKME" instruction at the Enhanced Duplicate Screen.</t>
  </si>
  <si>
    <t xml:space="preserve"> Agent did not complete the Multiple PA type selections (when presented appropriately).</t>
  </si>
  <si>
    <t xml:space="preserve"> Retry Trial Claim -  Agent did not use the retry trial claim feature to adjust the dispensed quantity and days supply in proportion to 30 days to drive the appropriate rejects.</t>
  </si>
  <si>
    <t xml:space="preserve"> Agent did not change the day supply to 30 days without also recalculating the quantity to 30 days.</t>
  </si>
  <si>
    <t xml:space="preserve"> Cancellation Decision - Agent did not use the retry trial claim feature at the guideline screen first before selecting cancel case.</t>
  </si>
  <si>
    <t xml:space="preserve"> Agent did not select the correct cancel reason code.</t>
  </si>
  <si>
    <t xml:space="preserve"> A subsequent Medicare case with a denial on file within the appeal window must be evaluated for Forwarding to Appeals.</t>
  </si>
  <si>
    <t xml:space="preserve"> Agent did not ask ALL External questions and responses verbatim.</t>
  </si>
  <si>
    <t xml:space="preserve"> Agent did not ask the diagnosis question(s); Agent did not make the correct selection(s) based on the caller's response.</t>
  </si>
  <si>
    <t xml:space="preserve"> Agent did not answer initial vs reauth questions correctly.</t>
  </si>
  <si>
    <t xml:space="preserve"> Did not ask the CG QL question.</t>
  </si>
  <si>
    <t xml:space="preserve"> Did not update the DQ and DS on the case according to the caller's response to the QL question.</t>
  </si>
  <si>
    <t xml:space="preserve"> Agent did not document additional information in the additional notes textbox when prompted.</t>
  </si>
  <si>
    <t xml:space="preserve"> Agent did not offer to create ePA keycode when CG question require submission of chartnotes.</t>
  </si>
  <si>
    <t xml:space="preserve"> Agent did not evaluate and compare the information from the original pending case to the current case when presented with final/second case duplicates for merging.</t>
  </si>
  <si>
    <t xml:space="preserve"> Agent did not follow the system guided "WALKME" instruction at the Enhanced Duplicate Screen.2</t>
  </si>
  <si>
    <t xml:space="preserve"> The agent did not ensure caller satisfaction by asking if additional assistance is needed.</t>
  </si>
  <si>
    <t xml:space="preserve"> The agent did not the brand the call and thank the caller.</t>
  </si>
  <si>
    <t xml:space="preserve"> The agent did not offers/Mention the survey.</t>
  </si>
  <si>
    <t xml:space="preserve"> Agent did not use the mute button when placing the caller on silent hold.</t>
  </si>
  <si>
    <t xml:space="preserve"> Agent did not respond with appropriate phrases to ensure the caller they are actively listening and understanding the caller’s statement/question.</t>
  </si>
  <si>
    <t xml:space="preserve"> Agent did not resolve all the caller’s needs to ensure the caller does not call back again. (Demonstrate ownership of the repeat caller issue by resolving all questions, issues, and/or concerns on the call); Agent created a homework for the caller.</t>
  </si>
  <si>
    <t xml:space="preserve"> Agent did not educate the caller on clinical criteria not met per clinical guidelines based on denial reason.</t>
  </si>
  <si>
    <t xml:space="preserve"> Agent did not utilize available resources to research the member’s concerns (i.e. Corr letter, Case Notes, Plan Contacts, Claim History, FLU/INET).</t>
  </si>
  <si>
    <t xml:space="preserve"> Incorrect Case Priority.</t>
  </si>
  <si>
    <t xml:space="preserve"> Invalid cancellation - Agent did not work and cancel cases in adherence to compliance requirements.</t>
  </si>
  <si>
    <t xml:space="preserve"> Case Worked for the Incorrect Member - Agent did not work each case with the correct member account as requested by the caller.</t>
  </si>
  <si>
    <t xml:space="preserve"> Agent did not maintain professionalism throughout the entire interaction with the caller. Agent used unprofessional or profane language.</t>
  </si>
  <si>
    <t>Last Name</t>
  </si>
  <si>
    <t>First Name</t>
  </si>
  <si>
    <t>Optum Email</t>
  </si>
  <si>
    <t>daphnie_alva@optum.com</t>
  </si>
  <si>
    <t>rachel_base@optum.com</t>
  </si>
  <si>
    <t>floriebel_bihag@optum.com</t>
  </si>
  <si>
    <t>claudine_caunca@optum.com</t>
  </si>
  <si>
    <t>samuel_coritana@optum.com</t>
  </si>
  <si>
    <t>chenne_cubillas@optum.com</t>
  </si>
  <si>
    <t>john_dasig@optum.com</t>
  </si>
  <si>
    <t>anisah_jamoos@optum.com</t>
  </si>
  <si>
    <t>rein_lumabao@optum.com</t>
  </si>
  <si>
    <t>nadine_lumalang@optum.com</t>
  </si>
  <si>
    <t>monisah_mama@optum.com</t>
  </si>
  <si>
    <t>jella_mustacisa@optum.com</t>
  </si>
  <si>
    <t>jan_tejada@optum.com</t>
  </si>
  <si>
    <t>maria_torlao@optum.com</t>
  </si>
  <si>
    <t>jobert_yodico@optum.com</t>
  </si>
  <si>
    <t>juan_zulueta@optum.com</t>
  </si>
  <si>
    <t>anthony_adriano@optum.com</t>
  </si>
  <si>
    <t>abigael_alzaga@optum.com</t>
  </si>
  <si>
    <t>effie_austria@optum.com</t>
  </si>
  <si>
    <t>cristel_catayas@optum.com</t>
  </si>
  <si>
    <t>warren_pecson@optum.com</t>
  </si>
  <si>
    <t>mearijen_carillo@optum.com</t>
  </si>
  <si>
    <t>jem_corpuz@optum.com</t>
  </si>
  <si>
    <t>erah_olpenda@optum.com</t>
  </si>
  <si>
    <t>arnel_aguilar@optum.com</t>
  </si>
  <si>
    <t>hazel_bravante@optum.com</t>
  </si>
  <si>
    <t>carlito_casoco@optum.com</t>
  </si>
  <si>
    <t>bryan_alejaga@optum.com</t>
  </si>
  <si>
    <t>erbie_azul@optum.com</t>
  </si>
  <si>
    <t>fitsgerald_bacsaljr@optum.com</t>
  </si>
  <si>
    <t>ella.dabalos@optum.com</t>
  </si>
  <si>
    <t>xyrina.tulbe@optum.com</t>
  </si>
  <si>
    <t>cristy.gayola@optum.com</t>
  </si>
  <si>
    <t>cyrus.falsis@optum.com</t>
  </si>
  <si>
    <t>aubrey.manabat@optum.com</t>
  </si>
  <si>
    <t>princess.calizar@optum.com</t>
  </si>
  <si>
    <t>irish.joson@optum.com</t>
  </si>
  <si>
    <t>casciusclay.cataluna@optum.com</t>
  </si>
  <si>
    <t>chester.ramos@optum.com</t>
  </si>
  <si>
    <t>erikjohn.dayola@optum.com</t>
  </si>
  <si>
    <t>francis.acol@optum.com</t>
  </si>
  <si>
    <t>raffy.intes@optum.com</t>
  </si>
  <si>
    <t>arnel.bato@optum.com</t>
  </si>
  <si>
    <t>camille.fabie@optum.com</t>
  </si>
  <si>
    <t>julius.abantao@optum.com</t>
  </si>
  <si>
    <t>faith.yurong@optum.com</t>
  </si>
  <si>
    <t>jake_mag-asin@optum.com</t>
  </si>
  <si>
    <t>yvette_nudalo@optum.com</t>
  </si>
  <si>
    <t>lurraine_suson@optum.com</t>
  </si>
  <si>
    <t xml:space="preserve">chris_pepito@optum.com </t>
  </si>
  <si>
    <t xml:space="preserve">claire_sescon@optum.com </t>
  </si>
  <si>
    <t>danilo_pacaratjr@optum.com</t>
  </si>
  <si>
    <t>hunny_roda@optum.com</t>
  </si>
  <si>
    <t>jake_astacaan@optum.com</t>
  </si>
  <si>
    <t>jane_abul@optum.com</t>
  </si>
  <si>
    <t>jeanette_templado@optum.com</t>
  </si>
  <si>
    <t>jericho_tangkay@optum.com</t>
  </si>
  <si>
    <t>john_francisco@optum.com</t>
  </si>
  <si>
    <t>john_rafaela@optum.com</t>
  </si>
  <si>
    <t>joshua_lambating@optum.com</t>
  </si>
  <si>
    <t>kristelle_atendido@optum.com</t>
  </si>
  <si>
    <t>marie_gabutin@optum.com</t>
  </si>
  <si>
    <t>paul_villaflor@optum.com</t>
  </si>
  <si>
    <t>pearlycil_taculod@optum.com</t>
  </si>
  <si>
    <t>princess_mollasco@optum.com</t>
  </si>
  <si>
    <t>princess_pamplona@optum.com</t>
  </si>
  <si>
    <t>ralph_cahoy@optum.com</t>
  </si>
  <si>
    <t>rey_basilgo@optum.com</t>
  </si>
  <si>
    <t>ross_rufino@optum.com</t>
  </si>
  <si>
    <t>john_almodiel@optum.com</t>
  </si>
  <si>
    <t>krishia_baculpo@optum.com</t>
  </si>
  <si>
    <t>lady_barona@optum.com</t>
  </si>
  <si>
    <t>mbaut128</t>
  </si>
  <si>
    <t>moses_bautista@optum.com</t>
  </si>
  <si>
    <t>rcabsag</t>
  </si>
  <si>
    <t>renmarc_cabsag@optum.com</t>
  </si>
  <si>
    <t>jiro_catubay@optum.com</t>
  </si>
  <si>
    <t>erick_dacutan@optum.com</t>
  </si>
  <si>
    <t>jacques_delacruz@optum.com</t>
  </si>
  <si>
    <t>brian_ginn@optum.com</t>
  </si>
  <si>
    <t>jaryd_jamandron@optum.com</t>
  </si>
  <si>
    <t>jaicel_laureta@optum.com</t>
  </si>
  <si>
    <t>sheena_locsin@optum.com</t>
  </si>
  <si>
    <t>marc_murillo@optum.com</t>
  </si>
  <si>
    <t>arvie_resullar@optum.com</t>
  </si>
  <si>
    <t>josepha_ribo@optum.com</t>
  </si>
  <si>
    <t>khate_silvestre@optum.com</t>
  </si>
  <si>
    <t>ssumakot</t>
  </si>
  <si>
    <t>sophia_sumakote@optum.com</t>
  </si>
  <si>
    <t>junior_toledo@optum.com</t>
  </si>
  <si>
    <t>hazel_ungab@optum.com</t>
  </si>
  <si>
    <t>samantha_yu@optum.com</t>
  </si>
  <si>
    <t>james.beltran@optum.com</t>
  </si>
  <si>
    <t>harley.carino@optum.com</t>
  </si>
  <si>
    <t>kc.catamco@optum.com</t>
  </si>
  <si>
    <t>mercy.cemanes@optum.com</t>
  </si>
  <si>
    <t>sean.costales@optum.com</t>
  </si>
  <si>
    <t>nelson.delacruz@optum.com</t>
  </si>
  <si>
    <t>eunice.gela@optum.com</t>
  </si>
  <si>
    <t>dean.go@optum.com</t>
  </si>
  <si>
    <t>kimmy.linaza@optum.com</t>
  </si>
  <si>
    <t>kryzia.lorenzana@optum.com</t>
  </si>
  <si>
    <t>arianne.mahinay@optum.com</t>
  </si>
  <si>
    <t>aldrin.manuel@optum.com</t>
  </si>
  <si>
    <t>lina.masanque@optum.com</t>
  </si>
  <si>
    <t>ariane.maurillo@optum.com</t>
  </si>
  <si>
    <t>chelsea.romero@optum.com</t>
  </si>
  <si>
    <t>cherry.sapungan@optum.com</t>
  </si>
  <si>
    <t>ben.seatriz@optum.com</t>
  </si>
  <si>
    <t>ericka.soriano@optum.com</t>
  </si>
  <si>
    <t>julie.umalla@optum.com</t>
  </si>
  <si>
    <t>jeffry.estallo@optum.com</t>
  </si>
  <si>
    <t>pflore40</t>
  </si>
  <si>
    <t>paul_flores@optum.com</t>
  </si>
  <si>
    <t>jan_medina@optum.com</t>
  </si>
  <si>
    <t>joshed_timogtimog@optum.com</t>
  </si>
  <si>
    <t>mariele_ocubillo@optum.com</t>
  </si>
  <si>
    <t>godfrey_taburnal@optum.com</t>
  </si>
  <si>
    <t>michael_aggaraojr@optum.com</t>
  </si>
  <si>
    <t>clifford_mendoza@optum.com</t>
  </si>
  <si>
    <t>felicity_faciol@optum.com</t>
  </si>
  <si>
    <t>michael_tumanda@optum.com</t>
  </si>
  <si>
    <t>hannah_tizon@optum.com</t>
  </si>
  <si>
    <t>nroble12</t>
  </si>
  <si>
    <t>nathan_robles@optum.com</t>
  </si>
  <si>
    <t>jhudiel_cortes@optum.com</t>
  </si>
  <si>
    <t>kathrina_silangan@optum.com</t>
  </si>
  <si>
    <t>brennan_campanilla@optum.com</t>
  </si>
  <si>
    <t>vannessa_decierdo@optum.com</t>
  </si>
  <si>
    <t>sheena_lucresia@optum.com</t>
  </si>
  <si>
    <t>vperpetu</t>
  </si>
  <si>
    <t>van.perpetua@optum.com</t>
  </si>
  <si>
    <t>cherrie_ramos@optum.com</t>
  </si>
  <si>
    <t>feliciano.dayola@optum.com</t>
  </si>
  <si>
    <t>jeffrey.carisma@optum.com</t>
  </si>
  <si>
    <t>rbauti26@optum.com</t>
  </si>
  <si>
    <t>Mariaisabel.amana@optum.com</t>
  </si>
  <si>
    <t>mecaila_albarico@optum.com</t>
  </si>
  <si>
    <t>queeny_garcia@optum.com</t>
  </si>
  <si>
    <t>cushmhan_langub@optum.com</t>
  </si>
  <si>
    <t>michael_revecoy@optum.com</t>
  </si>
  <si>
    <t>tisah_cabildo@optum.com</t>
  </si>
  <si>
    <t>kirby_tabanas@optum.com</t>
  </si>
  <si>
    <t>cherry_gudarido@optum.com</t>
  </si>
  <si>
    <t>analyn_dicdiquin@optum.com</t>
  </si>
  <si>
    <t>angel_igongigong@optum.com</t>
  </si>
  <si>
    <t>mark_libres@optum.com</t>
  </si>
  <si>
    <t>tomas.ricana@optum.com</t>
  </si>
  <si>
    <t>zaldy_talle@optum.com</t>
  </si>
  <si>
    <t>arafaele</t>
  </si>
  <si>
    <t>apple_rafaeles@optum.com</t>
  </si>
  <si>
    <t>edmond_cielo@optum.com</t>
  </si>
  <si>
    <t>sheryl_ulgasan@optum.com</t>
  </si>
  <si>
    <t>shella_dabalos@optum.com</t>
  </si>
  <si>
    <t>xynah_pedroza@optum.com</t>
  </si>
  <si>
    <t>002258575</t>
  </si>
  <si>
    <t>manopo</t>
  </si>
  <si>
    <t>mary_anopo@optum.com</t>
  </si>
  <si>
    <t>001726870</t>
  </si>
  <si>
    <t>jmahilu1</t>
  </si>
  <si>
    <t>john_mahilum@optum.com</t>
  </si>
  <si>
    <t xml:space="preserve">	aadrian5</t>
  </si>
  <si>
    <t xml:space="preserve">	aalzaga</t>
  </si>
  <si>
    <t xml:space="preserve">	eaustri3</t>
  </si>
  <si>
    <t xml:space="preserve">	hbravant</t>
  </si>
  <si>
    <t xml:space="preserve">	tcandel2</t>
  </si>
  <si>
    <t>tyronne_candelaria@optum.com</t>
  </si>
  <si>
    <t xml:space="preserve">	eolpenda</t>
  </si>
  <si>
    <t xml:space="preserve">	ypaloma1</t>
  </si>
  <si>
    <t>yvan_palomaria@optum.com</t>
  </si>
  <si>
    <t xml:space="preserve">	lpedimon</t>
  </si>
  <si>
    <t>leonard_pedimonte@optum.com</t>
  </si>
  <si>
    <t xml:space="preserve">	rramo173</t>
  </si>
  <si>
    <t>ruth_ramos@optum.com</t>
  </si>
  <si>
    <t xml:space="preserve">	arelano</t>
  </si>
  <si>
    <t>abimael_relano@optum.com</t>
  </si>
  <si>
    <t xml:space="preserve">	droces</t>
  </si>
  <si>
    <t>diana_roces@optum.com</t>
  </si>
  <si>
    <t xml:space="preserve">	froque3</t>
  </si>
  <si>
    <t>francis_roque@optum.com</t>
  </si>
  <si>
    <t xml:space="preserve">	gsangil</t>
  </si>
  <si>
    <t>gaudencio_sangiljr@optum.com</t>
  </si>
  <si>
    <t>amir_sepe@optum.com</t>
  </si>
  <si>
    <t>czarina_tabita@optum.com</t>
  </si>
  <si>
    <t>frederic_tadaya@optum.com</t>
  </si>
  <si>
    <t xml:space="preserve">	jtangla1</t>
  </si>
  <si>
    <t>jaycee_tanglao@optum.com</t>
  </si>
  <si>
    <t xml:space="preserve">	kveron</t>
  </si>
  <si>
    <t>kent_veron@optum.com</t>
  </si>
  <si>
    <t xml:space="preserve">	lmoral85</t>
  </si>
  <si>
    <t>lendy_morales@optum.com</t>
  </si>
  <si>
    <t xml:space="preserve">	wsulayao</t>
  </si>
  <si>
    <t>windy_sulayao@optum.com</t>
  </si>
  <si>
    <t>elyon_gonzales@optum.com</t>
  </si>
  <si>
    <t>charman_malinaojr@optum.com</t>
  </si>
  <si>
    <t>raqsher_garcia@optum.com</t>
  </si>
  <si>
    <t xml:space="preserve">	jpaule1</t>
  </si>
  <si>
    <t>john_paule@optum.com</t>
  </si>
  <si>
    <t>catherine_fernando@optum.com</t>
  </si>
  <si>
    <t> claver</t>
  </si>
  <si>
    <t>mark brendon</t>
  </si>
  <si>
    <t>mark_claver@optum.com</t>
  </si>
  <si>
    <t>abantao</t>
  </si>
  <si>
    <t xml:space="preserve">julius </t>
  </si>
  <si>
    <t>abueva</t>
  </si>
  <si>
    <t>lovely mae</t>
  </si>
  <si>
    <t>lovely_abueva@optum.com</t>
  </si>
  <si>
    <t>abul</t>
  </si>
  <si>
    <t>jane savil allyssa</t>
  </si>
  <si>
    <t>acol</t>
  </si>
  <si>
    <t xml:space="preserve">francis </t>
  </si>
  <si>
    <t>adriano</t>
  </si>
  <si>
    <t xml:space="preserve">anthony </t>
  </si>
  <si>
    <t>aggarao jr.</t>
  </si>
  <si>
    <t>michael john</t>
  </si>
  <si>
    <t>aguilar</t>
  </si>
  <si>
    <t>arnel</t>
  </si>
  <si>
    <t>albarico</t>
  </si>
  <si>
    <t>mecaila</t>
  </si>
  <si>
    <t>alejaga</t>
  </si>
  <si>
    <t>bryan</t>
  </si>
  <si>
    <t>almodiel</t>
  </si>
  <si>
    <t>john christian</t>
  </si>
  <si>
    <t>alva</t>
  </si>
  <si>
    <t>daphnie joy</t>
  </si>
  <si>
    <t>alzaga</t>
  </si>
  <si>
    <t>abigael</t>
  </si>
  <si>
    <t>amaña</t>
  </si>
  <si>
    <t>maria isabel</t>
  </si>
  <si>
    <t>aniban </t>
  </si>
  <si>
    <t>brandon</t>
  </si>
  <si>
    <t>brandon_aniban@optum.com</t>
  </si>
  <si>
    <t>anopo</t>
  </si>
  <si>
    <t>mary grace</t>
  </si>
  <si>
    <t>antiligando</t>
  </si>
  <si>
    <t>jan victor</t>
  </si>
  <si>
    <t>jan_antiligando@optum.com</t>
  </si>
  <si>
    <t>astaca</t>
  </si>
  <si>
    <t xml:space="preserve">jake </t>
  </si>
  <si>
    <t>atendido</t>
  </si>
  <si>
    <t>kristelle</t>
  </si>
  <si>
    <t>austria</t>
  </si>
  <si>
    <t>effie</t>
  </si>
  <si>
    <t>avestano</t>
  </si>
  <si>
    <t>vanesa </t>
  </si>
  <si>
    <t>vanesa_avestano@optum.com</t>
  </si>
  <si>
    <t>azul</t>
  </si>
  <si>
    <t xml:space="preserve">erbie rowin </t>
  </si>
  <si>
    <t>bacsal jr</t>
  </si>
  <si>
    <t>fitsgerald</t>
  </si>
  <si>
    <t>baculpo</t>
  </si>
  <si>
    <t xml:space="preserve">krishia </t>
  </si>
  <si>
    <t>barona</t>
  </si>
  <si>
    <t xml:space="preserve">lady glennise  </t>
  </si>
  <si>
    <t>base</t>
  </si>
  <si>
    <t>rachel mae</t>
  </si>
  <si>
    <t>basilgo</t>
  </si>
  <si>
    <t>rey</t>
  </si>
  <si>
    <t>bato</t>
  </si>
  <si>
    <t xml:space="preserve">arnel </t>
  </si>
  <si>
    <t>bautista</t>
  </si>
  <si>
    <t>moses andrew</t>
  </si>
  <si>
    <t xml:space="preserve">bautista jr. </t>
  </si>
  <si>
    <t xml:space="preserve">renato </t>
  </si>
  <si>
    <t>beltran</t>
  </si>
  <si>
    <t>james patrick</t>
  </si>
  <si>
    <t>bihag</t>
  </si>
  <si>
    <t>floriebel</t>
  </si>
  <si>
    <t>booc</t>
  </si>
  <si>
    <t>rhea</t>
  </si>
  <si>
    <t>rhea_booc@optum.com</t>
  </si>
  <si>
    <t>bravante</t>
  </si>
  <si>
    <t xml:space="preserve">hazel anne </t>
  </si>
  <si>
    <t>bureros </t>
  </si>
  <si>
    <t>jaybee </t>
  </si>
  <si>
    <t>jaybee_bureros@optum.com</t>
  </si>
  <si>
    <t>cabildo</t>
  </si>
  <si>
    <t>tisah may</t>
  </si>
  <si>
    <t>cabsag</t>
  </si>
  <si>
    <t xml:space="preserve">renmarc </t>
  </si>
  <si>
    <t>cahoy</t>
  </si>
  <si>
    <t>ralph</t>
  </si>
  <si>
    <t>calizar</t>
  </si>
  <si>
    <t xml:space="preserve">princess </t>
  </si>
  <si>
    <t>campanilla</t>
  </si>
  <si>
    <t>brennan roy</t>
  </si>
  <si>
    <t>cañada</t>
  </si>
  <si>
    <t>sepora </t>
  </si>
  <si>
    <t>sepora_canada@optum.com</t>
  </si>
  <si>
    <t>candelaria</t>
  </si>
  <si>
    <t>tyronne</t>
  </si>
  <si>
    <t>carillo</t>
  </si>
  <si>
    <t>mearijen</t>
  </si>
  <si>
    <t>cariño</t>
  </si>
  <si>
    <t>harley</t>
  </si>
  <si>
    <t>carisma</t>
  </si>
  <si>
    <t xml:space="preserve">jeffrey </t>
  </si>
  <si>
    <t>casoco</t>
  </si>
  <si>
    <t>carlito</t>
  </si>
  <si>
    <t>cataluna</t>
  </si>
  <si>
    <t xml:space="preserve">casciusclay </t>
  </si>
  <si>
    <t>catamco</t>
  </si>
  <si>
    <t>kc</t>
  </si>
  <si>
    <t>catayas</t>
  </si>
  <si>
    <t>cristel ann</t>
  </si>
  <si>
    <t>catubay</t>
  </si>
  <si>
    <t>jiro jon</t>
  </si>
  <si>
    <t>caunca</t>
  </si>
  <si>
    <t>claudine kaye</t>
  </si>
  <si>
    <t>cemanes</t>
  </si>
  <si>
    <t>mercy ann</t>
  </si>
  <si>
    <t>cenerpida</t>
  </si>
  <si>
    <t>eliza joe</t>
  </si>
  <si>
    <t>eliza_cenerpida@optum.com</t>
  </si>
  <si>
    <t>cielo</t>
  </si>
  <si>
    <t>edmond</t>
  </si>
  <si>
    <t>coritana</t>
  </si>
  <si>
    <t>samuel</t>
  </si>
  <si>
    <t>corpuz</t>
  </si>
  <si>
    <t>jem nicole</t>
  </si>
  <si>
    <t>cortes</t>
  </si>
  <si>
    <t>jhudiel</t>
  </si>
  <si>
    <t>costales</t>
  </si>
  <si>
    <t>sean jed</t>
  </si>
  <si>
    <t>cubillas</t>
  </si>
  <si>
    <t>chenne</t>
  </si>
  <si>
    <t>dabalos</t>
  </si>
  <si>
    <t>shella</t>
  </si>
  <si>
    <t>ella mae</t>
  </si>
  <si>
    <t>dacutan</t>
  </si>
  <si>
    <t>erick john</t>
  </si>
  <si>
    <t>dasig</t>
  </si>
  <si>
    <t>john anthony</t>
  </si>
  <si>
    <t>dayola jr</t>
  </si>
  <si>
    <t xml:space="preserve">feliciano </t>
  </si>
  <si>
    <t>decierdo</t>
  </si>
  <si>
    <t>vannessa</t>
  </si>
  <si>
    <t>dela cruz</t>
  </si>
  <si>
    <t xml:space="preserve"> nelson</t>
  </si>
  <si>
    <t>delacruz</t>
  </si>
  <si>
    <t xml:space="preserve">jacques mikhail </t>
  </si>
  <si>
    <t>dicdiquin</t>
  </si>
  <si>
    <t>analyn</t>
  </si>
  <si>
    <t>espinosa</t>
  </si>
  <si>
    <t>monica lyn </t>
  </si>
  <si>
    <t>monica_espinosa@optum.com</t>
  </si>
  <si>
    <t>estallo</t>
  </si>
  <si>
    <t xml:space="preserve">jeffry </t>
  </si>
  <si>
    <t>fabie</t>
  </si>
  <si>
    <t xml:space="preserve">camille ann </t>
  </si>
  <si>
    <t>faciol</t>
  </si>
  <si>
    <t>felicity dawn</t>
  </si>
  <si>
    <t>falsis</t>
  </si>
  <si>
    <t xml:space="preserve">cyrus hope </t>
  </si>
  <si>
    <t>fernando</t>
  </si>
  <si>
    <t xml:space="preserve">catherine pilar </t>
  </si>
  <si>
    <t>ferolino</t>
  </si>
  <si>
    <t>franz louie </t>
  </si>
  <si>
    <t>franz_ferolino@optum.com</t>
  </si>
  <si>
    <t>flores</t>
  </si>
  <si>
    <t>paul brandon</t>
  </si>
  <si>
    <t>francisco</t>
  </si>
  <si>
    <t>john paul "maria</t>
  </si>
  <si>
    <t>gabutin</t>
  </si>
  <si>
    <t xml:space="preserve">marie </t>
  </si>
  <si>
    <t>garcia</t>
  </si>
  <si>
    <t>queeny rose</t>
  </si>
  <si>
    <t xml:space="preserve">raqsher anne </t>
  </si>
  <si>
    <t>gayola</t>
  </si>
  <si>
    <t xml:space="preserve">cristy </t>
  </si>
  <si>
    <t>gela</t>
  </si>
  <si>
    <t>eunice</t>
  </si>
  <si>
    <t>ginn</t>
  </si>
  <si>
    <t xml:space="preserve">brian philip </t>
  </si>
  <si>
    <t>gino</t>
  </si>
  <si>
    <t>jecelyn</t>
  </si>
  <si>
    <t>jecelyn_gino@optum.com</t>
  </si>
  <si>
    <t>go</t>
  </si>
  <si>
    <t xml:space="preserve"> dean matthew</t>
  </si>
  <si>
    <t>gonzales</t>
  </si>
  <si>
    <t xml:space="preserve">elyon roi </t>
  </si>
  <si>
    <t>gudarido</t>
  </si>
  <si>
    <t>cherry mae</t>
  </si>
  <si>
    <t>igong igong</t>
  </si>
  <si>
    <t>angel eloise</t>
  </si>
  <si>
    <t>intes</t>
  </si>
  <si>
    <t xml:space="preserve">raffy </t>
  </si>
  <si>
    <t>jamandron</t>
  </si>
  <si>
    <t>jaryd</t>
  </si>
  <si>
    <t>jamoos</t>
  </si>
  <si>
    <t>anisah</t>
  </si>
  <si>
    <t>joson</t>
  </si>
  <si>
    <t xml:space="preserve">irish shayne </t>
  </si>
  <si>
    <t>lambating</t>
  </si>
  <si>
    <t>joshua darvin</t>
  </si>
  <si>
    <t>langub</t>
  </si>
  <si>
    <t>cushmhan zachari</t>
  </si>
  <si>
    <t>laureta</t>
  </si>
  <si>
    <t xml:space="preserve">jaicel </t>
  </si>
  <si>
    <t>libres</t>
  </si>
  <si>
    <t>mark riaz</t>
  </si>
  <si>
    <t>linaza</t>
  </si>
  <si>
    <t>kimmy jane</t>
  </si>
  <si>
    <t>locsin</t>
  </si>
  <si>
    <t>sheena</t>
  </si>
  <si>
    <t>lorenzana</t>
  </si>
  <si>
    <t>kryzia anne nicole</t>
  </si>
  <si>
    <t>lucresia</t>
  </si>
  <si>
    <t>lumabao</t>
  </si>
  <si>
    <t>rein amyl</t>
  </si>
  <si>
    <t>lumalang</t>
  </si>
  <si>
    <t>nadine may</t>
  </si>
  <si>
    <t>mag-asin</t>
  </si>
  <si>
    <t>jake </t>
  </si>
  <si>
    <t>mahilum</t>
  </si>
  <si>
    <t>john kevin</t>
  </si>
  <si>
    <t>mahinay</t>
  </si>
  <si>
    <t>arianne inez</t>
  </si>
  <si>
    <t>malinao jr</t>
  </si>
  <si>
    <t>charman</t>
  </si>
  <si>
    <t>mama</t>
  </si>
  <si>
    <t>monisah</t>
  </si>
  <si>
    <t>manabat</t>
  </si>
  <si>
    <t xml:space="preserve">aubrey </t>
  </si>
  <si>
    <t>mansueto</t>
  </si>
  <si>
    <t>mark anthony</t>
  </si>
  <si>
    <t>mark_mansueto@optum.com</t>
  </si>
  <si>
    <t>manuel</t>
  </si>
  <si>
    <t>aldrin</t>
  </si>
  <si>
    <t>masanque</t>
  </si>
  <si>
    <t>lina jasmin</t>
  </si>
  <si>
    <t>maurillo</t>
  </si>
  <si>
    <t>ariane denise</t>
  </si>
  <si>
    <t>mayoralgo</t>
  </si>
  <si>
    <t>erik john</t>
  </si>
  <si>
    <t>medina</t>
  </si>
  <si>
    <t xml:space="preserve">jan levy </t>
  </si>
  <si>
    <t>mendoza</t>
  </si>
  <si>
    <t>clifford</t>
  </si>
  <si>
    <t>mollasco</t>
  </si>
  <si>
    <t>princess camille</t>
  </si>
  <si>
    <t>morales</t>
  </si>
  <si>
    <t>lendy</t>
  </si>
  <si>
    <t>motos</t>
  </si>
  <si>
    <t>erika xanthia</t>
  </si>
  <si>
    <t>erika_motos@optum.com</t>
  </si>
  <si>
    <t>murillo</t>
  </si>
  <si>
    <t>marc christoffer</t>
  </si>
  <si>
    <t>mustacisa</t>
  </si>
  <si>
    <t>jella mae</t>
  </si>
  <si>
    <t>nudalo</t>
  </si>
  <si>
    <t>yvette</t>
  </si>
  <si>
    <t>ocubillo</t>
  </si>
  <si>
    <t>mariele</t>
  </si>
  <si>
    <t>olpenda</t>
  </si>
  <si>
    <t>erah marie</t>
  </si>
  <si>
    <t>pacarat</t>
  </si>
  <si>
    <t xml:space="preserve">danilo </t>
  </si>
  <si>
    <t>paciño</t>
  </si>
  <si>
    <t>princess jean </t>
  </si>
  <si>
    <t>princess_pacino@optum.com</t>
  </si>
  <si>
    <t xml:space="preserve"> paule</t>
  </si>
  <si>
    <t xml:space="preserve">john melvin </t>
  </si>
  <si>
    <t>palomaria</t>
  </si>
  <si>
    <t>yvan mayk</t>
  </si>
  <si>
    <t>pamplona</t>
  </si>
  <si>
    <t>princess joanna</t>
  </si>
  <si>
    <t>pecson</t>
  </si>
  <si>
    <t xml:space="preserve">warren </t>
  </si>
  <si>
    <t>pedimonte</t>
  </si>
  <si>
    <t>leonard</t>
  </si>
  <si>
    <t>pedroza</t>
  </si>
  <si>
    <t>xynah belle</t>
  </si>
  <si>
    <t>pepito</t>
  </si>
  <si>
    <t>chris niño</t>
  </si>
  <si>
    <t>perpetua</t>
  </si>
  <si>
    <t>van earl</t>
  </si>
  <si>
    <t>rafaela</t>
  </si>
  <si>
    <t>john vert</t>
  </si>
  <si>
    <t>rafaeles</t>
  </si>
  <si>
    <t>apple</t>
  </si>
  <si>
    <t>ramos</t>
  </si>
  <si>
    <t>cherrie elaine</t>
  </si>
  <si>
    <t xml:space="preserve">chester irvin </t>
  </si>
  <si>
    <t xml:space="preserve">ruth marionne </t>
  </si>
  <si>
    <t>relano</t>
  </si>
  <si>
    <t xml:space="preserve">abimael </t>
  </si>
  <si>
    <t>resullar</t>
  </si>
  <si>
    <t xml:space="preserve">arvie klade </t>
  </si>
  <si>
    <t>revecoy</t>
  </si>
  <si>
    <t>michael</t>
  </si>
  <si>
    <t>ribo</t>
  </si>
  <si>
    <t xml:space="preserve">josepha minel </t>
  </si>
  <si>
    <t>ricaña</t>
  </si>
  <si>
    <t>tomas iii</t>
  </si>
  <si>
    <t>robles</t>
  </si>
  <si>
    <t>nathan</t>
  </si>
  <si>
    <t>roces</t>
  </si>
  <si>
    <t>diana</t>
  </si>
  <si>
    <t>roda</t>
  </si>
  <si>
    <t>hunny mae</t>
  </si>
  <si>
    <t>romero</t>
  </si>
  <si>
    <t xml:space="preserve"> chelsea ann</t>
  </si>
  <si>
    <t>roque</t>
  </si>
  <si>
    <t>francis anthony</t>
  </si>
  <si>
    <t>rufino</t>
  </si>
  <si>
    <t xml:space="preserve">ross nicole </t>
  </si>
  <si>
    <t>sangil jr</t>
  </si>
  <si>
    <t>gaudencio</t>
  </si>
  <si>
    <t>sapungan</t>
  </si>
  <si>
    <t>cherry-ann</t>
  </si>
  <si>
    <t>seatriz</t>
  </si>
  <si>
    <t>ben israel</t>
  </si>
  <si>
    <t>sepe</t>
  </si>
  <si>
    <t>amir</t>
  </si>
  <si>
    <t>sescon</t>
  </si>
  <si>
    <t>claire</t>
  </si>
  <si>
    <t>silangan</t>
  </si>
  <si>
    <t>kathrina mae</t>
  </si>
  <si>
    <t>silvestre</t>
  </si>
  <si>
    <t>khate</t>
  </si>
  <si>
    <t>soriano</t>
  </si>
  <si>
    <t xml:space="preserve">ericka mae </t>
  </si>
  <si>
    <t>sulayao</t>
  </si>
  <si>
    <t>windy</t>
  </si>
  <si>
    <t>sumakote</t>
  </si>
  <si>
    <t>sophia nelrina</t>
  </si>
  <si>
    <t>suson</t>
  </si>
  <si>
    <t>lurraine</t>
  </si>
  <si>
    <t>tabanas</t>
  </si>
  <si>
    <t>kirby</t>
  </si>
  <si>
    <t>tabar</t>
  </si>
  <si>
    <t>maria lourdes </t>
  </si>
  <si>
    <t>maria_tabar@optum.com</t>
  </si>
  <si>
    <t>tabita</t>
  </si>
  <si>
    <t>czarina</t>
  </si>
  <si>
    <t>taburnal</t>
  </si>
  <si>
    <t>godfrey</t>
  </si>
  <si>
    <t>taculod</t>
  </si>
  <si>
    <t>pearlycil</t>
  </si>
  <si>
    <t>tadaya</t>
  </si>
  <si>
    <t>frederic</t>
  </si>
  <si>
    <t>talle</t>
  </si>
  <si>
    <t>zaldy</t>
  </si>
  <si>
    <t>tangkay</t>
  </si>
  <si>
    <t>jericho</t>
  </si>
  <si>
    <t>tanglao</t>
  </si>
  <si>
    <t>jaycee</t>
  </si>
  <si>
    <t>tejada</t>
  </si>
  <si>
    <t>jan jaycle</t>
  </si>
  <si>
    <t>templado</t>
  </si>
  <si>
    <t>jeanette</t>
  </si>
  <si>
    <t>timogtimog</t>
  </si>
  <si>
    <t>joshed ej</t>
  </si>
  <si>
    <t>tizon</t>
  </si>
  <si>
    <t>hannah allysa</t>
  </si>
  <si>
    <t>toledo</t>
  </si>
  <si>
    <t xml:space="preserve">junior abraham iii </t>
  </si>
  <si>
    <t>torlao</t>
  </si>
  <si>
    <t>maria rowena</t>
  </si>
  <si>
    <t>tulbe</t>
  </si>
  <si>
    <t xml:space="preserve">xyrina geneve </t>
  </si>
  <si>
    <t>tumanda</t>
  </si>
  <si>
    <t>michael allan</t>
  </si>
  <si>
    <t>ulgasan</t>
  </si>
  <si>
    <t>sheryl mae</t>
  </si>
  <si>
    <t>umalla</t>
  </si>
  <si>
    <t>julie</t>
  </si>
  <si>
    <t>ungab</t>
  </si>
  <si>
    <t>hazel</t>
  </si>
  <si>
    <t>veron</t>
  </si>
  <si>
    <t xml:space="preserve">kent romeo theryz </t>
  </si>
  <si>
    <t>villaflor</t>
  </si>
  <si>
    <t>paul michael</t>
  </si>
  <si>
    <t>villanueva</t>
  </si>
  <si>
    <t>ramil</t>
  </si>
  <si>
    <t>ramil_villanueva@optum.com</t>
  </si>
  <si>
    <t>yodico</t>
  </si>
  <si>
    <t>jobert</t>
  </si>
  <si>
    <t>yu</t>
  </si>
  <si>
    <t xml:space="preserve">samantha joyce </t>
  </si>
  <si>
    <t>yurong</t>
  </si>
  <si>
    <t xml:space="preserve">lovely faith </t>
  </si>
  <si>
    <t>zulueta</t>
  </si>
  <si>
    <t>juan miguel</t>
  </si>
  <si>
    <t>Category</t>
  </si>
  <si>
    <t>Dropdown</t>
  </si>
  <si>
    <t>Other</t>
  </si>
  <si>
    <t>Failed to follow auto-pop Authentication</t>
  </si>
  <si>
    <t>Asking questions when answers were already proactively provided</t>
  </si>
  <si>
    <t>Probing questions not related to the issue</t>
  </si>
  <si>
    <t>Premature issue identification</t>
  </si>
  <si>
    <t>Unpreparedness</t>
  </si>
  <si>
    <t>Missed to identify active call (Case auto-pop, CTI pop, Beep Sound)</t>
  </si>
  <si>
    <t>Missed to reference claims for drug name</t>
  </si>
  <si>
    <t>Opportunities on medical abbreviation during sig entry</t>
  </si>
  <si>
    <t>Opportunities in verifying DQ when sig does not does not match</t>
  </si>
  <si>
    <t>Drug request not available on claims</t>
  </si>
  <si>
    <t>Unfamiliar with generic name when claims are for MSC N</t>
  </si>
  <si>
    <t>Compound Prescription</t>
  </si>
  <si>
    <t>Unaware who handles the rejection</t>
  </si>
  <si>
    <t>Missed to identify/ask caller's concern</t>
  </si>
  <si>
    <t>Communication barrier</t>
  </si>
  <si>
    <t>Opportunities on active listening</t>
  </si>
  <si>
    <t>Behavioral Issue</t>
  </si>
  <si>
    <t>Knowledge Issue (Tool/Process unfamiliarity)</t>
  </si>
  <si>
    <t>Unfamiliar with TC rejections</t>
  </si>
  <si>
    <t>Failed to retry TC when initial TC is not able to display data</t>
  </si>
  <si>
    <t>Skill (Navigation and Phone Handling)</t>
  </si>
  <si>
    <t>Opportunities in paraphrasing CG questions</t>
  </si>
  <si>
    <t>Knowledge Issue (Opportunities answering internal questions)</t>
  </si>
  <si>
    <t>Technical Issue (Tool Latency)</t>
  </si>
  <si>
    <t>Skill Issue (Navigating Genesys call control bar)</t>
  </si>
  <si>
    <t>Survey Avoidance</t>
  </si>
  <si>
    <t>Work Avoidance</t>
  </si>
  <si>
    <t>Knowledge Issue (Failed to identify proper closing per call type)</t>
  </si>
  <si>
    <t>Unable to ask which CG questions that should not be asked</t>
  </si>
  <si>
    <t>Long transfer time due to busy queue</t>
  </si>
  <si>
    <t>Transfer misroute</t>
  </si>
  <si>
    <t>Incorrect initial transfer</t>
  </si>
  <si>
    <t>Redirected due to out of scope issue</t>
  </si>
  <si>
    <t>Failed to provide transfer time to callers</t>
  </si>
  <si>
    <t>Unable to use courtesy words/phrases for call control</t>
  </si>
  <si>
    <t>Blatant interruption that led to call escalation</t>
  </si>
  <si>
    <t>Opportunities in paraphrasing</t>
  </si>
  <si>
    <t>Sentence construction</t>
  </si>
  <si>
    <t>Thought Organization</t>
  </si>
  <si>
    <t>Over politeness</t>
  </si>
  <si>
    <t>Excessive use of power words</t>
  </si>
  <si>
    <t>Did not follow shorter suggested scripts</t>
  </si>
  <si>
    <t>Too much rapport that led to call off-track</t>
  </si>
  <si>
    <t>AHT Attributes</t>
  </si>
  <si>
    <t>Authentication</t>
  </si>
  <si>
    <t>Unnecessary 3rd ID verification</t>
  </si>
  <si>
    <t>Asking additional identifiers not applicable per caller type</t>
  </si>
  <si>
    <t>Unnecessary AOR verification</t>
  </si>
  <si>
    <t>Questions not related to authentication process</t>
  </si>
  <si>
    <t>Technical Issue  (Software, Hardware, Connectivity, etc.)</t>
  </si>
  <si>
    <t>Skill Issue (Opportunities in entering provider responses to CGQs</t>
  </si>
  <si>
    <t>Lengthy IVR</t>
  </si>
  <si>
    <t>Department Outage</t>
  </si>
  <si>
    <t>Does not concede which results to multiple cross talk</t>
  </si>
  <si>
    <t>Premature responses that resulted to repetition</t>
  </si>
  <si>
    <t>Knowledge Issue (Unfamiliar with suggested scripts)</t>
  </si>
  <si>
    <t>Unnecessary paraphrasing of authentication questions</t>
  </si>
  <si>
    <t>Pronunciation Skills</t>
  </si>
  <si>
    <t>The agent will speak clearly without mumbling, using jargon, or slang.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</si>
</sst>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d\-mmm\-yy;@"/>
    <numFmt numFmtId="165" formatCode="000000000"/>
  </numFmts>
  <fonts count="40"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4"/>
      <color theme="0"/>
      <name val="Aptos Narrow"/>
      <family val="2"/>
      <scheme val="minor"/>
    </font>
    <font>
      <b/>
      <sz val="12"/>
      <color theme="1"/>
      <name val="Arial Narrow"/>
      <family val="2"/>
    </font>
    <font>
      <sz val="10"/>
      <color theme="1"/>
      <name val="Arial Narrow"/>
      <family val="2"/>
    </font>
    <font>
      <sz val="12"/>
      <color theme="1"/>
      <name val="Arial Narrow"/>
      <family val="2"/>
    </font>
    <font>
      <b/>
      <sz val="12"/>
      <color theme="1"/>
      <name val="Aptos Narrow"/>
      <family val="2"/>
      <scheme val="minor"/>
    </font>
    <font>
      <sz val="12"/>
      <color rgb="FF000000"/>
      <name val="Arial Narrow"/>
      <family val="2"/>
    </font>
    <font>
      <sz val="12"/>
      <name val="Arial Narrow"/>
      <family val="2"/>
    </font>
    <font>
      <sz val="10"/>
      <color theme="1"/>
      <name val="Aptos Narrow"/>
      <family val="2"/>
      <scheme val="minor"/>
    </font>
    <font>
      <b/>
      <sz val="14"/>
      <color theme="0"/>
      <name val="Arial Narrow"/>
      <family val="2"/>
    </font>
    <font>
      <b/>
      <sz val="20"/>
      <color theme="0"/>
      <name val="Aptos Narrow"/>
      <family val="2"/>
      <scheme val="minor"/>
    </font>
    <font>
      <sz val="20"/>
      <color theme="1"/>
      <name val="Aptos Narrow"/>
      <family val="2"/>
      <scheme val="minor"/>
    </font>
    <font>
      <b/>
      <sz val="20"/>
      <color theme="1"/>
      <name val="Aptos Narrow"/>
      <family val="2"/>
      <scheme val="minor"/>
    </font>
    <font>
      <sz val="24"/>
      <color theme="1"/>
      <name val="Aptos Narrow"/>
      <family val="2"/>
      <scheme val="minor"/>
    </font>
    <font>
      <b/>
      <sz val="24"/>
      <color theme="1"/>
      <name val="Aptos Narrow"/>
      <family val="2"/>
      <scheme val="minor"/>
    </font>
    <font>
      <sz val="9"/>
      <color theme="1"/>
      <name val="Aptos Narrow"/>
      <family val="2"/>
      <scheme val="minor"/>
    </font>
    <font>
      <sz val="12"/>
      <color theme="1"/>
      <name val="Aptos Narrow"/>
      <family val="2"/>
      <scheme val="minor"/>
    </font>
    <font>
      <sz val="14"/>
      <color theme="1"/>
      <name val="Aptos Narrow"/>
      <family val="2"/>
      <scheme val="minor"/>
    </font>
    <font>
      <b/>
      <sz val="10"/>
      <color theme="0"/>
      <name val="Century Gothic"/>
      <family val="2"/>
    </font>
    <font>
      <sz val="10"/>
      <color theme="0"/>
      <name val="Century Gothic"/>
      <family val="2"/>
    </font>
    <font>
      <sz val="10"/>
      <color theme="1"/>
      <name val="Century Gothic"/>
      <family val="2"/>
    </font>
    <font>
      <sz val="8"/>
      <name val="Aptos Narrow"/>
      <family val="2"/>
      <scheme val="minor"/>
    </font>
    <font>
      <b/>
      <sz val="9"/>
      <color theme="0"/>
      <name val="Aptos Narrow"/>
      <family val="2"/>
      <scheme val="minor"/>
    </font>
    <font>
      <sz val="10"/>
      <color theme="1"/>
      <name val="Century Gothic"/>
      <family val="2"/>
    </font>
    <font>
      <sz val="11"/>
      <color theme="1"/>
      <name val="Century Gothic"/>
      <family val="2"/>
    </font>
    <font>
      <sz val="10"/>
      <color theme="0"/>
      <name val="Century Gothic"/>
      <family val="2"/>
    </font>
    <font>
      <b/>
      <sz val="12"/>
      <color rgb="FF000000"/>
      <name val="Aptos Narrow"/>
      <family val="2"/>
      <scheme val="minor"/>
    </font>
    <font>
      <sz val="8"/>
      <color rgb="FF000000"/>
      <name val="Aptos Narrow"/>
      <family val="2"/>
      <scheme val="minor"/>
    </font>
    <font>
      <sz val="8"/>
      <color theme="1"/>
      <name val="Aptos Narrow"/>
      <family val="2"/>
      <scheme val="minor"/>
    </font>
    <font>
      <sz val="8"/>
      <color rgb="FF222222"/>
      <name val="Aptos Narrow"/>
      <family val="2"/>
      <scheme val="minor"/>
    </font>
    <font>
      <sz val="11"/>
      <color rgb="FFFF0000"/>
      <name val="Aptos Narrow"/>
      <family val="2"/>
      <scheme val="minor"/>
    </font>
    <font>
      <sz val="9"/>
      <color indexed="81"/>
      <name val="Tahoma"/>
      <family val="2"/>
    </font>
    <font>
      <b/>
      <sz val="9"/>
      <color indexed="81"/>
      <name val="Tahoma"/>
      <family val="2"/>
    </font>
    <font>
      <sz val="7"/>
      <color theme="1"/>
      <name val="Segoe UI"/>
      <family val="2"/>
    </font>
    <font>
      <sz val="11"/>
      <color theme="1"/>
      <name val="Segoe UI"/>
      <family val="2"/>
    </font>
    <font>
      <b/>
      <sz val="11"/>
      <color theme="1"/>
      <name val="Segoe UI"/>
      <family val="2"/>
    </font>
    <font>
      <strike/>
      <sz val="12"/>
      <color rgb="FFFF0000"/>
      <name val="Arial Narrow"/>
      <family val="2"/>
    </font>
  </fonts>
  <fills count="26">
    <fill>
      <patternFill patternType="none"/>
    </fill>
    <fill>
      <patternFill patternType="gray125"/>
    </fill>
    <fill>
      <patternFill patternType="solid">
        <fgColor theme="1"/>
        <bgColor indexed="64"/>
      </patternFill>
    </fill>
    <fill>
      <patternFill patternType="solid">
        <fgColor theme="3" tint="0.89999084444715716"/>
        <bgColor indexed="64"/>
      </patternFill>
    </fill>
    <fill>
      <patternFill patternType="solid">
        <fgColor theme="0"/>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FFC000"/>
        <bgColor indexed="64"/>
      </patternFill>
    </fill>
    <fill>
      <patternFill patternType="solid">
        <fgColor rgb="FFFFFFCC"/>
        <bgColor indexed="64"/>
      </patternFill>
    </fill>
    <fill>
      <patternFill patternType="solid">
        <fgColor theme="9" tint="-0.249977111117893"/>
        <bgColor indexed="64"/>
      </patternFill>
    </fill>
    <fill>
      <patternFill patternType="solid">
        <fgColor theme="6" tint="0.39997558519241921"/>
        <bgColor indexed="64"/>
      </patternFill>
    </fill>
    <fill>
      <patternFill patternType="solid">
        <fgColor theme="0" tint="-0.499984740745262"/>
        <bgColor indexed="64"/>
      </patternFill>
    </fill>
    <fill>
      <patternFill patternType="solid">
        <fgColor theme="9" tint="-0.249977111117893"/>
        <bgColor theme="9" tint="-0.249977111117893"/>
      </patternFill>
    </fill>
    <fill>
      <patternFill patternType="solid">
        <fgColor theme="9" tint="0.39997558519241921"/>
        <bgColor theme="9" tint="0.39997558519241921"/>
      </patternFill>
    </fill>
    <fill>
      <patternFill patternType="solid">
        <fgColor theme="9" tint="0.79998168889431442"/>
        <bgColor theme="9" tint="0.79998168889431442"/>
      </patternFill>
    </fill>
    <fill>
      <patternFill patternType="solid">
        <fgColor theme="2" tint="-9.9978637043366805E-2"/>
        <bgColor indexed="64"/>
      </patternFill>
    </fill>
    <fill>
      <patternFill patternType="solid">
        <fgColor theme="5" tint="-0.499984740745262"/>
        <bgColor indexed="64"/>
      </patternFill>
    </fill>
    <fill>
      <patternFill patternType="solid">
        <fgColor rgb="FFFFFF00"/>
        <bgColor rgb="FF000000"/>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4" tint="0.79998168889431442"/>
        <bgColor indexed="64"/>
      </patternFill>
    </fill>
  </fills>
  <borders count="69">
    <border>
      <left/>
      <right/>
      <top/>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thin">
        <color theme="9" tint="0.79998168889431442"/>
      </bottom>
      <diagonal/>
    </border>
    <border>
      <left/>
      <right/>
      <top style="thin">
        <color theme="9" tint="0.79998168889431442"/>
      </top>
      <bottom style="thin">
        <color theme="9" tint="0.39997558519241921"/>
      </bottom>
      <diagonal/>
    </border>
    <border>
      <left/>
      <right/>
      <top style="thin">
        <color theme="9" tint="0.79998168889431442"/>
      </top>
      <bottom style="thin">
        <color theme="9"/>
      </bottom>
      <diagonal/>
    </border>
    <border>
      <left/>
      <right/>
      <top style="thin">
        <color theme="9" tint="0.79998168889431442"/>
      </top>
      <bottom style="thin">
        <color theme="9" tint="0.79998168889431442"/>
      </bottom>
      <diagonal/>
    </border>
    <border>
      <left/>
      <right/>
      <top style="thin">
        <color theme="9" tint="0.39997558519241921"/>
      </top>
      <bottom style="thin">
        <color theme="9" tint="0.39997558519241921"/>
      </bottom>
      <diagonal/>
    </border>
    <border>
      <left/>
      <right/>
      <top style="thin">
        <color theme="9" tint="0.39997558519241921"/>
      </top>
      <bottom style="thin">
        <color theme="9" tint="0.79998168889431442"/>
      </bottom>
      <diagonal/>
    </border>
    <border>
      <left/>
      <right/>
      <top style="thin">
        <color theme="9" tint="0.79998168889431442"/>
      </top>
      <bottom/>
      <diagonal/>
    </border>
    <border>
      <left style="thin">
        <color indexed="64"/>
      </left>
      <right/>
      <top style="thin">
        <color indexed="64"/>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s>
  <cellStyleXfs count="3">
    <xf numFmtId="0" fontId="0" fillId="0" borderId="0"/>
    <xf numFmtId="0" fontId="1" fillId="0" borderId="0"/>
    <xf numFmtId="0" fontId="11" fillId="0" borderId="0"/>
  </cellStyleXfs>
  <cellXfs count="308">
    <xf numFmtId="0" fontId="0" fillId="0" borderId="0" xfId="0"/>
    <xf numFmtId="0" fontId="0" fillId="0" borderId="11" xfId="0"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12" fillId="8" borderId="1" xfId="0" applyFont="1" applyFill="1" applyBorder="1" applyAlignment="1">
      <alignment horizontal="center" vertical="center"/>
    </xf>
    <xf numFmtId="0" fontId="3" fillId="3" borderId="11" xfId="0" applyFont="1" applyFill="1" applyBorder="1" applyAlignment="1">
      <alignment horizontal="center" vertical="center"/>
    </xf>
    <xf numFmtId="0" fontId="12" fillId="8" borderId="10" xfId="0" applyFont="1" applyFill="1" applyBorder="1" applyAlignment="1">
      <alignment horizontal="center" vertical="center"/>
    </xf>
    <xf numFmtId="0" fontId="3" fillId="3" borderId="7" xfId="0" applyFont="1" applyFill="1" applyBorder="1" applyAlignment="1">
      <alignment horizontal="center" vertical="center"/>
    </xf>
    <xf numFmtId="0" fontId="4" fillId="8" borderId="23" xfId="0" applyFont="1" applyFill="1" applyBorder="1" applyAlignment="1">
      <alignment horizontal="center" vertical="center"/>
    </xf>
    <xf numFmtId="0" fontId="12" fillId="8" borderId="5" xfId="0" applyFont="1" applyFill="1" applyBorder="1" applyAlignment="1">
      <alignment horizontal="center" vertical="center"/>
    </xf>
    <xf numFmtId="0" fontId="3" fillId="13" borderId="22" xfId="0" applyFont="1" applyFill="1" applyBorder="1" applyAlignment="1">
      <alignment horizontal="center" vertical="center"/>
    </xf>
    <xf numFmtId="0" fontId="3" fillId="13" borderId="24" xfId="0" applyFont="1" applyFill="1" applyBorder="1" applyAlignment="1">
      <alignment horizontal="center" vertical="center"/>
    </xf>
    <xf numFmtId="0" fontId="3" fillId="13" borderId="26" xfId="0" applyFont="1" applyFill="1" applyBorder="1" applyAlignment="1">
      <alignment horizontal="center" vertical="center"/>
    </xf>
    <xf numFmtId="0" fontId="6" fillId="6" borderId="29" xfId="0" applyFont="1" applyFill="1" applyBorder="1" applyAlignment="1">
      <alignment horizontal="center" vertical="center"/>
    </xf>
    <xf numFmtId="0" fontId="6" fillId="6" borderId="25" xfId="0" applyFont="1" applyFill="1" applyBorder="1" applyAlignment="1">
      <alignment horizontal="center" vertical="center"/>
    </xf>
    <xf numFmtId="0" fontId="6" fillId="6" borderId="36" xfId="0" applyFont="1" applyFill="1" applyBorder="1" applyAlignment="1">
      <alignment horizontal="center" vertical="center"/>
    </xf>
    <xf numFmtId="0" fontId="6" fillId="6" borderId="37" xfId="0" applyFont="1" applyFill="1" applyBorder="1" applyAlignment="1">
      <alignment horizontal="center" vertical="center"/>
    </xf>
    <xf numFmtId="0" fontId="6" fillId="12" borderId="29" xfId="0" applyFont="1" applyFill="1" applyBorder="1" applyAlignment="1">
      <alignment horizontal="center" vertical="center"/>
    </xf>
    <xf numFmtId="0" fontId="6" fillId="12" borderId="25" xfId="0" applyFont="1" applyFill="1" applyBorder="1" applyAlignment="1">
      <alignment horizontal="center" vertical="center"/>
    </xf>
    <xf numFmtId="0" fontId="6" fillId="12" borderId="36" xfId="0" applyFont="1" applyFill="1" applyBorder="1" applyAlignment="1">
      <alignment horizontal="center" vertical="center"/>
    </xf>
    <xf numFmtId="0" fontId="3" fillId="7" borderId="17" xfId="0" applyFont="1" applyFill="1" applyBorder="1" applyAlignment="1">
      <alignment horizontal="left"/>
    </xf>
    <xf numFmtId="0" fontId="3" fillId="7" borderId="18" xfId="0" applyFont="1" applyFill="1" applyBorder="1" applyAlignment="1">
      <alignment horizontal="left"/>
    </xf>
    <xf numFmtId="0" fontId="3" fillId="7" borderId="20" xfId="0" applyFont="1" applyFill="1" applyBorder="1" applyAlignment="1">
      <alignment horizontal="left"/>
    </xf>
    <xf numFmtId="0" fontId="3" fillId="14" borderId="30" xfId="0" applyFont="1" applyFill="1" applyBorder="1" applyAlignment="1">
      <alignment horizontal="center" vertical="center"/>
    </xf>
    <xf numFmtId="0" fontId="0" fillId="2" borderId="0" xfId="0" applyFill="1" applyAlignment="1">
      <alignment vertical="center"/>
    </xf>
    <xf numFmtId="0" fontId="0" fillId="2" borderId="0" xfId="0" applyFill="1"/>
    <xf numFmtId="0" fontId="0" fillId="2" borderId="0" xfId="0" applyFill="1" applyAlignment="1">
      <alignment horizontal="center" vertical="center"/>
    </xf>
    <xf numFmtId="0" fontId="3" fillId="13" borderId="39" xfId="0" applyFont="1" applyFill="1" applyBorder="1" applyAlignment="1">
      <alignment horizontal="center" vertical="center"/>
    </xf>
    <xf numFmtId="0" fontId="3" fillId="13" borderId="40" xfId="0" applyFont="1" applyFill="1" applyBorder="1" applyAlignment="1">
      <alignment horizontal="center" vertical="center"/>
    </xf>
    <xf numFmtId="0" fontId="3" fillId="13" borderId="41" xfId="0" applyFont="1" applyFill="1" applyBorder="1" applyAlignment="1">
      <alignment horizontal="center" vertical="center"/>
    </xf>
    <xf numFmtId="0" fontId="3" fillId="13" borderId="42" xfId="0" applyFont="1" applyFill="1" applyBorder="1" applyAlignment="1">
      <alignment horizontal="center" vertical="center"/>
    </xf>
    <xf numFmtId="0" fontId="14" fillId="0" borderId="0" xfId="0" applyFont="1" applyAlignment="1">
      <alignment vertical="center"/>
    </xf>
    <xf numFmtId="0" fontId="15" fillId="2" borderId="38" xfId="0" applyFont="1" applyFill="1" applyBorder="1" applyAlignment="1">
      <alignment horizontal="center" vertical="center"/>
    </xf>
    <xf numFmtId="0" fontId="0" fillId="0" borderId="0" xfId="0" applyAlignment="1">
      <alignment vertical="center" wrapText="1"/>
    </xf>
    <xf numFmtId="0" fontId="2" fillId="8" borderId="21" xfId="0" applyFont="1" applyFill="1" applyBorder="1" applyAlignment="1">
      <alignment horizontal="center" vertical="center"/>
    </xf>
    <xf numFmtId="0" fontId="2" fillId="8" borderId="17" xfId="0" applyFont="1" applyFill="1" applyBorder="1" applyAlignment="1">
      <alignment horizontal="center" vertical="center"/>
    </xf>
    <xf numFmtId="0" fontId="3" fillId="0" borderId="11" xfId="0" applyFont="1" applyBorder="1" applyAlignment="1">
      <alignment vertical="center"/>
    </xf>
    <xf numFmtId="0" fontId="3" fillId="15" borderId="11" xfId="0" applyFont="1" applyFill="1" applyBorder="1" applyAlignment="1">
      <alignment vertical="center"/>
    </xf>
    <xf numFmtId="0" fontId="3" fillId="15" borderId="11" xfId="0" applyFont="1" applyFill="1" applyBorder="1"/>
    <xf numFmtId="0" fontId="3" fillId="4" borderId="11" xfId="0" applyFont="1" applyFill="1" applyBorder="1" applyAlignment="1">
      <alignment vertical="center"/>
    </xf>
    <xf numFmtId="0" fontId="3" fillId="5" borderId="19"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6" xfId="0" applyFont="1" applyFill="1" applyBorder="1" applyAlignment="1">
      <alignment horizontal="center" vertical="center"/>
    </xf>
    <xf numFmtId="0" fontId="16" fillId="0" borderId="0" xfId="0" applyFont="1" applyAlignment="1">
      <alignment vertical="center"/>
    </xf>
    <xf numFmtId="0" fontId="16" fillId="0" borderId="0" xfId="0" applyFont="1"/>
    <xf numFmtId="0" fontId="17" fillId="3" borderId="31" xfId="0" applyFont="1" applyFill="1" applyBorder="1" applyAlignment="1">
      <alignment horizontal="center" vertical="center"/>
    </xf>
    <xf numFmtId="0" fontId="16" fillId="13" borderId="32" xfId="0" applyFont="1" applyFill="1" applyBorder="1" applyAlignment="1">
      <alignment horizontal="center" vertical="center"/>
    </xf>
    <xf numFmtId="0" fontId="19" fillId="2" borderId="0" xfId="0" applyFont="1" applyFill="1"/>
    <xf numFmtId="0" fontId="0" fillId="0" borderId="0" xfId="0" applyAlignment="1">
      <alignment horizontal="center"/>
    </xf>
    <xf numFmtId="0" fontId="3" fillId="3" borderId="11"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23" fillId="18" borderId="46" xfId="0" applyFont="1" applyFill="1" applyBorder="1"/>
    <xf numFmtId="0" fontId="23" fillId="0" borderId="47" xfId="0" applyFont="1" applyBorder="1"/>
    <xf numFmtId="0" fontId="22" fillId="17" borderId="48" xfId="0" applyFont="1" applyFill="1" applyBorder="1"/>
    <xf numFmtId="0" fontId="22" fillId="17" borderId="49" xfId="0" applyFont="1" applyFill="1" applyBorder="1"/>
    <xf numFmtId="0" fontId="0" fillId="0" borderId="0" xfId="0" applyAlignment="1">
      <alignment wrapText="1"/>
    </xf>
    <xf numFmtId="0" fontId="18" fillId="0" borderId="11" xfId="0" applyFont="1" applyBorder="1" applyAlignment="1">
      <alignment horizontal="center"/>
    </xf>
    <xf numFmtId="0" fontId="18" fillId="0" borderId="11" xfId="0" applyFont="1" applyBorder="1" applyAlignment="1">
      <alignment horizontal="center" vertical="center"/>
    </xf>
    <xf numFmtId="0" fontId="0" fillId="0" borderId="11" xfId="0" applyBorder="1" applyAlignment="1">
      <alignment horizontal="left" wrapText="1"/>
    </xf>
    <xf numFmtId="0" fontId="21" fillId="16" borderId="44" xfId="0" applyFont="1" applyFill="1" applyBorder="1" applyAlignment="1">
      <alignment horizontal="center" vertical="top"/>
    </xf>
    <xf numFmtId="0" fontId="0" fillId="0" borderId="0" xfId="0" applyAlignment="1">
      <alignment horizontal="center" vertical="top"/>
    </xf>
    <xf numFmtId="0" fontId="23" fillId="18" borderId="46" xfId="0" applyFont="1" applyFill="1" applyBorder="1" applyAlignment="1">
      <alignment horizontal="center" vertical="top"/>
    </xf>
    <xf numFmtId="0" fontId="23" fillId="0" borderId="47" xfId="0" applyFont="1" applyBorder="1" applyAlignment="1">
      <alignment horizontal="center" vertical="top"/>
    </xf>
    <xf numFmtId="0" fontId="22" fillId="17" borderId="45" xfId="0" applyFont="1" applyFill="1" applyBorder="1" applyAlignment="1">
      <alignment horizontal="center" vertical="top"/>
    </xf>
    <xf numFmtId="0" fontId="22" fillId="17" borderId="48" xfId="0" applyFont="1" applyFill="1" applyBorder="1" applyAlignment="1">
      <alignment horizontal="center" vertical="top"/>
    </xf>
    <xf numFmtId="0" fontId="22" fillId="17" borderId="49" xfId="0" applyFont="1" applyFill="1" applyBorder="1" applyAlignment="1">
      <alignment horizontal="center" vertical="top"/>
    </xf>
    <xf numFmtId="0" fontId="26" fillId="0" borderId="47" xfId="0" applyFont="1" applyBorder="1" applyAlignment="1">
      <alignment horizontal="center" vertical="top"/>
    </xf>
    <xf numFmtId="0" fontId="23" fillId="0" borderId="50" xfId="0" applyFont="1" applyBorder="1" applyAlignment="1">
      <alignment horizontal="center" vertical="top"/>
    </xf>
    <xf numFmtId="165" fontId="27" fillId="0" borderId="0" xfId="0" applyNumberFormat="1" applyFont="1" applyAlignment="1">
      <alignment horizontal="center" vertical="top"/>
    </xf>
    <xf numFmtId="0" fontId="27" fillId="0" borderId="0" xfId="0" applyFont="1" applyAlignment="1">
      <alignment horizontal="center" vertical="top"/>
    </xf>
    <xf numFmtId="0" fontId="26" fillId="0" borderId="0" xfId="0" applyFont="1" applyAlignment="1">
      <alignment horizontal="center" vertical="top"/>
    </xf>
    <xf numFmtId="0" fontId="28" fillId="17" borderId="49" xfId="0" applyFont="1" applyFill="1" applyBorder="1" applyAlignment="1">
      <alignment horizontal="center" vertical="top"/>
    </xf>
    <xf numFmtId="165" fontId="27" fillId="0" borderId="46" xfId="0" applyNumberFormat="1" applyFont="1" applyBorder="1" applyAlignment="1">
      <alignment horizontal="center" vertical="top"/>
    </xf>
    <xf numFmtId="0" fontId="23" fillId="18" borderId="0" xfId="0" applyFont="1" applyFill="1" applyAlignment="1">
      <alignment horizontal="center" vertical="top"/>
    </xf>
    <xf numFmtId="0" fontId="27" fillId="0" borderId="47" xfId="0" applyFont="1" applyBorder="1" applyAlignment="1">
      <alignment horizontal="center" vertical="top"/>
    </xf>
    <xf numFmtId="0" fontId="23" fillId="0" borderId="0" xfId="0" applyFont="1" applyAlignment="1">
      <alignment horizontal="center" vertical="top"/>
    </xf>
    <xf numFmtId="0" fontId="27" fillId="0" borderId="46" xfId="0" applyFont="1" applyBorder="1" applyAlignment="1">
      <alignment horizontal="center" vertical="top"/>
    </xf>
    <xf numFmtId="0" fontId="28" fillId="17" borderId="48" xfId="0" applyFont="1" applyFill="1" applyBorder="1" applyAlignment="1">
      <alignment horizontal="center" vertical="top"/>
    </xf>
    <xf numFmtId="0" fontId="4" fillId="2" borderId="21" xfId="0" applyFont="1" applyFill="1" applyBorder="1" applyAlignment="1">
      <alignment horizontal="center" vertical="center"/>
    </xf>
    <xf numFmtId="0" fontId="3" fillId="2" borderId="52" xfId="0" applyFont="1" applyFill="1" applyBorder="1" applyAlignment="1">
      <alignment horizontal="center" vertical="center"/>
    </xf>
    <xf numFmtId="0" fontId="3" fillId="2" borderId="53" xfId="0" applyFont="1" applyFill="1" applyBorder="1" applyAlignment="1">
      <alignment horizontal="center" vertical="center"/>
    </xf>
    <xf numFmtId="0" fontId="3" fillId="2" borderId="41" xfId="0" applyFont="1" applyFill="1" applyBorder="1" applyAlignment="1">
      <alignment horizontal="center" vertical="center"/>
    </xf>
    <xf numFmtId="0" fontId="3" fillId="2" borderId="0" xfId="0" applyFont="1" applyFill="1" applyAlignment="1">
      <alignment horizontal="center" vertical="center"/>
    </xf>
    <xf numFmtId="0" fontId="18" fillId="4" borderId="11" xfId="0" applyFont="1" applyFill="1" applyBorder="1" applyAlignment="1">
      <alignment horizontal="center"/>
    </xf>
    <xf numFmtId="0" fontId="3" fillId="15" borderId="52" xfId="0" applyFont="1" applyFill="1" applyBorder="1"/>
    <xf numFmtId="0" fontId="6" fillId="0" borderId="28" xfId="0" applyFont="1" applyBorder="1"/>
    <xf numFmtId="15" fontId="0" fillId="0" borderId="0" xfId="0" applyNumberFormat="1"/>
    <xf numFmtId="0" fontId="6" fillId="0" borderId="0" xfId="0" applyFont="1"/>
    <xf numFmtId="49" fontId="0" fillId="0" borderId="0" xfId="0" applyNumberFormat="1"/>
    <xf numFmtId="164" fontId="18" fillId="0" borderId="11" xfId="0" applyNumberFormat="1" applyFont="1" applyBorder="1" applyAlignment="1">
      <alignment horizontal="center"/>
    </xf>
    <xf numFmtId="0" fontId="18" fillId="19" borderId="11" xfId="0" applyFont="1" applyFill="1" applyBorder="1" applyAlignment="1">
      <alignment horizontal="center"/>
    </xf>
    <xf numFmtId="9" fontId="18" fillId="0" borderId="11" xfId="0" applyNumberFormat="1" applyFont="1" applyBorder="1" applyAlignment="1">
      <alignment horizontal="center"/>
    </xf>
    <xf numFmtId="0" fontId="20" fillId="0" borderId="0" xfId="0" applyFont="1" applyAlignment="1">
      <alignment horizontal="left"/>
    </xf>
    <xf numFmtId="0" fontId="20" fillId="0" borderId="11" xfId="0" applyFont="1" applyBorder="1" applyAlignment="1">
      <alignment horizontal="left" wrapText="1"/>
    </xf>
    <xf numFmtId="0" fontId="20" fillId="0" borderId="11" xfId="0" applyFont="1" applyBorder="1" applyAlignment="1">
      <alignment horizontal="center"/>
    </xf>
    <xf numFmtId="0" fontId="20" fillId="0" borderId="11" xfId="0" pivotButton="1" applyFont="1" applyBorder="1" applyAlignment="1">
      <alignment wrapText="1"/>
    </xf>
    <xf numFmtId="0" fontId="20" fillId="0" borderId="0" xfId="0" applyFont="1" applyAlignment="1">
      <alignment wrapText="1"/>
    </xf>
    <xf numFmtId="0" fontId="20" fillId="0" borderId="0" xfId="0" applyFont="1" applyAlignment="1">
      <alignment horizontal="center"/>
    </xf>
    <xf numFmtId="0" fontId="20" fillId="0" borderId="0" xfId="0" applyFont="1"/>
    <xf numFmtId="10" fontId="20" fillId="0" borderId="0" xfId="0" applyNumberFormat="1" applyFont="1" applyAlignment="1">
      <alignment horizontal="center"/>
    </xf>
    <xf numFmtId="0" fontId="0" fillId="0" borderId="0" xfId="0" pivotButton="1" applyAlignment="1">
      <alignment horizontal="center" vertical="top" wrapText="1"/>
    </xf>
    <xf numFmtId="0" fontId="0" fillId="0" borderId="0" xfId="0" applyAlignment="1">
      <alignment horizontal="center" vertical="top" wrapText="1"/>
    </xf>
    <xf numFmtId="0" fontId="0" fillId="0" borderId="0" xfId="0" pivotButton="1" applyAlignment="1">
      <alignment horizontal="center"/>
    </xf>
    <xf numFmtId="0" fontId="0" fillId="0" borderId="0" xfId="0" applyAlignment="1">
      <alignment horizontal="center" indent="1"/>
    </xf>
    <xf numFmtId="0" fontId="29" fillId="21" borderId="57" xfId="0" applyFont="1" applyFill="1" applyBorder="1" applyAlignment="1">
      <alignment horizontal="center"/>
    </xf>
    <xf numFmtId="0" fontId="29" fillId="21" borderId="58" xfId="0" applyFont="1" applyFill="1" applyBorder="1" applyAlignment="1">
      <alignment horizontal="center"/>
    </xf>
    <xf numFmtId="0" fontId="30" fillId="22" borderId="11" xfId="0" applyFont="1" applyFill="1" applyBorder="1" applyAlignment="1">
      <alignment horizontal="center" vertical="center"/>
    </xf>
    <xf numFmtId="0" fontId="30" fillId="22" borderId="11" xfId="0" applyFont="1" applyFill="1" applyBorder="1" applyAlignment="1">
      <alignment horizontal="center" wrapText="1"/>
    </xf>
    <xf numFmtId="0" fontId="31" fillId="22" borderId="11" xfId="0" applyFont="1" applyFill="1" applyBorder="1" applyAlignment="1">
      <alignment horizontal="center"/>
    </xf>
    <xf numFmtId="0" fontId="30" fillId="22" borderId="11" xfId="0" applyFont="1" applyFill="1" applyBorder="1" applyAlignment="1">
      <alignment horizontal="center"/>
    </xf>
    <xf numFmtId="0" fontId="30" fillId="23" borderId="11" xfId="0" applyFont="1" applyFill="1" applyBorder="1" applyAlignment="1">
      <alignment horizontal="center" vertical="center"/>
    </xf>
    <xf numFmtId="0" fontId="24" fillId="23" borderId="11" xfId="0" applyFont="1" applyFill="1" applyBorder="1" applyAlignment="1">
      <alignment horizontal="center" wrapText="1"/>
    </xf>
    <xf numFmtId="0" fontId="31" fillId="23" borderId="11" xfId="0" applyFont="1" applyFill="1" applyBorder="1" applyAlignment="1">
      <alignment horizontal="center"/>
    </xf>
    <xf numFmtId="0" fontId="24" fillId="23" borderId="11" xfId="0" applyFont="1" applyFill="1" applyBorder="1" applyAlignment="1">
      <alignment horizontal="center"/>
    </xf>
    <xf numFmtId="0" fontId="30" fillId="23" borderId="11" xfId="0" applyFont="1" applyFill="1" applyBorder="1" applyAlignment="1">
      <alignment horizontal="center"/>
    </xf>
    <xf numFmtId="0" fontId="32" fillId="23" borderId="11" xfId="0" applyFont="1" applyFill="1" applyBorder="1" applyAlignment="1">
      <alignment horizontal="center"/>
    </xf>
    <xf numFmtId="0" fontId="30" fillId="6" borderId="11" xfId="0" applyFont="1" applyFill="1" applyBorder="1" applyAlignment="1">
      <alignment horizontal="center" vertical="center"/>
    </xf>
    <xf numFmtId="0" fontId="31" fillId="6" borderId="11" xfId="0" applyFont="1" applyFill="1" applyBorder="1" applyAlignment="1">
      <alignment horizontal="center"/>
    </xf>
    <xf numFmtId="0" fontId="30" fillId="10" borderId="11" xfId="0" applyFont="1" applyFill="1" applyBorder="1" applyAlignment="1">
      <alignment horizontal="center" vertical="center"/>
    </xf>
    <xf numFmtId="0" fontId="30" fillId="10" borderId="11" xfId="0" applyFont="1" applyFill="1" applyBorder="1" applyAlignment="1">
      <alignment horizontal="center"/>
    </xf>
    <xf numFmtId="0" fontId="31" fillId="10" borderId="11" xfId="0" applyFont="1" applyFill="1" applyBorder="1" applyAlignment="1">
      <alignment horizontal="center"/>
    </xf>
    <xf numFmtId="0" fontId="30" fillId="10" borderId="11" xfId="0" applyFont="1" applyFill="1" applyBorder="1" applyAlignment="1">
      <alignment horizontal="center" wrapText="1"/>
    </xf>
    <xf numFmtId="0" fontId="30" fillId="19" borderId="11" xfId="0" applyFont="1" applyFill="1" applyBorder="1" applyAlignment="1">
      <alignment horizontal="center"/>
    </xf>
    <xf numFmtId="0" fontId="31" fillId="19" borderId="11" xfId="0" applyFont="1" applyFill="1" applyBorder="1" applyAlignment="1">
      <alignment horizontal="center"/>
    </xf>
    <xf numFmtId="0" fontId="30" fillId="19" borderId="11" xfId="0" applyFont="1" applyFill="1" applyBorder="1" applyAlignment="1">
      <alignment horizontal="center" vertical="center"/>
    </xf>
    <xf numFmtId="0" fontId="24" fillId="19" borderId="11" xfId="0" applyFont="1" applyFill="1" applyBorder="1" applyAlignment="1">
      <alignment horizontal="center" vertical="center"/>
    </xf>
    <xf numFmtId="0" fontId="30" fillId="19" borderId="11" xfId="0" applyFont="1" applyFill="1" applyBorder="1" applyAlignment="1">
      <alignment horizontal="center" wrapText="1"/>
    </xf>
    <xf numFmtId="0" fontId="24" fillId="22" borderId="11" xfId="0" applyFont="1" applyFill="1" applyBorder="1" applyAlignment="1">
      <alignment horizontal="center" vertical="center"/>
    </xf>
    <xf numFmtId="0" fontId="24" fillId="6" borderId="11" xfId="0" applyFont="1" applyFill="1" applyBorder="1" applyAlignment="1">
      <alignment horizontal="center" vertical="center"/>
    </xf>
    <xf numFmtId="0" fontId="24" fillId="10" borderId="11" xfId="0" applyFont="1" applyFill="1" applyBorder="1" applyAlignment="1">
      <alignment horizontal="center" vertical="center"/>
    </xf>
    <xf numFmtId="0" fontId="29" fillId="21" borderId="59" xfId="0" applyFont="1" applyFill="1" applyBorder="1" applyAlignment="1">
      <alignment horizontal="center"/>
    </xf>
    <xf numFmtId="0" fontId="31" fillId="22" borderId="60" xfId="0" applyFont="1" applyFill="1" applyBorder="1" applyAlignment="1">
      <alignment horizontal="center"/>
    </xf>
    <xf numFmtId="0" fontId="25" fillId="20" borderId="11" xfId="0" applyFont="1" applyFill="1" applyBorder="1" applyAlignment="1">
      <alignment horizontal="center" vertical="center" wrapText="1"/>
    </xf>
    <xf numFmtId="0" fontId="18" fillId="24" borderId="11" xfId="0" applyFont="1" applyFill="1" applyBorder="1" applyAlignment="1">
      <alignment horizontal="center"/>
    </xf>
    <xf numFmtId="164" fontId="18" fillId="24" borderId="11" xfId="0" applyNumberFormat="1" applyFont="1" applyFill="1" applyBorder="1" applyAlignment="1">
      <alignment horizontal="center"/>
    </xf>
    <xf numFmtId="9" fontId="18" fillId="24" borderId="11" xfId="0" applyNumberFormat="1" applyFont="1" applyFill="1" applyBorder="1" applyAlignment="1">
      <alignment horizontal="center"/>
    </xf>
    <xf numFmtId="0" fontId="18" fillId="24" borderId="11" xfId="0" applyFont="1" applyFill="1" applyBorder="1" applyAlignment="1">
      <alignment horizontal="center" vertical="center"/>
    </xf>
    <xf numFmtId="0" fontId="0" fillId="0" borderId="11" xfId="0" applyBorder="1"/>
    <xf numFmtId="0" fontId="0" fillId="0" borderId="11" xfId="0" applyBorder="1" applyAlignment="1">
      <alignment horizontal="center"/>
    </xf>
    <xf numFmtId="0" fontId="25" fillId="8" borderId="11" xfId="0" applyFont="1" applyFill="1" applyBorder="1" applyAlignment="1">
      <alignment horizontal="center" vertical="center" wrapText="1"/>
    </xf>
    <xf numFmtId="0" fontId="7" fillId="10" borderId="11" xfId="0" applyFont="1" applyFill="1" applyBorder="1" applyAlignment="1">
      <alignment horizontal="left" vertical="top" wrapText="1"/>
    </xf>
    <xf numFmtId="0" fontId="9" fillId="10" borderId="11" xfId="1" applyFont="1" applyFill="1" applyBorder="1" applyAlignment="1">
      <alignment horizontal="left" vertical="top" wrapText="1"/>
    </xf>
    <xf numFmtId="0" fontId="10" fillId="10" borderId="11" xfId="1" applyFont="1" applyFill="1" applyBorder="1" applyAlignment="1">
      <alignment horizontal="left" vertical="top" wrapText="1"/>
    </xf>
    <xf numFmtId="0" fontId="7" fillId="10" borderId="11" xfId="0" applyFont="1" applyFill="1" applyBorder="1" applyAlignment="1">
      <alignment vertical="top" wrapText="1"/>
    </xf>
    <xf numFmtId="0" fontId="7" fillId="6" borderId="11" xfId="0" applyFont="1" applyFill="1" applyBorder="1" applyAlignment="1">
      <alignment vertical="top" wrapText="1"/>
    </xf>
    <xf numFmtId="0" fontId="0" fillId="0" borderId="11" xfId="0" applyBorder="1" applyAlignment="1">
      <alignment vertical="center" wrapText="1"/>
    </xf>
    <xf numFmtId="0" fontId="18" fillId="0" borderId="11" xfId="0" applyFont="1" applyBorder="1"/>
    <xf numFmtId="0" fontId="0" fillId="24" borderId="11" xfId="0" applyFill="1" applyBorder="1"/>
    <xf numFmtId="10" fontId="0" fillId="0" borderId="11" xfId="0" applyNumberFormat="1" applyBorder="1" applyAlignment="1">
      <alignment horizontal="center"/>
    </xf>
    <xf numFmtId="0" fontId="0" fillId="0" borderId="11" xfId="0" pivotButton="1" applyBorder="1" applyAlignment="1">
      <alignment horizontal="center"/>
    </xf>
    <xf numFmtId="10" fontId="33" fillId="0" borderId="11" xfId="0" applyNumberFormat="1" applyFont="1" applyBorder="1" applyAlignment="1">
      <alignment horizontal="center"/>
    </xf>
    <xf numFmtId="0" fontId="6" fillId="6" borderId="55" xfId="0" applyFont="1" applyFill="1" applyBorder="1" applyAlignment="1">
      <alignment horizontal="center" vertical="center"/>
    </xf>
    <xf numFmtId="0" fontId="6" fillId="6" borderId="19" xfId="0" applyFont="1" applyFill="1" applyBorder="1" applyAlignment="1">
      <alignment horizontal="center" vertical="center"/>
    </xf>
    <xf numFmtId="0" fontId="6" fillId="6" borderId="6" xfId="0" applyFont="1" applyFill="1" applyBorder="1" applyAlignment="1">
      <alignment horizontal="center" vertical="center"/>
    </xf>
    <xf numFmtId="9" fontId="18" fillId="4" borderId="11" xfId="0" applyNumberFormat="1" applyFont="1" applyFill="1" applyBorder="1" applyAlignment="1">
      <alignment horizontal="center"/>
    </xf>
    <xf numFmtId="0" fontId="20" fillId="0" borderId="11" xfId="0" pivotButton="1" applyFont="1" applyBorder="1"/>
    <xf numFmtId="0" fontId="20" fillId="0" borderId="11" xfId="0" applyFont="1" applyBorder="1"/>
    <xf numFmtId="0" fontId="20" fillId="0" borderId="11" xfId="0" applyFont="1" applyBorder="1" applyAlignment="1">
      <alignment horizontal="left"/>
    </xf>
    <xf numFmtId="0" fontId="20" fillId="0" borderId="0" xfId="0" pivotButton="1" applyFont="1"/>
    <xf numFmtId="0" fontId="3" fillId="13" borderId="66" xfId="0" applyFont="1" applyFill="1" applyBorder="1" applyAlignment="1">
      <alignment horizontal="center" vertical="center"/>
    </xf>
    <xf numFmtId="0" fontId="3" fillId="13" borderId="35" xfId="0" applyFont="1" applyFill="1" applyBorder="1" applyAlignment="1">
      <alignment horizontal="center" vertical="center"/>
    </xf>
    <xf numFmtId="0" fontId="3" fillId="13" borderId="67"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5" xfId="0" applyFont="1" applyFill="1" applyBorder="1" applyAlignment="1">
      <alignment horizontal="center" vertical="center"/>
    </xf>
    <xf numFmtId="0" fontId="3" fillId="13" borderId="56" xfId="0" applyFont="1" applyFill="1" applyBorder="1" applyAlignment="1">
      <alignment horizontal="center" vertical="center"/>
    </xf>
    <xf numFmtId="0" fontId="3" fillId="13" borderId="13" xfId="0" applyFont="1" applyFill="1" applyBorder="1" applyAlignment="1">
      <alignment horizontal="center" vertical="center"/>
    </xf>
    <xf numFmtId="0" fontId="6" fillId="25" borderId="29" xfId="0" applyFont="1" applyFill="1" applyBorder="1" applyAlignment="1">
      <alignment horizontal="center" vertical="center"/>
    </xf>
    <xf numFmtId="0" fontId="6" fillId="25" borderId="36" xfId="0" applyFont="1" applyFill="1" applyBorder="1" applyAlignment="1">
      <alignment horizontal="center" vertical="center"/>
    </xf>
    <xf numFmtId="0" fontId="6" fillId="25" borderId="25" xfId="0" applyFont="1" applyFill="1" applyBorder="1" applyAlignment="1">
      <alignment horizontal="center" vertical="center"/>
    </xf>
    <xf numFmtId="0" fontId="6" fillId="25" borderId="62" xfId="0" applyFont="1" applyFill="1" applyBorder="1" applyAlignment="1">
      <alignment horizontal="center" vertical="center"/>
    </xf>
    <xf numFmtId="0" fontId="6" fillId="25" borderId="55" xfId="0" applyFont="1" applyFill="1" applyBorder="1" applyAlignment="1">
      <alignment horizontal="center" vertical="center"/>
    </xf>
    <xf numFmtId="0" fontId="6" fillId="25" borderId="19" xfId="0" applyFont="1" applyFill="1" applyBorder="1" applyAlignment="1">
      <alignment horizontal="center" vertical="center"/>
    </xf>
    <xf numFmtId="0" fontId="6" fillId="25" borderId="6" xfId="0" applyFont="1" applyFill="1" applyBorder="1" applyAlignment="1">
      <alignment horizontal="center" vertical="center"/>
    </xf>
    <xf numFmtId="0" fontId="6" fillId="25" borderId="64" xfId="0" applyFont="1" applyFill="1" applyBorder="1" applyAlignment="1">
      <alignment horizontal="center" vertical="center"/>
    </xf>
    <xf numFmtId="0" fontId="6" fillId="25" borderId="54" xfId="0" applyFont="1" applyFill="1" applyBorder="1" applyAlignment="1">
      <alignment horizontal="center" vertical="center"/>
    </xf>
    <xf numFmtId="0" fontId="6" fillId="25" borderId="65" xfId="0" applyFont="1" applyFill="1" applyBorder="1" applyAlignment="1">
      <alignment horizontal="center" vertical="center"/>
    </xf>
    <xf numFmtId="0" fontId="6" fillId="25" borderId="19" xfId="0" applyFont="1" applyFill="1" applyBorder="1" applyAlignment="1">
      <alignment horizontal="center" vertical="center" wrapText="1"/>
    </xf>
    <xf numFmtId="0" fontId="3" fillId="13" borderId="68" xfId="0" applyFont="1" applyFill="1" applyBorder="1" applyAlignment="1">
      <alignment horizontal="center" vertical="center"/>
    </xf>
    <xf numFmtId="0" fontId="3" fillId="13" borderId="23" xfId="0" applyFont="1" applyFill="1" applyBorder="1" applyAlignment="1">
      <alignment horizontal="center" vertical="center"/>
    </xf>
    <xf numFmtId="0" fontId="7" fillId="25" borderId="55" xfId="0" applyFont="1" applyFill="1" applyBorder="1" applyAlignment="1">
      <alignment horizontal="center" vertical="center"/>
    </xf>
    <xf numFmtId="0" fontId="7" fillId="25" borderId="19" xfId="0" applyFont="1" applyFill="1" applyBorder="1" applyAlignment="1">
      <alignment horizontal="center" vertical="center"/>
    </xf>
    <xf numFmtId="0" fontId="7" fillId="25" borderId="6" xfId="0" applyFont="1" applyFill="1" applyBorder="1" applyAlignment="1">
      <alignment horizontal="center" vertical="center"/>
    </xf>
    <xf numFmtId="0" fontId="7" fillId="25" borderId="3" xfId="0" applyFont="1" applyFill="1" applyBorder="1" applyAlignment="1">
      <alignment horizontal="left" vertical="center" wrapText="1"/>
    </xf>
    <xf numFmtId="0" fontId="7" fillId="25" borderId="8" xfId="0" applyFont="1" applyFill="1" applyBorder="1" applyAlignment="1">
      <alignment horizontal="left" vertical="center" wrapText="1"/>
    </xf>
    <xf numFmtId="0" fontId="7" fillId="25" borderId="12" xfId="0" applyFont="1" applyFill="1" applyBorder="1" applyAlignment="1">
      <alignment horizontal="left" vertical="center" wrapText="1"/>
    </xf>
    <xf numFmtId="0" fontId="7" fillId="25" borderId="61" xfId="0" applyFont="1" applyFill="1" applyBorder="1" applyAlignment="1">
      <alignment horizontal="left" vertical="center" wrapText="1"/>
    </xf>
    <xf numFmtId="0" fontId="9" fillId="25" borderId="3" xfId="1" applyFont="1" applyFill="1" applyBorder="1" applyAlignment="1">
      <alignment horizontal="left" vertical="center" wrapText="1"/>
    </xf>
    <xf numFmtId="0" fontId="10" fillId="25" borderId="12" xfId="1" applyFont="1" applyFill="1" applyBorder="1" applyAlignment="1">
      <alignment horizontal="left" vertical="center" wrapText="1"/>
    </xf>
    <xf numFmtId="0" fontId="10" fillId="25" borderId="8" xfId="1" applyFont="1" applyFill="1" applyBorder="1" applyAlignment="1">
      <alignment horizontal="left" vertical="center" wrapText="1"/>
    </xf>
    <xf numFmtId="0" fontId="10" fillId="25" borderId="3" xfId="1" applyFont="1" applyFill="1" applyBorder="1" applyAlignment="1">
      <alignment horizontal="left" vertical="center" wrapText="1"/>
    </xf>
    <xf numFmtId="0" fontId="9" fillId="25" borderId="14" xfId="1" applyFont="1" applyFill="1" applyBorder="1" applyAlignment="1">
      <alignment horizontal="left" vertical="center" wrapText="1"/>
    </xf>
    <xf numFmtId="0" fontId="7" fillId="25" borderId="4" xfId="0" applyFont="1" applyFill="1" applyBorder="1" applyAlignment="1">
      <alignment horizontal="left" vertical="center" wrapText="1"/>
    </xf>
    <xf numFmtId="0" fontId="10" fillId="25" borderId="4" xfId="1" applyFont="1" applyFill="1" applyBorder="1" applyAlignment="1">
      <alignment horizontal="left" vertical="center" wrapText="1"/>
    </xf>
    <xf numFmtId="0" fontId="10" fillId="25" borderId="15" xfId="1" applyFont="1" applyFill="1" applyBorder="1" applyAlignment="1">
      <alignment horizontal="left" vertical="center" wrapText="1"/>
    </xf>
    <xf numFmtId="0" fontId="7" fillId="25" borderId="14" xfId="0" applyFont="1" applyFill="1" applyBorder="1" applyAlignment="1">
      <alignment vertical="center" wrapText="1"/>
    </xf>
    <xf numFmtId="0" fontId="7" fillId="25" borderId="27" xfId="0" applyFont="1" applyFill="1" applyBorder="1" applyAlignment="1">
      <alignment vertical="center" wrapText="1"/>
    </xf>
    <xf numFmtId="0" fontId="7" fillId="25" borderId="15" xfId="0" applyFont="1" applyFill="1" applyBorder="1" applyAlignment="1">
      <alignment horizontal="left" vertical="center" wrapText="1"/>
    </xf>
    <xf numFmtId="0" fontId="10" fillId="25" borderId="27" xfId="1" applyFont="1" applyFill="1" applyBorder="1" applyAlignment="1">
      <alignment horizontal="left" vertical="center" wrapText="1"/>
    </xf>
    <xf numFmtId="0" fontId="7" fillId="25" borderId="4" xfId="0" applyFont="1" applyFill="1" applyBorder="1" applyAlignment="1">
      <alignment vertical="center" wrapText="1"/>
    </xf>
    <xf numFmtId="0" fontId="7" fillId="25" borderId="63" xfId="0" applyFont="1" applyFill="1" applyBorder="1" applyAlignment="1">
      <alignment vertical="center" wrapText="1"/>
    </xf>
    <xf numFmtId="0" fontId="7" fillId="25" borderId="12" xfId="0" applyFont="1" applyFill="1" applyBorder="1" applyAlignment="1">
      <alignment vertical="center" wrapText="1"/>
    </xf>
    <xf numFmtId="0" fontId="7" fillId="25" borderId="8" xfId="0" applyFont="1" applyFill="1" applyBorder="1" applyAlignment="1">
      <alignment vertical="center" wrapText="1"/>
    </xf>
    <xf numFmtId="0" fontId="7" fillId="6" borderId="3" xfId="0" applyFont="1" applyFill="1" applyBorder="1" applyAlignment="1">
      <alignment vertical="center" wrapText="1"/>
    </xf>
    <xf numFmtId="0" fontId="7" fillId="6" borderId="12" xfId="0" applyFont="1" applyFill="1" applyBorder="1" applyAlignment="1">
      <alignment vertical="center" wrapText="1"/>
    </xf>
    <xf numFmtId="0" fontId="7" fillId="6" borderId="8" xfId="0" applyFont="1" applyFill="1" applyBorder="1" applyAlignment="1">
      <alignment vertical="center" wrapText="1"/>
    </xf>
    <xf numFmtId="0" fontId="7" fillId="6" borderId="33" xfId="0" applyFont="1" applyFill="1" applyBorder="1" applyAlignment="1">
      <alignment vertical="center" wrapText="1"/>
    </xf>
    <xf numFmtId="0" fontId="7" fillId="12" borderId="3" xfId="0" applyFont="1" applyFill="1" applyBorder="1" applyAlignment="1">
      <alignment horizontal="left" vertical="center" wrapText="1"/>
    </xf>
    <xf numFmtId="0" fontId="7" fillId="12" borderId="12" xfId="0" applyFont="1" applyFill="1" applyBorder="1" applyAlignment="1">
      <alignment horizontal="left" vertical="center" wrapText="1"/>
    </xf>
    <xf numFmtId="0" fontId="7" fillId="12" borderId="8" xfId="0" applyFont="1" applyFill="1" applyBorder="1" applyAlignment="1">
      <alignment horizontal="left" vertical="center" wrapText="1"/>
    </xf>
    <xf numFmtId="0" fontId="0" fillId="2" borderId="0" xfId="0" applyFill="1" applyAlignment="1">
      <alignment vertical="center" wrapText="1"/>
    </xf>
    <xf numFmtId="0" fontId="16" fillId="0" borderId="0" xfId="0" applyFont="1" applyAlignment="1">
      <alignment vertical="center" wrapText="1"/>
    </xf>
    <xf numFmtId="0" fontId="2" fillId="8" borderId="11" xfId="0" applyFont="1" applyFill="1" applyBorder="1" applyAlignment="1">
      <alignment horizontal="center" vertical="center" wrapText="1"/>
    </xf>
    <xf numFmtId="0" fontId="7" fillId="25" borderId="3" xfId="0" applyFont="1" applyFill="1" applyBorder="1" applyAlignment="1">
      <alignment vertical="center" wrapText="1"/>
    </xf>
    <xf numFmtId="0" fontId="7" fillId="25" borderId="51" xfId="0" applyFont="1" applyFill="1" applyBorder="1" applyAlignment="1">
      <alignment vertical="center" wrapText="1"/>
    </xf>
    <xf numFmtId="0" fontId="0" fillId="11" borderId="11" xfId="0" applyFill="1" applyBorder="1" applyAlignment="1">
      <alignment vertical="center" wrapText="1"/>
    </xf>
    <xf numFmtId="0" fontId="7" fillId="6" borderId="11" xfId="0" applyFont="1" applyFill="1" applyBorder="1" applyAlignment="1">
      <alignment horizontal="left" vertical="top" wrapText="1"/>
    </xf>
    <xf numFmtId="0" fontId="0" fillId="6" borderId="11" xfId="0" applyFill="1" applyBorder="1" applyAlignment="1">
      <alignment vertical="center" wrapText="1"/>
    </xf>
    <xf numFmtId="0" fontId="11" fillId="0" borderId="0" xfId="0" applyFont="1"/>
    <xf numFmtId="165" fontId="11" fillId="0" borderId="11" xfId="0" applyNumberFormat="1" applyFont="1" applyBorder="1" applyAlignment="1">
      <alignment horizontal="center"/>
    </xf>
    <xf numFmtId="0" fontId="11" fillId="0" borderId="11" xfId="0" applyFont="1" applyBorder="1" applyAlignment="1">
      <alignment horizontal="center"/>
    </xf>
    <xf numFmtId="0" fontId="11" fillId="0" borderId="11" xfId="0" applyFont="1" applyBorder="1"/>
    <xf numFmtId="0" fontId="3" fillId="0" borderId="0" xfId="0" applyFont="1"/>
    <xf numFmtId="0" fontId="36" fillId="0" borderId="0" xfId="0" applyFont="1" applyAlignment="1">
      <alignment vertical="center"/>
    </xf>
    <xf numFmtId="0" fontId="36" fillId="0" borderId="0" xfId="0" applyFont="1"/>
    <xf numFmtId="0" fontId="38" fillId="0" borderId="0" xfId="0" applyFont="1" applyAlignment="1">
      <alignment vertical="center" wrapText="1"/>
    </xf>
    <xf numFmtId="0" fontId="37" fillId="0" borderId="0" xfId="0" applyFont="1" applyAlignment="1">
      <alignment vertical="center" wrapText="1"/>
    </xf>
    <xf numFmtId="0" fontId="38" fillId="7" borderId="0" xfId="0" applyFont="1" applyFill="1" applyAlignment="1">
      <alignment vertical="center" wrapText="1"/>
    </xf>
    <xf numFmtId="0" fontId="39" fillId="25" borderId="12" xfId="0" applyFont="1" applyFill="1" applyBorder="1" applyAlignment="1">
      <alignment vertical="center" wrapText="1"/>
    </xf>
    <xf numFmtId="0" fontId="13" fillId="2" borderId="38" xfId="0" applyFont="1" applyFill="1" applyBorder="1" applyAlignment="1">
      <alignment horizontal="center"/>
    </xf>
    <xf numFmtId="0" fontId="3" fillId="13" borderId="21" xfId="0" applyFont="1" applyFill="1" applyBorder="1" applyAlignment="1">
      <alignment horizontal="center" vertical="center"/>
    </xf>
    <xf numFmtId="0" fontId="3" fillId="13" borderId="0" xfId="0" applyFont="1" applyFill="1" applyAlignment="1">
      <alignment horizontal="center" vertical="center"/>
    </xf>
    <xf numFmtId="0" fontId="3" fillId="13" borderId="38" xfId="0" applyFont="1" applyFill="1" applyBorder="1" applyAlignment="1">
      <alignment horizontal="center" vertical="center"/>
    </xf>
    <xf numFmtId="0" fontId="5" fillId="14" borderId="22" xfId="0" applyFont="1" applyFill="1" applyBorder="1" applyAlignment="1">
      <alignment horizontal="center" vertical="center" wrapText="1"/>
    </xf>
    <xf numFmtId="0" fontId="5" fillId="14" borderId="26" xfId="0" applyFont="1" applyFill="1" applyBorder="1" applyAlignment="1">
      <alignment horizontal="center" vertical="center" wrapText="1"/>
    </xf>
    <xf numFmtId="0" fontId="5" fillId="14" borderId="24" xfId="0" applyFont="1" applyFill="1" applyBorder="1" applyAlignment="1">
      <alignment horizontal="center" vertical="center" wrapText="1"/>
    </xf>
    <xf numFmtId="0" fontId="3" fillId="13" borderId="39" xfId="0" applyFont="1" applyFill="1" applyBorder="1" applyAlignment="1">
      <alignment horizontal="center" vertical="center"/>
    </xf>
    <xf numFmtId="0" fontId="3" fillId="13" borderId="41" xfId="0" applyFont="1" applyFill="1" applyBorder="1" applyAlignment="1">
      <alignment horizontal="center" vertical="center"/>
    </xf>
    <xf numFmtId="0" fontId="3" fillId="13" borderId="40" xfId="0" applyFont="1" applyFill="1" applyBorder="1" applyAlignment="1">
      <alignment horizontal="center" vertical="center"/>
    </xf>
    <xf numFmtId="0" fontId="5" fillId="9" borderId="22" xfId="0" applyFont="1" applyFill="1" applyBorder="1" applyAlignment="1">
      <alignment horizontal="center" vertical="center" wrapText="1"/>
    </xf>
    <xf numFmtId="0" fontId="5" fillId="9" borderId="26" xfId="0" applyFont="1" applyFill="1" applyBorder="1" applyAlignment="1">
      <alignment horizontal="center" vertical="center" wrapText="1"/>
    </xf>
    <xf numFmtId="0" fontId="5" fillId="9" borderId="24" xfId="0" applyFont="1" applyFill="1" applyBorder="1" applyAlignment="1">
      <alignment horizontal="center" vertical="center" wrapText="1"/>
    </xf>
    <xf numFmtId="0" fontId="3" fillId="9" borderId="17" xfId="0" applyFont="1" applyFill="1" applyBorder="1" applyAlignment="1">
      <alignment horizontal="center" vertical="center"/>
    </xf>
    <xf numFmtId="0" fontId="3" fillId="9" borderId="18" xfId="0" applyFont="1" applyFill="1" applyBorder="1" applyAlignment="1">
      <alignment horizontal="center" vertical="center"/>
    </xf>
    <xf numFmtId="0" fontId="3" fillId="9" borderId="20" xfId="0" applyFont="1" applyFill="1" applyBorder="1" applyAlignment="1">
      <alignment horizontal="center" vertical="center"/>
    </xf>
    <xf numFmtId="0" fontId="3" fillId="13" borderId="17" xfId="0" applyFont="1" applyFill="1" applyBorder="1" applyAlignment="1">
      <alignment horizontal="center" vertical="center"/>
    </xf>
    <xf numFmtId="0" fontId="3" fillId="13" borderId="18" xfId="0" applyFont="1" applyFill="1" applyBorder="1" applyAlignment="1">
      <alignment horizontal="center" vertical="center"/>
    </xf>
    <xf numFmtId="0" fontId="3" fillId="13" borderId="20" xfId="0" applyFont="1" applyFill="1" applyBorder="1" applyAlignment="1">
      <alignment horizontal="center" vertical="center"/>
    </xf>
    <xf numFmtId="0" fontId="8" fillId="9" borderId="22" xfId="0" applyFont="1" applyFill="1" applyBorder="1" applyAlignment="1">
      <alignment horizontal="center" vertical="center" wrapText="1"/>
    </xf>
    <xf numFmtId="0" fontId="8" fillId="9" borderId="26" xfId="0" applyFont="1" applyFill="1" applyBorder="1" applyAlignment="1">
      <alignment horizontal="center" vertical="center" wrapText="1"/>
    </xf>
    <xf numFmtId="0" fontId="8" fillId="9" borderId="24" xfId="0" applyFont="1" applyFill="1" applyBorder="1" applyAlignment="1">
      <alignment horizontal="center" vertical="center" wrapText="1"/>
    </xf>
    <xf numFmtId="0" fontId="5" fillId="9" borderId="5" xfId="0" applyFont="1" applyFill="1" applyBorder="1" applyAlignment="1">
      <alignment horizontal="center" vertical="center" wrapText="1"/>
    </xf>
    <xf numFmtId="0" fontId="5" fillId="9" borderId="13" xfId="0" applyFont="1" applyFill="1" applyBorder="1" applyAlignment="1">
      <alignment horizontal="center" vertical="center" wrapText="1"/>
    </xf>
    <xf numFmtId="0" fontId="5" fillId="9" borderId="9" xfId="0" applyFont="1" applyFill="1" applyBorder="1" applyAlignment="1">
      <alignment horizontal="center" vertical="center" wrapText="1"/>
    </xf>
    <xf numFmtId="0" fontId="3" fillId="7" borderId="2" xfId="0" applyFont="1" applyFill="1" applyBorder="1" applyAlignment="1">
      <alignment horizontal="center"/>
    </xf>
    <xf numFmtId="0" fontId="3" fillId="7" borderId="14" xfId="0" applyFont="1" applyFill="1" applyBorder="1" applyAlignment="1">
      <alignment horizontal="center"/>
    </xf>
    <xf numFmtId="0" fontId="3" fillId="7" borderId="11" xfId="0" applyFont="1" applyFill="1" applyBorder="1" applyAlignment="1">
      <alignment horizontal="center"/>
    </xf>
    <xf numFmtId="0" fontId="3" fillId="7" borderId="4" xfId="0" applyFont="1" applyFill="1" applyBorder="1" applyAlignment="1">
      <alignment horizontal="center"/>
    </xf>
    <xf numFmtId="14" fontId="3" fillId="7" borderId="11" xfId="0" applyNumberFormat="1" applyFont="1" applyFill="1" applyBorder="1" applyAlignment="1">
      <alignment horizontal="center"/>
    </xf>
    <xf numFmtId="14" fontId="3" fillId="7" borderId="4" xfId="0" applyNumberFormat="1" applyFont="1" applyFill="1" applyBorder="1" applyAlignment="1">
      <alignment horizontal="center"/>
    </xf>
    <xf numFmtId="0" fontId="3" fillId="7" borderId="16" xfId="0" applyFont="1" applyFill="1" applyBorder="1" applyAlignment="1">
      <alignment horizontal="center"/>
    </xf>
    <xf numFmtId="0" fontId="3" fillId="7" borderId="27" xfId="0" applyFont="1" applyFill="1" applyBorder="1" applyAlignment="1">
      <alignment horizontal="center"/>
    </xf>
    <xf numFmtId="0" fontId="3" fillId="7" borderId="7" xfId="0" applyFont="1" applyFill="1" applyBorder="1" applyAlignment="1">
      <alignment horizontal="center"/>
    </xf>
    <xf numFmtId="0" fontId="3" fillId="7" borderId="15" xfId="0" applyFont="1" applyFill="1" applyBorder="1" applyAlignment="1">
      <alignment horizontal="center"/>
    </xf>
    <xf numFmtId="0" fontId="12" fillId="8" borderId="1" xfId="0" applyFont="1" applyFill="1" applyBorder="1" applyAlignment="1">
      <alignment horizontal="center" vertical="center"/>
    </xf>
    <xf numFmtId="0" fontId="12" fillId="8" borderId="21" xfId="0" applyFont="1" applyFill="1" applyBorder="1" applyAlignment="1">
      <alignment horizontal="center" vertical="center"/>
    </xf>
    <xf numFmtId="0" fontId="13" fillId="2" borderId="38" xfId="0" applyFont="1" applyFill="1" applyBorder="1" applyAlignment="1">
      <alignment horizontal="center" vertical="center"/>
    </xf>
    <xf numFmtId="0" fontId="15" fillId="2" borderId="38" xfId="0" applyFont="1" applyFill="1" applyBorder="1" applyAlignment="1">
      <alignment horizontal="center" vertical="center"/>
    </xf>
    <xf numFmtId="0" fontId="5" fillId="9" borderId="56" xfId="0" applyFont="1" applyFill="1" applyBorder="1" applyAlignment="1">
      <alignment horizontal="center" vertical="center" wrapText="1"/>
    </xf>
    <xf numFmtId="0" fontId="3" fillId="13" borderId="53" xfId="0" applyFont="1" applyFill="1" applyBorder="1" applyAlignment="1">
      <alignment horizontal="center" vertical="center"/>
    </xf>
    <xf numFmtId="0" fontId="3" fillId="9" borderId="17" xfId="0"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20" xfId="0" applyFont="1" applyFill="1" applyBorder="1" applyAlignment="1">
      <alignment horizontal="center" vertical="center" wrapText="1"/>
    </xf>
    <xf numFmtId="0" fontId="3" fillId="9" borderId="5" xfId="0" applyFont="1" applyFill="1" applyBorder="1" applyAlignment="1">
      <alignment horizontal="center" vertical="center"/>
    </xf>
    <xf numFmtId="0" fontId="3" fillId="9" borderId="13" xfId="0" applyFont="1" applyFill="1" applyBorder="1" applyAlignment="1">
      <alignment horizontal="center" vertical="center"/>
    </xf>
    <xf numFmtId="0" fontId="3" fillId="9" borderId="9" xfId="0" applyFont="1" applyFill="1" applyBorder="1" applyAlignment="1">
      <alignment horizontal="center" vertical="center"/>
    </xf>
    <xf numFmtId="0" fontId="5" fillId="14" borderId="5" xfId="0" applyFont="1" applyFill="1" applyBorder="1" applyAlignment="1">
      <alignment horizontal="center" vertical="center" wrapText="1"/>
    </xf>
    <xf numFmtId="0" fontId="5" fillId="14" borderId="13" xfId="0" applyFont="1" applyFill="1" applyBorder="1" applyAlignment="1">
      <alignment horizontal="center" vertical="center" wrapText="1"/>
    </xf>
    <xf numFmtId="0" fontId="5" fillId="14" borderId="9" xfId="0" applyFont="1" applyFill="1" applyBorder="1" applyAlignment="1">
      <alignment horizontal="center" vertical="center" wrapText="1"/>
    </xf>
    <xf numFmtId="0" fontId="3" fillId="14" borderId="22" xfId="0" applyFont="1" applyFill="1" applyBorder="1" applyAlignment="1">
      <alignment horizontal="center" vertical="center"/>
    </xf>
    <xf numFmtId="0" fontId="3" fillId="14" borderId="26" xfId="0" applyFont="1" applyFill="1" applyBorder="1" applyAlignment="1">
      <alignment horizontal="center" vertical="center"/>
    </xf>
    <xf numFmtId="0" fontId="3" fillId="14" borderId="24" xfId="0" applyFont="1" applyFill="1" applyBorder="1" applyAlignment="1">
      <alignment horizontal="center" vertical="center"/>
    </xf>
    <xf numFmtId="0" fontId="3" fillId="11" borderId="22" xfId="0" applyFont="1" applyFill="1" applyBorder="1" applyAlignment="1">
      <alignment horizontal="center" vertical="center"/>
    </xf>
    <xf numFmtId="0" fontId="3" fillId="11" borderId="26" xfId="0" applyFont="1" applyFill="1" applyBorder="1" applyAlignment="1">
      <alignment horizontal="center" vertical="center"/>
    </xf>
    <xf numFmtId="0" fontId="3" fillId="11" borderId="24" xfId="0" applyFont="1" applyFill="1" applyBorder="1" applyAlignment="1">
      <alignment horizontal="center" vertical="center"/>
    </xf>
    <xf numFmtId="0" fontId="20" fillId="9" borderId="31" xfId="0" applyFont="1" applyFill="1" applyBorder="1" applyAlignment="1">
      <alignment horizontal="center" vertical="center"/>
    </xf>
    <xf numFmtId="0" fontId="20" fillId="9" borderId="43" xfId="0" applyFont="1" applyFill="1" applyBorder="1" applyAlignment="1">
      <alignment horizontal="center" vertical="center"/>
    </xf>
    <xf numFmtId="0" fontId="19" fillId="3" borderId="43" xfId="0" applyFont="1" applyFill="1" applyBorder="1" applyAlignment="1">
      <alignment horizontal="left" vertical="top"/>
    </xf>
    <xf numFmtId="0" fontId="19" fillId="3" borderId="32" xfId="0" applyFont="1" applyFill="1" applyBorder="1" applyAlignment="1">
      <alignment horizontal="left" vertical="top"/>
    </xf>
    <xf numFmtId="0" fontId="13" fillId="2" borderId="17" xfId="0" applyFont="1" applyFill="1" applyBorder="1" applyAlignment="1">
      <alignment horizontal="center" vertical="center"/>
    </xf>
    <xf numFmtId="0" fontId="13" fillId="2" borderId="21" xfId="0" applyFont="1" applyFill="1" applyBorder="1" applyAlignment="1">
      <alignment horizontal="center" vertical="center"/>
    </xf>
    <xf numFmtId="0" fontId="13" fillId="2" borderId="23" xfId="0" applyFont="1" applyFill="1" applyBorder="1" applyAlignment="1">
      <alignment horizontal="center" vertical="center"/>
    </xf>
    <xf numFmtId="0" fontId="2" fillId="8" borderId="12" xfId="0" applyFont="1" applyFill="1" applyBorder="1" applyAlignment="1">
      <alignment horizontal="center" vertical="center"/>
    </xf>
    <xf numFmtId="0" fontId="2" fillId="8" borderId="41" xfId="0" applyFont="1" applyFill="1" applyBorder="1" applyAlignment="1">
      <alignment horizontal="center" vertical="center"/>
    </xf>
    <xf numFmtId="0" fontId="2" fillId="8" borderId="35"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41" xfId="0" applyFont="1" applyFill="1" applyBorder="1" applyAlignment="1">
      <alignment horizontal="center" vertical="center"/>
    </xf>
    <xf numFmtId="0" fontId="3" fillId="3" borderId="35"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1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8" xfId="0" applyFont="1" applyFill="1" applyBorder="1" applyAlignment="1">
      <alignment horizontal="center" vertical="center"/>
    </xf>
    <xf numFmtId="0" fontId="3" fillId="3" borderId="40" xfId="0" applyFont="1" applyFill="1" applyBorder="1" applyAlignment="1">
      <alignment horizontal="center" vertical="center"/>
    </xf>
    <xf numFmtId="0" fontId="3" fillId="3" borderId="34" xfId="0" applyFont="1" applyFill="1" applyBorder="1" applyAlignment="1">
      <alignment horizontal="center" vertical="center"/>
    </xf>
  </cellXfs>
  <cellStyles count="3">
    <cellStyle name="Normal" xfId="0" builtinId="0"/>
    <cellStyle name="Normal 2" xfId="2" xr:uid="{6FF6D376-2EDA-4ECA-86CE-24645CCCAAC6}"/>
    <cellStyle name="Normal 3" xfId="1" xr:uid="{C0FBFE82-3F0C-440B-A03D-773A36D7F611}"/>
  </cellStyles>
  <dxfs count="1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wrapText="1"/>
    </dxf>
    <dxf>
      <alignment wrapText="1"/>
    </dxf>
    <dxf>
      <alignment wrapText="1"/>
    </dxf>
    <dxf>
      <alignment wrapText="1"/>
    </dxf>
    <dxf>
      <alignment wrapText="1"/>
    </dxf>
    <dxf>
      <alignment wrapText="1"/>
    </dxf>
    <dxf>
      <alignment wrapText="0"/>
    </dxf>
    <dxf>
      <alignment wrapText="0"/>
    </dxf>
    <dxf>
      <alignment wrapText="0"/>
    </dxf>
    <dxf>
      <font>
        <sz val="14"/>
      </font>
    </dxf>
    <dxf>
      <font>
        <sz val="14"/>
      </font>
    </dxf>
    <dxf>
      <font>
        <sz val="14"/>
      </font>
    </dxf>
    <dxf>
      <font>
        <sz val="14"/>
      </font>
    </dxf>
    <dxf>
      <font>
        <sz val="14"/>
      </font>
    </dxf>
    <dxf>
      <font>
        <sz val="14"/>
      </font>
    </dxf>
    <dxf>
      <alignment wrapText="1"/>
    </dxf>
    <dxf>
      <alignment wrapText="1"/>
    </dxf>
    <dxf>
      <alignment wrapText="1"/>
    </dxf>
    <dxf>
      <alignment wrapText="1"/>
    </dxf>
    <dxf>
      <alignment wrapText="1"/>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horizontal="center"/>
    </dxf>
    <dxf>
      <alignment wrapText="0"/>
    </dxf>
    <dxf>
      <alignment wrapText="0"/>
    </dxf>
    <dxf>
      <alignment wrapText="0"/>
    </dxf>
    <dxf>
      <alignment wrapText="0"/>
    </dxf>
    <dxf>
      <alignment wrapText="0"/>
    </dxf>
    <dxf>
      <alignment wrapText="0"/>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font>
        <color rgb="FFFF0000"/>
      </font>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alignment horizontal="center"/>
    </dxf>
    <dxf>
      <numFmt numFmtId="13" formatCode="0%"/>
    </dxf>
    <dxf>
      <alignment horizontal="center"/>
    </dxf>
    <dxf>
      <alignment horizontal="center"/>
    </dxf>
    <dxf>
      <numFmt numFmtId="13" formatCode="0%"/>
    </dxf>
    <dxf>
      <numFmt numFmtId="13" formatCode="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 PANDA Audit Form V5.xlsx]Nesting !PivotTable1</c:name>
    <c:fmtId val="5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2095125391370418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640904267629679E-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'Nesting '!$B$3:$B$4</c:f>
              <c:strCache>
                <c:ptCount val="1"/>
                <c:pt idx="0">
                  <c:v>Class 11.1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302B-4EE0-9F64-458E3F8723F4}"/>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302B-4EE0-9F64-458E3F8723F4}"/>
              </c:ext>
            </c:extLst>
          </c:dPt>
          <c:dLbls>
            <c:dLbl>
              <c:idx val="0"/>
              <c:layout>
                <c:manualLayout>
                  <c:x val="-7.7640904267629679E-2"/>
                  <c:y val="-2.31481481481482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02B-4EE0-9F64-458E3F8723F4}"/>
                </c:ext>
              </c:extLst>
            </c:dLbl>
            <c:dLbl>
              <c:idx val="1"/>
              <c:layout>
                <c:manualLayout>
                  <c:x val="-7.2095125391370418E-2"/>
                  <c:y val="-2.3148148148148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2B-4EE0-9F64-458E3F8723F4}"/>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'Nesting '!$A$5:$A$7</c:f>
              <c:strCache>
                <c:ptCount val="2"/>
                <c:pt idx="0">
                  <c:v>Jan Week 1</c:v>
                </c:pt>
                <c:pt idx="1">
                  <c:v>Jan Week 2</c:v>
                </c:pt>
              </c:strCache>
            </c:strRef>
          </c:cat>
          <c:val>
            <c:numRef>
              <c:f>'Nesting '!$B$5:$B$7</c:f>
              <c:numCache>
                <c:formatCode>0.00%</c:formatCode>
                <c:ptCount val="2"/>
                <c:pt idx="0">
                  <c:v>0.9563636363636363</c:v>
                </c:pt>
                <c:pt idx="1">
                  <c:v>0.97</c:v>
                </c:pt>
              </c:numCache>
            </c:numRef>
          </c:val>
          <c:smooth val="0"/>
          <c:extLst>
            <c:ext xmlns:c16="http://schemas.microsoft.com/office/drawing/2014/chart" uri="{C3380CC4-5D6E-409C-BE32-E72D297353CC}">
              <c16:uniqueId val="{00000000-302B-4EE0-9F64-458E3F8723F4}"/>
            </c:ext>
          </c:extLst>
        </c:ser>
        <c:ser>
          <c:idx val="1"/>
          <c:order val="1"/>
          <c:tx>
            <c:strRef>
              <c:f>'Nesting '!$C$3:$C$4</c:f>
              <c:strCache>
                <c:ptCount val="1"/>
                <c:pt idx="0">
                  <c:v>Class 11.2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'Nesting '!$A$5:$A$7</c:f>
              <c:strCache>
                <c:ptCount val="2"/>
                <c:pt idx="0">
                  <c:v>Jan Week 1</c:v>
                </c:pt>
                <c:pt idx="1">
                  <c:v>Jan Week 2</c:v>
                </c:pt>
              </c:strCache>
            </c:strRef>
          </c:cat>
          <c:val>
            <c:numRef>
              <c:f>'Nesting '!$C$5:$C$7</c:f>
              <c:numCache>
                <c:formatCode>0.00%</c:formatCode>
                <c:ptCount val="2"/>
                <c:pt idx="0">
                  <c:v>0.95200000000000007</c:v>
                </c:pt>
                <c:pt idx="1">
                  <c:v>0.96607142857142858</c:v>
                </c:pt>
              </c:numCache>
            </c:numRef>
          </c:val>
          <c:smooth val="0"/>
          <c:extLst>
            <c:ext xmlns:c16="http://schemas.microsoft.com/office/drawing/2014/chart" uri="{C3380CC4-5D6E-409C-BE32-E72D297353CC}">
              <c16:uniqueId val="{00000001-302B-4EE0-9F64-458E3F8723F4}"/>
            </c:ext>
          </c:extLst>
        </c:ser>
        <c:dLbls>
          <c:showLegendKey val="0"/>
          <c:showVal val="0"/>
          <c:showCatName val="0"/>
          <c:showSerName val="0"/>
          <c:showPercent val="0"/>
          <c:showBubbleSize val="0"/>
        </c:dLbls>
        <c:marker val="1"/>
        <c:smooth val="0"/>
        <c:axId val="1321008992"/>
        <c:axId val="1321010792"/>
      </c:lineChart>
      <c:catAx>
        <c:axId val="132100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010792"/>
        <c:crosses val="autoZero"/>
        <c:auto val="1"/>
        <c:lblAlgn val="ctr"/>
        <c:lblOffset val="100"/>
        <c:noMultiLvlLbl val="0"/>
      </c:catAx>
      <c:valAx>
        <c:axId val="13210107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00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33337</xdr:colOff>
      <xdr:row>9</xdr:row>
      <xdr:rowOff>30406</xdr:rowOff>
    </xdr:from>
    <xdr:to>
      <xdr:col>4</xdr:col>
      <xdr:colOff>627551</xdr:colOff>
      <xdr:row>23</xdr:row>
      <xdr:rowOff>106606</xdr:rowOff>
    </xdr:to>
    <xdr:graphicFrame macro="">
      <xdr:nvGraphicFramePr>
        <xdr:cNvPr id="6" name="Chart 5">
          <a:extLst>
            <a:ext uri="{FF2B5EF4-FFF2-40B4-BE49-F238E27FC236}">
              <a16:creationId xmlns:a16="http://schemas.microsoft.com/office/drawing/2014/main" id="{E0C9E11F-698A-03B2-4D8A-E3B5F63C1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canay, Paolo C" refreshedDate="45679.323212731484" createdVersion="8" refreshedVersion="8" minRefreshableVersion="3" recordCount="1307" xr:uid="{BF5D9EF1-310C-480B-92F7-C30F0590F477}">
  <cacheSource type="worksheet">
    <worksheetSource ref="E1:M1308" sheet="RAW"/>
  </cacheSource>
  <cacheFields count="9">
    <cacheField name="Date" numFmtId="164">
      <sharedItems containsNonDate="0" containsDate="1" containsString="0" containsBlank="1" minDate="2025-01-02T00:00:00" maxDate="2025-01-17T00:00:00"/>
    </cacheField>
    <cacheField name="Agent" numFmtId="0">
      <sharedItems containsBlank="1"/>
    </cacheField>
    <cacheField name="Supervisor" numFmtId="0">
      <sharedItems count="6">
        <s v="John Earl Melitado Lagare"/>
        <s v="Jeric Amazona Mansibang"/>
        <s v="Robin Antolihao Llamido"/>
        <s v="Khyno Elimanco Cortez"/>
        <s v="Cres Marvin Alexander Alvaro"/>
        <e v="#N/A"/>
      </sharedItems>
    </cacheField>
    <cacheField name="Site" numFmtId="0">
      <sharedItems/>
    </cacheField>
    <cacheField name="Auditor" numFmtId="0">
      <sharedItems containsBlank="1"/>
    </cacheField>
    <cacheField name="Caller Type" numFmtId="0">
      <sharedItems containsBlank="1"/>
    </cacheField>
    <cacheField name="Call Reason" numFmtId="0">
      <sharedItems containsBlank="1"/>
    </cacheField>
    <cacheField name="Case/INQ" numFmtId="0">
      <sharedItems containsBlank="1"/>
    </cacheField>
    <cacheField name="QA Score" numFmtId="0">
      <sharedItems containsString="0" containsBlank="1" containsNumber="1" minValue="0.74"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canay, Paolo C" refreshedDate="45679.323213541669" createdVersion="8" refreshedVersion="8" minRefreshableVersion="3" recordCount="1308" xr:uid="{6D9417A2-30D7-4F1D-836C-D65926F759DB}">
  <cacheSource type="worksheet">
    <worksheetSource ref="A1:DF1048576" sheet="RAW"/>
  </cacheSource>
  <cacheFields count="110">
    <cacheField name="Month" numFmtId="0">
      <sharedItems containsBlank="1" count="3">
        <s v="January"/>
        <e v="#N/A"/>
        <m/>
      </sharedItems>
    </cacheField>
    <cacheField name="Status" numFmtId="0">
      <sharedItems containsBlank="1" count="4">
        <s v="RAMP"/>
        <s v="Nesting"/>
        <e v="#N/A"/>
        <m/>
      </sharedItems>
    </cacheField>
    <cacheField name="Class" numFmtId="0">
      <sharedItems containsBlank="1" count="7">
        <s v="Class 9.1"/>
        <s v="Class 10"/>
        <s v="Class 11.1"/>
        <s v="Class 11.2"/>
        <s v="Class 8"/>
        <e v="#N/A"/>
        <m/>
      </sharedItems>
    </cacheField>
    <cacheField name="Week" numFmtId="0">
      <sharedItems containsBlank="1" count="4">
        <s v="Jan Week 1"/>
        <s v="Jan Week 2"/>
        <e v="#N/A"/>
        <m/>
      </sharedItems>
    </cacheField>
    <cacheField name="Date" numFmtId="164">
      <sharedItems containsNonDate="0" containsDate="1" containsString="0" containsBlank="1" minDate="2025-01-02T00:00:00" maxDate="2025-01-17T00:00:00"/>
    </cacheField>
    <cacheField name="Agent" numFmtId="0">
      <sharedItems containsBlank="1" count="40">
        <s v="Abantao,Julius Queno"/>
        <s v="Bihag,Floriebel Dellona"/>
        <s v="Tejada,Jan Jaycle Javillonar"/>
        <s v="Casoco,Carlito Trinidad"/>
        <s v="Mama,Monisah Cacasi"/>
        <s v="Ramos,Chester Irvin Bautista"/>
        <s v="Candelaria,Tyronne Tillain"/>
        <s v="Lumabao,Rein Amyl Montanez"/>
        <s v="Austria,Effie Galang"/>
        <s v="Tadaya,Frederic Palongpong"/>
        <s v="Tabita,Czarina Manuel"/>
        <s v="Roque,Francis Anthony Jacobe"/>
        <s v="Relano,Abimael Soliman"/>
        <s v="Alzaga,Abigael Alano"/>
        <s v="Bonifacio,Melanie Gadia"/>
        <s v="Ramos,Ruth Marionne Dalut"/>
        <s v="Paule,John Melvin Manansala"/>
        <s v="Garcia,Raqsher Anne Miras"/>
        <s v="Roces,Diana Abia"/>
        <s v="Sulayao,Windy Homyao"/>
        <s v="Veron,Kent Romeo Theryz Perce"/>
        <s v="Catayas,Cristel Ann Nodesca"/>
        <s v="Torlao,Maria Rowena"/>
        <s v="Cubillas,Chenne Biazon"/>
        <s v="Tolentino,Christopher Pronuevo"/>
        <s v="Malinao Jr,Charman Macapua"/>
        <s v="Campanilla,Brennan Roy Solis"/>
        <s v="Tizon,Hannah Allysa Daffon"/>
        <s v="Lucresia,Sheena Estorba"/>
        <s v="Faciol,Felicity Dawn Jabonite"/>
        <s v="Gonzales,Elyon Roi Ordonio"/>
        <s v="Tanglao,Jaycee Fernando"/>
        <s v="Morales,Lendy Ochate"/>
        <s v="Pedimonte,Leonard Auxillo"/>
        <s v="Adriano,Anthony Floresca"/>
        <s v="Bravante,Hazel Anne Regunay"/>
        <s v="Alejaga,Bryan Manombaga"/>
        <s v="Sangil Jr,Gaudencio Abeleda"/>
        <s v="Pecson,Warren Dela Cruz"/>
        <m/>
      </sharedItems>
    </cacheField>
    <cacheField name="Supervisor" numFmtId="0">
      <sharedItems containsBlank="1" count="7">
        <s v="John Earl Melitado Lagare"/>
        <s v="Jeric Amazona Mansibang"/>
        <s v="Robin Antolihao Llamido"/>
        <s v="Khyno Elimanco Cortez"/>
        <s v="Cres Marvin Alexander Alvaro"/>
        <e v="#N/A"/>
        <m/>
      </sharedItems>
    </cacheField>
    <cacheField name="Site" numFmtId="0">
      <sharedItems containsBlank="1"/>
    </cacheField>
    <cacheField name="Auditor" numFmtId="0">
      <sharedItems containsBlank="1"/>
    </cacheField>
    <cacheField name="Caller Type" numFmtId="0">
      <sharedItems containsBlank="1"/>
    </cacheField>
    <cacheField name="Call Reason" numFmtId="0">
      <sharedItems containsBlank="1"/>
    </cacheField>
    <cacheField name="Case/INQ" numFmtId="0">
      <sharedItems containsBlank="1"/>
    </cacheField>
    <cacheField name="QA Score" numFmtId="0">
      <sharedItems containsString="0" containsBlank="1" containsNumber="1" minValue="0.74" maxValue="1"/>
    </cacheField>
    <cacheField name="Agent did not provide their name/department." numFmtId="0">
      <sharedItems containsString="0" containsBlank="1" containsNumber="1" containsInteger="1" minValue="0" maxValue="0"/>
    </cacheField>
    <cacheField name="Agent did not verify whom they are speaking to." numFmtId="0">
      <sharedItems containsString="0" containsBlank="1" containsNumber="1" containsInteger="1" minValue="0" maxValue="0"/>
    </cacheField>
    <cacheField name="Agent did not obtain the name of the caller." numFmtId="0">
      <sharedItems containsString="0" containsBlank="1" containsNumber="1" containsInteger="1" minValue="0" maxValue="0"/>
    </cacheField>
    <cacheField name="Agent did not obtain Caller's Location, if not member (e.g., MDO, LTC, Hospice)." numFmtId="0">
      <sharedItems containsString="0" containsBlank="1" containsNumber="1" containsInteger="1" minValue="0" maxValue="0"/>
    </cacheField>
    <cacheField name="Agent did not obtain Caller's callback number." numFmtId="0">
      <sharedItems containsString="0" containsBlank="1" containsNumber="1" containsInteger="1" minValue="0" maxValue="0"/>
    </cacheField>
    <cacheField name="Agent did not select the correct caller type OR correct the caller type when it is discovered tom be incorrect." numFmtId="0">
      <sharedItems containsString="0" containsBlank="1" containsNumber="1" containsInteger="1" minValue="0" maxValue="0"/>
    </cacheField>
    <cacheField name="Agent did not ask for a third identifier if member ID is not available" numFmtId="0">
      <sharedItems containsString="0" containsBlank="1" containsNumber="1" containsInteger="1" minValue="0" maxValue="1"/>
    </cacheField>
    <cacheField name="Agent did not obtain member's first and last name." numFmtId="0">
      <sharedItems containsString="0" containsBlank="1" containsNumber="1" containsInteger="1" minValue="0" maxValue="1"/>
    </cacheField>
    <cacheField name="Agent did not obtain member's dob." numFmtId="0">
      <sharedItems containsString="0" containsBlank="1" containsNumber="1" containsInteger="1" minValue="0" maxValue="0"/>
    </cacheField>
    <cacheField name="Member PHI was inappropriately provided to third party caller." numFmtId="0">
      <sharedItems containsString="0" containsBlank="1" containsNumber="1" containsInteger="1" minValue="0" maxValue="0"/>
    </cacheField>
    <cacheField name="Agent did not utilize scripting for auto-pop information." numFmtId="0">
      <sharedItems containsString="0" containsBlank="1" containsNumber="1" containsInteger="1" minValue="0" maxValue="1"/>
    </cacheField>
    <cacheField name="Agent did not obtain provider's last name." numFmtId="0">
      <sharedItems containsString="0" containsBlank="1" containsNumber="1" containsInteger="1" minValue="0" maxValue="0"/>
    </cacheField>
    <cacheField name="Agent did not obtain provider's NPI." numFmtId="0">
      <sharedItems containsString="0" containsBlank="1" containsNumber="1" containsInteger="1" minValue="0" maxValue="0"/>
    </cacheField>
    <cacheField name="Agent did not authenticate partial address (e.g., street name, street number, city, state)." numFmtId="0">
      <sharedItems containsString="0" containsBlank="1" containsNumber="1" containsInteger="1" minValue="0" maxValue="0"/>
    </cacheField>
    <cacheField name="Agent did not authenticate office phone number." numFmtId="0">
      <sharedItems containsString="0" containsBlank="1" containsNumber="1" containsInteger="1" minValue="0" maxValue="0"/>
    </cacheField>
    <cacheField name="Agent did not authenticate office fax number." numFmtId="0">
      <sharedItems containsString="0" containsBlank="1" containsNumber="1" containsInteger="1" minValue="0" maxValue="0"/>
    </cacheField>
    <cacheField name="Agent did not authenticate the provider information." numFmtId="0">
      <sharedItems containsString="0" containsBlank="1" containsNumber="1" containsInteger="1" minValue="0" maxValue="0"/>
    </cacheField>
    <cacheField name="Agent did not utilize scripting for auto-pop information.2" numFmtId="0">
      <sharedItems containsString="0" containsBlank="1" containsNumber="1" containsInteger="1" minValue="0" maxValue="1"/>
    </cacheField>
    <cacheField name="Agent did not obtain pharmacy name." numFmtId="0">
      <sharedItems containsString="0" containsBlank="1" containsNumber="1" containsInteger="1" minValue="0" maxValue="0"/>
    </cacheField>
    <cacheField name="Agent did not obtain pharmacy NPI or NABP number." numFmtId="0">
      <sharedItems containsString="0" containsBlank="1" containsNumber="1" containsInteger="1" minValue="0" maxValue="0"/>
    </cacheField>
    <cacheField name="Agent did not ask if caller is from a &quot;dispensing pharmacy&quot;." numFmtId="0">
      <sharedItems containsString="0" containsBlank="1" containsNumber="1" containsInteger="1" minValue="0" maxValue="0"/>
    </cacheField>
    <cacheField name="Agent did not utilize scripting for auto-pop information.3" numFmtId="0">
      <sharedItems containsString="0" containsBlank="1" containsNumber="1" containsInteger="1" minValue="0" maxValue="0"/>
    </cacheField>
    <cacheField name="Agent did not follow member authentication protocol when accessing the member's account is required." numFmtId="0">
      <sharedItems containsString="0" containsBlank="1" containsNumber="1" containsInteger="1" minValue="0" maxValue="0"/>
    </cacheField>
    <cacheField name="Agent did not change the caller type to provider or pharmacy as needed and follow the applicable authentication process per caller type." numFmtId="0">
      <sharedItems containsString="0" containsBlank="1" containsNumber="1" containsInteger="1" minValue="0" maxValue="0"/>
    </cacheField>
    <cacheField name="Agent did not ask the transition question if case populate in member case history." numFmtId="0">
      <sharedItems containsString="0" containsBlank="1" containsNumber="1" containsInteger="1" minValue="0" maxValue="1"/>
    </cacheField>
    <cacheField name="Agent did not ask the transition question if case populate in member case history if case do not populate in member case history." numFmtId="0">
      <sharedItems containsString="0" containsBlank="1" containsNumber="1" containsInteger="1" minValue="0" maxValue="0"/>
    </cacheField>
    <cacheField name="Agent did not confirm the caller's needs that was already stated." numFmtId="0">
      <sharedItems containsString="0" containsBlank="1" containsNumber="1" containsInteger="1" minValue="0" maxValue="0"/>
    </cacheField>
    <cacheField name="Agent did not select the correct member account Note: If the member has multiple accounts." numFmtId="0">
      <sharedItems containsString="0" containsBlank="1" containsNumber="1" containsInteger="1" minValue="0" maxValue="0"/>
    </cacheField>
    <cacheField name="Agent failed to recognize that the account is handled by a dedicated team, did not transfer the call appropriately." numFmtId="0">
      <sharedItems containsString="0" containsBlank="1" containsNumber="1" containsInteger="1" minValue="0" maxValue="0"/>
    </cacheField>
    <cacheField name="Agent did not leverage the Identify Provider and Drug and/or Pharmacy from Member Claims to identify the provider, target drug, and pharmacy." numFmtId="0">
      <sharedItems containsString="0" containsBlank="1" containsNumber="1" containsInteger="1" minValue="0" maxValue="1"/>
    </cacheField>
    <cacheField name="Agent did not pull up the case history and provide the correct status of case for the target drug" numFmtId="0">
      <sharedItems containsString="0" containsBlank="1" containsNumber="1" containsInteger="1" minValue="0" maxValue="1"/>
    </cacheField>
    <cacheField name="New PA request- The agent did not educate the caller on the availability of an ePA once determined that a PA is required." numFmtId="0">
      <sharedItems containsString="0" containsBlank="1" containsNumber="1" containsInteger="1" minValue="0" maxValue="0"/>
    </cacheField>
    <cacheField name="Denied Status Checks - The agent did not inform the caller of the appeals information from the denial correspondence as well as client-specific appeals process information." numFmtId="0">
      <sharedItems containsString="0" containsBlank="1" containsNumber="1" containsInteger="1" minValue="0" maxValue="0"/>
    </cacheField>
    <cacheField name="Approved Status Checks - The agent did not inform the caller of the approval duration." numFmtId="0">
      <sharedItems containsString="0" containsBlank="1" containsNumber="1" containsInteger="1" minValue="0" maxValue="0"/>
    </cacheField>
    <cacheField name="The agent did not troubleshoot the authorization to get a paid claim." numFmtId="0">
      <sharedItems containsString="0" containsBlank="1" containsNumber="1" containsInteger="1" minValue="0" maxValue="0"/>
    </cacheField>
    <cacheField name="Pending Status Checks - The agent did not inform the caller Quoted TAT, status of the pending case, and document any additional information when provided." numFmtId="0">
      <sharedItems containsString="0" containsBlank="1" containsNumber="1" containsInteger="1" minValue="0" maxValue="1"/>
    </cacheField>
    <cacheField name="The agent did not correctly update the urgency on a pending case, if requested." numFmtId="0">
      <sharedItems containsString="0" containsBlank="1" containsNumber="1" containsInteger="1" minValue="0" maxValue="0"/>
    </cacheField>
    <cacheField name="Miscellaneous - The agent did not resend correspondence(s) when requested." numFmtId="0">
      <sharedItems containsString="0" containsBlank="1" containsNumber="1" containsInteger="1" minValue="0" maxValue="1"/>
    </cacheField>
    <cacheField name=" The agent did not assist the caller by providing formulary alternatives, via Formulary Lookup, the trial claim, denial correspondence, etc. when appropriate." numFmtId="0">
      <sharedItems containsString="0" containsBlank="1" containsNumber="1" containsInteger="1" minValue="0" maxValue="0"/>
    </cacheField>
    <cacheField name="Agent did not run test claims when appropriate." numFmtId="0">
      <sharedItems containsString="0" containsBlank="1" containsNumber="1" containsInteger="1" minValue="0" maxValue="0"/>
    </cacheField>
    <cacheField name="Agent did not provide correct internal/external contact numbers." numFmtId="0">
      <sharedItems containsString="0" containsBlank="1" containsNumber="1" containsInteger="1" minValue="0" maxValue="0"/>
    </cacheField>
    <cacheField name="Agent did not offer to create a key code for epa when caller requested fax form to be sent." numFmtId="0">
      <sharedItems containsString="0" containsBlank="1" containsNumber="1" containsInteger="1" minValue="0" maxValue="0"/>
    </cacheField>
    <cacheField name="Agent did not accurately send approval/denial correspondence to MDO, when requested." numFmtId="0">
      <sharedItems containsString="0" containsBlank="1" containsNumber="1" containsInteger="1" minValue="0" maxValue="0"/>
    </cacheField>
    <cacheField name="Agent did not provide how the PA process works." numFmtId="0">
      <sharedItems containsString="0" containsBlank="1" containsNumber="1" containsInteger="1" minValue="0" maxValue="0"/>
    </cacheField>
    <cacheField name="Agent did not provide accurate case turnaround time per the plan time." numFmtId="0">
      <sharedItems containsString="0" containsBlank="1" containsNumber="1" containsInteger="1" minValue="0" maxValue="0"/>
    </cacheField>
    <cacheField name="Agent did not provide new/correct member ID, if provided incorrectly." numFmtId="0">
      <sharedItems containsString="0" containsBlank="1" containsNumber="1" containsInteger="1" minValue="0" maxValue="0"/>
    </cacheField>
    <cacheField name="Agent did not select the most appropriate dropdown options as a starting point to document the actions taken during the call." numFmtId="0">
      <sharedItems containsString="0" containsBlank="1" containsNumber="1" containsInteger="1" minValue="0" maxValue="0"/>
    </cacheField>
    <cacheField name="Agent did not revise the guided verbiage to show what was advise, pertinent action steps done that is not mentioned in the guided verbiage ( i.e. reason for transfer, reason for force pending the case, additional T/F medication, what medication was referenced." numFmtId="0">
      <sharedItems containsString="0" containsBlank="1" containsNumber="1" containsInteger="1" minValue="0" maxValue="0"/>
    </cacheField>
    <cacheField name="False documentation" numFmtId="0">
      <sharedItems containsString="0" containsBlank="1" containsNumber="1" containsInteger="1" minValue="0" maxValue="0"/>
    </cacheField>
    <cacheField name="Agent did not validate the correct drug product, drug formulation, direction for use, dispensed quantity and days supply." numFmtId="0">
      <sharedItems containsString="0" containsBlank="1" containsNumber="1" containsInteger="1" minValue="0" maxValue="1"/>
    </cacheField>
    <cacheField name="Agent should not cancel the phone request when the drug product and formulation has been validated; Agent did not continue with the PA phone request when the call drops after drug product and formulation have been entered." numFmtId="0">
      <sharedItems containsString="0" containsBlank="1" containsNumber="1" containsInteger="1" minValue="0" maxValue="0"/>
    </cacheField>
    <cacheField name="Agent did not ensure brand versus generic request; did not correct the error and reenter the drug product." numFmtId="0">
      <sharedItems containsString="0" containsBlank="1" containsNumber="1" containsInteger="1" minValue="0" maxValue="0"/>
    </cacheField>
    <cacheField name="Agent did not enter quantity and days supply exactly as the caller's intent." numFmtId="0">
      <sharedItems containsString="0" containsBlank="1" containsNumber="1" containsInteger="1" minValue="0" maxValue="0"/>
    </cacheField>
    <cacheField name="Agent did not evaluate the reject in action step." numFmtId="0">
      <sharedItems containsString="0" containsBlank="1" containsNumber="1" containsInteger="1" minValue="0" maxValue="0"/>
    </cacheField>
    <cacheField name="Agent did not use retry trial claim to adjust the dispensed quantity and days supply in proportion to 30 days to drive the appropriate rejects." numFmtId="0">
      <sharedItems containsString="0" containsBlank="1" containsNumber="1" containsInteger="1" minValue="0" maxValue="0"/>
    </cacheField>
    <cacheField name="Agent did not enter case detail according to the caller's request (e.g. selecting cost reduction)." numFmtId="0">
      <sharedItems containsString="0" containsBlank="1" containsNumber="1" containsInteger="1" minValue="0" maxValue="0"/>
    </cacheField>
    <cacheField name="Agent did not turn INQ call to PA when appropriate." numFmtId="0">
      <sharedItems containsString="0" containsBlank="1" containsNumber="1" containsInteger="1" minValue="0" maxValue="0"/>
    </cacheField>
    <cacheField name="Merge Decision - Agent did not evaluate and compare the information from the original pending case to the current case when presented with final case duplicates for merging." numFmtId="0">
      <sharedItems containsString="0" containsBlank="1" containsNumber="1" containsInteger="1" minValue="0" maxValue="0"/>
    </cacheField>
    <cacheField name="Agent did not follow the system guided &quot;WALKME&quot; instruction at the Enhanced Duplicate Screen." numFmtId="0">
      <sharedItems containsString="0" containsBlank="1" containsNumber="1" containsInteger="1" minValue="0" maxValue="0"/>
    </cacheField>
    <cacheField name="Agent did not complete the Multiple PA type selections (when presented appropriately)." numFmtId="0">
      <sharedItems containsString="0" containsBlank="1" containsNumber="1" containsInteger="1" minValue="0" maxValue="0"/>
    </cacheField>
    <cacheField name="Proceed with the Guideline Decision - New PA requests (e.g., drugs that have not previously been reviewed), must always proceed to the Guideline screen, unless cancellation is warranted. A subsequent commercial case with new information must always proceed to review to evaluate for approval at the Guidelines screen." numFmtId="0">
      <sharedItems containsString="0" containsBlank="1" containsNumber="1" containsInteger="1" minValue="0" maxValue="0"/>
    </cacheField>
    <cacheField name="Retry Trial Claim -  Agent did not use the retry trial claim feature to adjust the dispensed quantity and days supply in proportion to 30 days to drive the appropriate rejects." numFmtId="0">
      <sharedItems containsString="0" containsBlank="1" containsNumber="1" containsInteger="1" minValue="0" maxValue="0"/>
    </cacheField>
    <cacheField name="Agent did not change the day supply to 30 days without also recalculating the quantity to 30 days." numFmtId="0">
      <sharedItems containsString="0" containsBlank="1" containsNumber="1" containsInteger="1" minValue="0" maxValue="0"/>
    </cacheField>
    <cacheField name="Cancellation Decision - Agent did not use the retry trial claim feature at the guideline screen first before selecting cancel case." numFmtId="0">
      <sharedItems containsString="0" containsBlank="1" containsNumber="1" containsInteger="1" minValue="0" maxValue="0"/>
    </cacheField>
    <cacheField name="Agent changed the intent of the initial trial claim" numFmtId="0">
      <sharedItems containsString="0" containsBlank="1" containsNumber="1" containsInteger="1" minValue="0" maxValue="0"/>
    </cacheField>
    <cacheField name="Agent did not select the correct cancel reason code." numFmtId="0">
      <sharedItems containsString="0" containsBlank="1" containsNumber="1" containsInteger="1" minValue="0" maxValue="0"/>
    </cacheField>
    <cacheField name="A subsequent Medicare case with a denial on file within the appeal window must be evaluated for Forwarding to Appeals." numFmtId="0">
      <sharedItems containsString="0" containsBlank="1" containsNumber="1" containsInteger="1" minValue="0" maxValue="0"/>
    </cacheField>
    <cacheField name="Agent did not ask ALL External questions and responses verbatim." numFmtId="0">
      <sharedItems containsString="0" containsBlank="1" containsNumber="1" containsInteger="1" minValue="0" maxValue="1"/>
    </cacheField>
    <cacheField name="Agent did not ask the diagnosis question(s); Agent did not make the correct selection(s) based on the caller's response." numFmtId="0">
      <sharedItems containsString="0" containsBlank="1" containsNumber="1" containsInteger="1" minValue="0" maxValue="0"/>
    </cacheField>
    <cacheField name="Agent did not answer initial vs reauth questions correctly." numFmtId="0">
      <sharedItems containsString="0" containsBlank="1" containsNumber="1" containsInteger="1" minValue="0" maxValue="0"/>
    </cacheField>
    <cacheField name="Did not ask the CG QL question." numFmtId="0">
      <sharedItems containsString="0" containsBlank="1" containsNumber="1" containsInteger="1" minValue="0" maxValue="0"/>
    </cacheField>
    <cacheField name="Did not update the DQ and DS on the case according to the caller's response to the QL question." numFmtId="0">
      <sharedItems containsString="0" containsBlank="1" containsNumber="1" containsInteger="1" minValue="0" maxValue="0"/>
    </cacheField>
    <cacheField name="Agent did not document additional information in the additional notes textbox when prompted." numFmtId="0">
      <sharedItems containsString="0" containsBlank="1" containsNumber="1" containsInteger="1" minValue="0" maxValue="1"/>
    </cacheField>
    <cacheField name="Agent did not offer to create ePA keycode when CG question require submission of chartnotes." numFmtId="0">
      <sharedItems containsString="0" containsBlank="1" containsNumber="1" containsInteger="1" minValue="0" maxValue="0"/>
    </cacheField>
    <cacheField name="Agent did not evaluate and compare the information from the original pending case to the current case when presented with final/second case duplicates for merging." numFmtId="0">
      <sharedItems containsString="0" containsBlank="1" containsNumber="1" containsInteger="1" minValue="0" maxValue="0"/>
    </cacheField>
    <cacheField name="Agent did not follow the system guided &quot;WALKME&quot; instruction at the Enhanced Duplicate Screen.2" numFmtId="0">
      <sharedItems containsString="0" containsBlank="1" containsNumber="1" containsInteger="1" minValue="0" maxValue="0"/>
    </cacheField>
    <cacheField name="The agent did not ensure caller satisfaction by asking if additional assistance is needed." numFmtId="0">
      <sharedItems containsString="0" containsBlank="1" containsNumber="1" containsInteger="1" minValue="0" maxValue="1"/>
    </cacheField>
    <cacheField name="The agent did not offers/Mention the survey." numFmtId="0">
      <sharedItems containsString="0" containsBlank="1" containsNumber="1" containsInteger="1" minValue="0" maxValue="0"/>
    </cacheField>
    <cacheField name="The agent did not the brand the call and thank the caller." numFmtId="0">
      <sharedItems containsString="0" containsBlank="1" containsNumber="1" containsInteger="1" minValue="0" maxValue="1"/>
    </cacheField>
    <cacheField name="Agent did not requests permission from the caller before placing them on hold." numFmtId="0">
      <sharedItems containsString="0" containsBlank="1" containsNumber="1" containsInteger="1" minValue="0" maxValue="0"/>
    </cacheField>
    <cacheField name="Agent did not use the mute button when placing the caller on silent hold." numFmtId="0">
      <sharedItems containsString="0" containsBlank="1" containsNumber="1" containsInteger="1" minValue="0" maxValue="1"/>
    </cacheField>
    <cacheField name="Agent did not thank the caller for holding upon returning to the caller." numFmtId="0">
      <sharedItems containsString="0" containsBlank="1" containsNumber="1" containsInteger="1" minValue="0" maxValue="1"/>
    </cacheField>
    <cacheField name="Agent placed the caller on hold at the start of the call." numFmtId="0">
      <sharedItems containsString="0" containsBlank="1" containsNumber="1" containsInteger="1" minValue="0" maxValue="0"/>
    </cacheField>
    <cacheField name="Agent did not return to the caller from hold after the initial 2mins" numFmtId="0">
      <sharedItems containsString="0" containsBlank="1" containsNumber="1" containsInteger="1" minValue="0" maxValue="0"/>
    </cacheField>
    <cacheField name="Exceeded Limit of five seconds before the greeting of the call." numFmtId="0">
      <sharedItems containsString="0" containsBlank="1" containsNumber="1" containsInteger="1" minValue="0" maxValue="0"/>
    </cacheField>
    <cacheField name="Exceeded Limit of twenty seconds of unannounced silence." numFmtId="0">
      <sharedItems containsString="0" containsBlank="1" containsNumber="1" containsInteger="1" minValue="0" maxValue="1"/>
    </cacheField>
    <cacheField name="Exceeded Limit of fifty seconds of announced silence." numFmtId="0">
      <sharedItems containsString="0" containsBlank="1" containsNumber="1" containsInteger="1" minValue="0" maxValue="1"/>
    </cacheField>
    <cacheField name="Explain the reason/need to transfer the caller." numFmtId="0">
      <sharedItems containsString="0" containsBlank="1" containsNumber="1" containsInteger="1" minValue="0" maxValue="0"/>
    </cacheField>
    <cacheField name="Gain permission from the caller to transfer." numFmtId="0">
      <sharedItems containsString="0" containsBlank="1" containsNumber="1" containsInteger="1" minValue="0" maxValue="1"/>
    </cacheField>
    <cacheField name="For internal transfers, agent did not provide the name and number (if available) of the department the caller is being transferred to, and for external Provide the name and number of the department caller is being transferred to." numFmtId="0">
      <sharedItems containsString="0" containsBlank="1" containsNumber="1" containsInteger="1" minValue="0" maxValue="1"/>
    </cacheField>
    <cacheField name="Agent did not warm and cold transfer according to current policy. " numFmtId="0">
      <sharedItems containsString="0" containsBlank="1" containsNumber="1" containsInteger="1" minValue="0" maxValue="0"/>
    </cacheField>
    <cacheField name="The agent will did not speak clearly without mumbling, using jargon, or slang." numFmtId="0">
      <sharedItems containsString="0" containsBlank="1" containsNumber="1" containsInteger="1" minValue="0" maxValue="0"/>
    </cacheField>
    <cacheField name="The agent did not adapt to the caller’s needs through the pace of their speech and the volume of their voice, as appropriate." numFmtId="0">
      <sharedItems containsString="0" containsBlank="1" containsNumber="1" containsInteger="1" minValue="0" maxValue="1"/>
    </cacheField>
    <cacheField name="The agent did not avoid using terms of endearment when addressing the caller (e.g., honey, dear)." numFmtId="0">
      <sharedItems containsString="0" containsBlank="1" containsNumber="1" containsInteger="1" minValue="0" maxValue="0"/>
    </cacheField>
    <cacheField name="The agent did not use appropriate and professional language." numFmtId="0">
      <sharedItems containsString="0" containsBlank="1" containsNumber="1" containsInteger="1" minValue="0" maxValue="0"/>
    </cacheField>
    <cacheField name="Agent did not respond with appropriate phrases to ensure the caller they are actively listening and understanding the caller’s statement/question." numFmtId="0">
      <sharedItems containsString="0" containsBlank="1" containsNumber="1" containsInteger="1" minValue="0" maxValue="0"/>
    </cacheField>
    <cacheField name="Agent did not resolve all the caller’s needs to ensure the caller does not call back again. (Demonstrate ownership of the repeat caller issue by resolving all questions, issues, and/or concerns on the call); Agent created a homework for the caller."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canay, Paolo C" refreshedDate="45679.323215277778" createdVersion="8" refreshedVersion="8" minRefreshableVersion="3" recordCount="1307" xr:uid="{5AB400D2-4058-4534-A442-D98071274446}">
  <cacheSource type="worksheet">
    <worksheetSource ref="A1:EA1308" sheet="RAW"/>
  </cacheSource>
  <cacheFields count="131">
    <cacheField name="Month" numFmtId="0">
      <sharedItems count="2">
        <s v="January"/>
        <e v="#N/A"/>
      </sharedItems>
    </cacheField>
    <cacheField name="Status" numFmtId="0">
      <sharedItems count="3">
        <s v="RAMP"/>
        <s v="Nesting"/>
        <e v="#N/A"/>
      </sharedItems>
    </cacheField>
    <cacheField name="Class" numFmtId="0">
      <sharedItems/>
    </cacheField>
    <cacheField name="Week" numFmtId="0">
      <sharedItems/>
    </cacheField>
    <cacheField name="Date" numFmtId="164">
      <sharedItems containsNonDate="0" containsDate="1" containsString="0" containsBlank="1" minDate="2025-01-02T00:00:00" maxDate="2025-01-17T00:00:00" count="12">
        <d v="2025-01-03T00:00:00"/>
        <d v="2025-01-06T00:00:00"/>
        <d v="2025-01-07T00:00:00"/>
        <d v="2025-01-08T00:00:00"/>
        <d v="2025-01-09T00:00:00"/>
        <d v="2025-01-10T00:00:00"/>
        <d v="2025-01-13T00:00:00"/>
        <d v="2025-01-02T00:00:00"/>
        <d v="2025-01-14T00:00:00"/>
        <d v="2025-01-15T00:00:00"/>
        <d v="2025-01-16T00:00:00"/>
        <m/>
      </sharedItems>
    </cacheField>
    <cacheField name="Agent" numFmtId="0">
      <sharedItems containsBlank="1"/>
    </cacheField>
    <cacheField name="Supervisor" numFmtId="0">
      <sharedItems count="6">
        <s v="John Earl Melitado Lagare"/>
        <s v="Jeric Amazona Mansibang"/>
        <s v="Robin Antolihao Llamido"/>
        <s v="Khyno Elimanco Cortez"/>
        <s v="Cres Marvin Alexander Alvaro"/>
        <e v="#N/A"/>
      </sharedItems>
    </cacheField>
    <cacheField name="Site" numFmtId="0">
      <sharedItems count="3">
        <s v="QC"/>
        <s v="CEBU"/>
        <e v="#N/A"/>
      </sharedItems>
    </cacheField>
    <cacheField name="Auditor" numFmtId="0">
      <sharedItems containsBlank="1"/>
    </cacheField>
    <cacheField name="Caller Type" numFmtId="0">
      <sharedItems containsBlank="1"/>
    </cacheField>
    <cacheField name="Call Reason" numFmtId="0">
      <sharedItems containsBlank="1"/>
    </cacheField>
    <cacheField name="Case/INQ" numFmtId="0">
      <sharedItems containsBlank="1"/>
    </cacheField>
    <cacheField name="QA Score" numFmtId="0">
      <sharedItems containsString="0" containsBlank="1" containsNumber="1" minValue="0.74" maxValue="1"/>
    </cacheField>
    <cacheField name="Agent did not provide their name/department." numFmtId="0">
      <sharedItems containsString="0" containsBlank="1" containsNumber="1" containsInteger="1" minValue="0" maxValue="0"/>
    </cacheField>
    <cacheField name="Agent did not verify whom they are speaking to." numFmtId="0">
      <sharedItems containsString="0" containsBlank="1" containsNumber="1" containsInteger="1" minValue="0" maxValue="0"/>
    </cacheField>
    <cacheField name="Agent did not obtain the name of the caller." numFmtId="0">
      <sharedItems containsString="0" containsBlank="1" containsNumber="1" containsInteger="1" minValue="0" maxValue="0"/>
    </cacheField>
    <cacheField name="Agent did not obtain Caller's Location, if not member (e.g., MDO, LTC, Hospice)." numFmtId="0">
      <sharedItems containsString="0" containsBlank="1" containsNumber="1" containsInteger="1" minValue="0" maxValue="0"/>
    </cacheField>
    <cacheField name="Agent did not obtain Caller's callback number." numFmtId="0">
      <sharedItems containsString="0" containsBlank="1" containsNumber="1" containsInteger="1" minValue="0" maxValue="0"/>
    </cacheField>
    <cacheField name="Agent did not select the correct caller type OR correct the caller type when it is discovered tom be incorrect." numFmtId="0">
      <sharedItems containsString="0" containsBlank="1" containsNumber="1" containsInteger="1" minValue="0" maxValue="0"/>
    </cacheField>
    <cacheField name="Agent did not ask for a third identifier if member ID is not available" numFmtId="0">
      <sharedItems containsString="0" containsBlank="1" containsNumber="1" containsInteger="1" minValue="0" maxValue="1"/>
    </cacheField>
    <cacheField name="Agent did not obtain member's first and last name." numFmtId="0">
      <sharedItems containsString="0" containsBlank="1" containsNumber="1" containsInteger="1" minValue="0" maxValue="1"/>
    </cacheField>
    <cacheField name="Agent did not obtain member's dob." numFmtId="0">
      <sharedItems containsString="0" containsBlank="1" containsNumber="1" containsInteger="1" minValue="0" maxValue="0"/>
    </cacheField>
    <cacheField name="Member PHI was inappropriately provided to third party caller." numFmtId="0">
      <sharedItems containsString="0" containsBlank="1" containsNumber="1" containsInteger="1" minValue="0" maxValue="0"/>
    </cacheField>
    <cacheField name="Agent did not utilize scripting for auto-pop information." numFmtId="0">
      <sharedItems containsString="0" containsBlank="1" containsNumber="1" containsInteger="1" minValue="0" maxValue="1"/>
    </cacheField>
    <cacheField name="Agent did not obtain provider's last name." numFmtId="0">
      <sharedItems containsString="0" containsBlank="1" containsNumber="1" containsInteger="1" minValue="0" maxValue="0"/>
    </cacheField>
    <cacheField name="Agent did not obtain provider's NPI." numFmtId="0">
      <sharedItems containsString="0" containsBlank="1" containsNumber="1" containsInteger="1" minValue="0" maxValue="0"/>
    </cacheField>
    <cacheField name="Agent did not authenticate partial address (e.g., street name, street number, city, state)." numFmtId="0">
      <sharedItems containsString="0" containsBlank="1" containsNumber="1" containsInteger="1" minValue="0" maxValue="0"/>
    </cacheField>
    <cacheField name="Agent did not authenticate office phone number." numFmtId="0">
      <sharedItems containsString="0" containsBlank="1" containsNumber="1" containsInteger="1" minValue="0" maxValue="0"/>
    </cacheField>
    <cacheField name="Agent did not authenticate office fax number." numFmtId="0">
      <sharedItems containsString="0" containsBlank="1" containsNumber="1" containsInteger="1" minValue="0" maxValue="0"/>
    </cacheField>
    <cacheField name="Agent did not authenticate the provider information." numFmtId="0">
      <sharedItems containsString="0" containsBlank="1" containsNumber="1" containsInteger="1" minValue="0" maxValue="0"/>
    </cacheField>
    <cacheField name="Agent did not utilize scripting for auto-pop information.2" numFmtId="0">
      <sharedItems containsString="0" containsBlank="1" containsNumber="1" containsInteger="1" minValue="0" maxValue="1"/>
    </cacheField>
    <cacheField name="Agent did not obtain pharmacy name." numFmtId="0">
      <sharedItems containsString="0" containsBlank="1" containsNumber="1" containsInteger="1" minValue="0" maxValue="0"/>
    </cacheField>
    <cacheField name="Agent did not obtain pharmacy NPI or NABP number." numFmtId="0">
      <sharedItems containsString="0" containsBlank="1" containsNumber="1" containsInteger="1" minValue="0" maxValue="0"/>
    </cacheField>
    <cacheField name="Agent did not ask if caller is from a &quot;dispensing pharmacy&quot;." numFmtId="0">
      <sharedItems containsString="0" containsBlank="1" containsNumber="1" containsInteger="1" minValue="0" maxValue="0"/>
    </cacheField>
    <cacheField name="Agent did not utilize scripting for auto-pop information.3" numFmtId="0">
      <sharedItems containsString="0" containsBlank="1" containsNumber="1" containsInteger="1" minValue="0" maxValue="0"/>
    </cacheField>
    <cacheField name="Agent did not follow member authentication protocol when accessing the member's account is required." numFmtId="0">
      <sharedItems containsString="0" containsBlank="1" containsNumber="1" containsInteger="1" minValue="0" maxValue="0"/>
    </cacheField>
    <cacheField name="Agent did not change the caller type to provider or pharmacy as needed and follow the applicable authentication process per caller type." numFmtId="0">
      <sharedItems containsString="0" containsBlank="1" containsNumber="1" containsInteger="1" minValue="0" maxValue="0"/>
    </cacheField>
    <cacheField name="Agent did not ask the transition question if case populate in member case history." numFmtId="0">
      <sharedItems containsString="0" containsBlank="1" containsNumber="1" containsInteger="1" minValue="0" maxValue="1"/>
    </cacheField>
    <cacheField name="Agent did not ask the transition question if case populate in member case history if case do not populate in member case history." numFmtId="0">
      <sharedItems containsString="0" containsBlank="1" containsNumber="1" containsInteger="1" minValue="0" maxValue="0"/>
    </cacheField>
    <cacheField name="Agent did not confirm the caller's needs that was already stated." numFmtId="0">
      <sharedItems containsString="0" containsBlank="1" containsNumber="1" containsInteger="1" minValue="0" maxValue="0"/>
    </cacheField>
    <cacheField name="Agent did not select the correct member account Note: If the member has multiple accounts." numFmtId="0">
      <sharedItems containsString="0" containsBlank="1" containsNumber="1" containsInteger="1" minValue="0" maxValue="0"/>
    </cacheField>
    <cacheField name="Agent failed to recognize that the account is handled by a dedicated team, did not transfer the call appropriately." numFmtId="0">
      <sharedItems containsString="0" containsBlank="1" containsNumber="1" containsInteger="1" minValue="0" maxValue="0"/>
    </cacheField>
    <cacheField name="Agent did not leverage the Identify Provider and Drug and/or Pharmacy from Member Claims to identify the provider, target drug, and pharmacy." numFmtId="0">
      <sharedItems containsString="0" containsBlank="1" containsNumber="1" containsInteger="1" minValue="0" maxValue="1"/>
    </cacheField>
    <cacheField name="Agent did not pull up the case history and provide the correct status of case for the target drug" numFmtId="0">
      <sharedItems containsString="0" containsBlank="1" containsNumber="1" containsInteger="1" minValue="0" maxValue="1"/>
    </cacheField>
    <cacheField name="New PA request- The agent did not educate the caller on the availability of an ePA once determined that a PA is required." numFmtId="0">
      <sharedItems containsString="0" containsBlank="1" containsNumber="1" containsInteger="1" minValue="0" maxValue="0"/>
    </cacheField>
    <cacheField name="Denied Status Checks - The agent did not inform the caller of the appeals information from the denial correspondence as well as client-specific appeals process information." numFmtId="0">
      <sharedItems containsString="0" containsBlank="1" containsNumber="1" containsInteger="1" minValue="0" maxValue="0"/>
    </cacheField>
    <cacheField name="Approved Status Checks - The agent did not inform the caller of the approval duration." numFmtId="0">
      <sharedItems containsString="0" containsBlank="1" containsNumber="1" containsInteger="1" minValue="0" maxValue="0"/>
    </cacheField>
    <cacheField name="The agent did not troubleshoot the authorization to get a paid claim." numFmtId="0">
      <sharedItems containsString="0" containsBlank="1" containsNumber="1" containsInteger="1" minValue="0" maxValue="0"/>
    </cacheField>
    <cacheField name="Pending Status Checks - The agent did not inform the caller Quoted TAT, status of the pending case, and document any additional information when provided." numFmtId="0">
      <sharedItems containsString="0" containsBlank="1" containsNumber="1" containsInteger="1" minValue="0" maxValue="1"/>
    </cacheField>
    <cacheField name="The agent did not correctly update the urgency on a pending case, if requested." numFmtId="0">
      <sharedItems containsString="0" containsBlank="1" containsNumber="1" containsInteger="1" minValue="0" maxValue="0"/>
    </cacheField>
    <cacheField name="Miscellaneous - The agent did not resend correspondence(s) when requested." numFmtId="0">
      <sharedItems containsString="0" containsBlank="1" containsNumber="1" containsInteger="1" minValue="0" maxValue="1"/>
    </cacheField>
    <cacheField name=" The agent did not assist the caller by providing formulary alternatives, via Formulary Lookup, the trial claim, denial correspondence, etc. when appropriate." numFmtId="0">
      <sharedItems containsString="0" containsBlank="1" containsNumber="1" containsInteger="1" minValue="0" maxValue="0"/>
    </cacheField>
    <cacheField name="Agent did not run test claims when appropriate." numFmtId="0">
      <sharedItems containsString="0" containsBlank="1" containsNumber="1" containsInteger="1" minValue="0" maxValue="0"/>
    </cacheField>
    <cacheField name="Agent did not provide correct internal/external contact numbers." numFmtId="0">
      <sharedItems containsString="0" containsBlank="1" containsNumber="1" containsInteger="1" minValue="0" maxValue="0"/>
    </cacheField>
    <cacheField name="Agent did not offer to create a key code for epa when caller requested fax form to be sent." numFmtId="0">
      <sharedItems containsString="0" containsBlank="1" containsNumber="1" containsInteger="1" minValue="0" maxValue="0"/>
    </cacheField>
    <cacheField name="Agent did not accurately send approval/denial correspondence to MDO, when requested." numFmtId="0">
      <sharedItems containsString="0" containsBlank="1" containsNumber="1" containsInteger="1" minValue="0" maxValue="0"/>
    </cacheField>
    <cacheField name="Agent did not provide how the PA process works." numFmtId="0">
      <sharedItems containsString="0" containsBlank="1" containsNumber="1" containsInteger="1" minValue="0" maxValue="0"/>
    </cacheField>
    <cacheField name="Agent did not provide accurate case turnaround time per the plan time." numFmtId="0">
      <sharedItems containsString="0" containsBlank="1" containsNumber="1" containsInteger="1" minValue="0" maxValue="0"/>
    </cacheField>
    <cacheField name="Agent did not provide new/correct member ID, if provided incorrectly." numFmtId="0">
      <sharedItems containsString="0" containsBlank="1" containsNumber="1" containsInteger="1" minValue="0" maxValue="0"/>
    </cacheField>
    <cacheField name="Agent did not select the most appropriate dropdown options as a starting point to document the actions taken during the call." numFmtId="0">
      <sharedItems containsString="0" containsBlank="1" containsNumber="1" containsInteger="1" minValue="0" maxValue="0"/>
    </cacheField>
    <cacheField name="Agent did not revise the guided verbiage to show what was advise, pertinent action steps done that is not mentioned in the guided verbiage ( i.e. reason for transfer, reason for force pending the case, additional T/F medication, what medication was referenced." numFmtId="0">
      <sharedItems containsString="0" containsBlank="1" containsNumber="1" containsInteger="1" minValue="0" maxValue="0"/>
    </cacheField>
    <cacheField name="False documentation" numFmtId="0">
      <sharedItems containsString="0" containsBlank="1" containsNumber="1" containsInteger="1" minValue="0" maxValue="0"/>
    </cacheField>
    <cacheField name="Agent did not validate the correct drug product, drug formulation, direction for use, dispensed quantity and days supply." numFmtId="0">
      <sharedItems containsString="0" containsBlank="1" containsNumber="1" containsInteger="1" minValue="0" maxValue="1"/>
    </cacheField>
    <cacheField name="Agent should not cancel the phone request when the drug product and formulation has been validated; Agent did not continue with the PA phone request when the call drops after drug product and formulation have been entered." numFmtId="0">
      <sharedItems containsString="0" containsBlank="1" containsNumber="1" containsInteger="1" minValue="0" maxValue="0"/>
    </cacheField>
    <cacheField name="Agent did not ensure brand versus generic request; did not correct the error and reenter the drug product." numFmtId="0">
      <sharedItems containsString="0" containsBlank="1" containsNumber="1" containsInteger="1" minValue="0" maxValue="0"/>
    </cacheField>
    <cacheField name="Agent did not enter quantity and days supply exactly as the caller's intent." numFmtId="0">
      <sharedItems containsString="0" containsBlank="1" containsNumber="1" containsInteger="1" minValue="0" maxValue="0"/>
    </cacheField>
    <cacheField name="Agent did not evaluate the reject in action step." numFmtId="0">
      <sharedItems containsString="0" containsBlank="1" containsNumber="1" containsInteger="1" minValue="0" maxValue="0"/>
    </cacheField>
    <cacheField name="Agent did not use retry trial claim to adjust the dispensed quantity and days supply in proportion to 30 days to drive the appropriate rejects." numFmtId="0">
      <sharedItems containsString="0" containsBlank="1" containsNumber="1" containsInteger="1" minValue="0" maxValue="0"/>
    </cacheField>
    <cacheField name="Agent did not enter case detail according to the caller's request (e.g. selecting cost reduction)." numFmtId="0">
      <sharedItems containsString="0" containsBlank="1" containsNumber="1" containsInteger="1" minValue="0" maxValue="0"/>
    </cacheField>
    <cacheField name="Agent did not turn INQ call to PA when appropriate." numFmtId="0">
      <sharedItems containsString="0" containsBlank="1" containsNumber="1" containsInteger="1" minValue="0" maxValue="0"/>
    </cacheField>
    <cacheField name="Merge Decision - Agent did not evaluate and compare the information from the original pending case to the current case when presented with final case duplicates for merging." numFmtId="0">
      <sharedItems containsString="0" containsBlank="1" containsNumber="1" containsInteger="1" minValue="0" maxValue="0"/>
    </cacheField>
    <cacheField name="Agent did not follow the system guided &quot;WALKME&quot; instruction at the Enhanced Duplicate Screen." numFmtId="0">
      <sharedItems containsString="0" containsBlank="1" containsNumber="1" containsInteger="1" minValue="0" maxValue="0"/>
    </cacheField>
    <cacheField name="Agent did not complete the Multiple PA type selections (when presented appropriately)." numFmtId="0">
      <sharedItems containsString="0" containsBlank="1" containsNumber="1" containsInteger="1" minValue="0" maxValue="0"/>
    </cacheField>
    <cacheField name="Proceed with the Guideline Decision - New PA requests (e.g., drugs that have not previously been reviewed), must always proceed to the Guideline screen, unless cancellation is warranted. A subsequent commercial case with new information must always proceed to review to evaluate for approval at the Guidelines screen." numFmtId="0">
      <sharedItems containsString="0" containsBlank="1" containsNumber="1" containsInteger="1" minValue="0" maxValue="0"/>
    </cacheField>
    <cacheField name="Retry Trial Claim -  Agent did not use the retry trial claim feature to adjust the dispensed quantity and days supply in proportion to 30 days to drive the appropriate rejects." numFmtId="0">
      <sharedItems containsString="0" containsBlank="1" containsNumber="1" containsInteger="1" minValue="0" maxValue="0"/>
    </cacheField>
    <cacheField name="Agent did not change the day supply to 30 days without also recalculating the quantity to 30 days." numFmtId="0">
      <sharedItems containsString="0" containsBlank="1" containsNumber="1" containsInteger="1" minValue="0" maxValue="0"/>
    </cacheField>
    <cacheField name="Cancellation Decision - Agent did not use the retry trial claim feature at the guideline screen first before selecting cancel case." numFmtId="0">
      <sharedItems containsString="0" containsBlank="1" containsNumber="1" containsInteger="1" minValue="0" maxValue="0"/>
    </cacheField>
    <cacheField name="Agent changed the intent of the initial trial claim" numFmtId="0">
      <sharedItems containsString="0" containsBlank="1" containsNumber="1" containsInteger="1" minValue="0" maxValue="0"/>
    </cacheField>
    <cacheField name="Agent did not select the correct cancel reason code." numFmtId="0">
      <sharedItems containsString="0" containsBlank="1" containsNumber="1" containsInteger="1" minValue="0" maxValue="0"/>
    </cacheField>
    <cacheField name="A subsequent Medicare case with a denial on file within the appeal window must be evaluated for Forwarding to Appeals." numFmtId="0">
      <sharedItems containsString="0" containsBlank="1" containsNumber="1" containsInteger="1" minValue="0" maxValue="0"/>
    </cacheField>
    <cacheField name="Agent did not ask ALL External questions and responses verbatim." numFmtId="0">
      <sharedItems containsString="0" containsBlank="1" containsNumber="1" containsInteger="1" minValue="0" maxValue="1"/>
    </cacheField>
    <cacheField name="Agent did not ask the diagnosis question(s); Agent did not make the correct selection(s) based on the caller's response." numFmtId="0">
      <sharedItems containsString="0" containsBlank="1" containsNumber="1" containsInteger="1" minValue="0" maxValue="0"/>
    </cacheField>
    <cacheField name="Agent did not answer initial vs reauth questions correctly." numFmtId="0">
      <sharedItems containsString="0" containsBlank="1" containsNumber="1" containsInteger="1" minValue="0" maxValue="0"/>
    </cacheField>
    <cacheField name="Did not ask the CG QL question." numFmtId="0">
      <sharedItems containsString="0" containsBlank="1" containsNumber="1" containsInteger="1" minValue="0" maxValue="0"/>
    </cacheField>
    <cacheField name="Did not update the DQ and DS on the case according to the caller's response to the QL question." numFmtId="0">
      <sharedItems containsString="0" containsBlank="1" containsNumber="1" containsInteger="1" minValue="0" maxValue="0"/>
    </cacheField>
    <cacheField name="Agent did not document additional information in the additional notes textbox when prompted." numFmtId="0">
      <sharedItems containsString="0" containsBlank="1" containsNumber="1" containsInteger="1" minValue="0" maxValue="1"/>
    </cacheField>
    <cacheField name="Agent did not offer to create ePA keycode when CG question require submission of chartnotes." numFmtId="0">
      <sharedItems containsString="0" containsBlank="1" containsNumber="1" containsInteger="1" minValue="0" maxValue="0"/>
    </cacheField>
    <cacheField name="Agent did not evaluate and compare the information from the original pending case to the current case when presented with final/second case duplicates for merging." numFmtId="0">
      <sharedItems containsString="0" containsBlank="1" containsNumber="1" containsInteger="1" minValue="0" maxValue="0"/>
    </cacheField>
    <cacheField name="Agent did not follow the system guided &quot;WALKME&quot; instruction at the Enhanced Duplicate Screen.2" numFmtId="0">
      <sharedItems containsString="0" containsBlank="1" containsNumber="1" containsInteger="1" minValue="0" maxValue="0"/>
    </cacheField>
    <cacheField name="The agent did not ensure caller satisfaction by asking if additional assistance is needed." numFmtId="0">
      <sharedItems containsString="0" containsBlank="1" containsNumber="1" containsInteger="1" minValue="0" maxValue="1"/>
    </cacheField>
    <cacheField name="The agent did not offers/Mention the survey." numFmtId="0">
      <sharedItems containsString="0" containsBlank="1" containsNumber="1" containsInteger="1" minValue="0" maxValue="0"/>
    </cacheField>
    <cacheField name="The agent did not the brand the call and thank the caller." numFmtId="0">
      <sharedItems containsString="0" containsBlank="1" containsNumber="1" containsInteger="1" minValue="0" maxValue="1"/>
    </cacheField>
    <cacheField name="Agent did not requests permission from the caller before placing them on hold." numFmtId="0">
      <sharedItems containsString="0" containsBlank="1" containsNumber="1" containsInteger="1" minValue="0" maxValue="0"/>
    </cacheField>
    <cacheField name="Agent did not use the mute button when placing the caller on silent hold." numFmtId="0">
      <sharedItems containsString="0" containsBlank="1" containsNumber="1" containsInteger="1" minValue="0" maxValue="1"/>
    </cacheField>
    <cacheField name="Agent did not thank the caller for holding upon returning to the caller." numFmtId="0">
      <sharedItems containsString="0" containsBlank="1" containsNumber="1" containsInteger="1" minValue="0" maxValue="1"/>
    </cacheField>
    <cacheField name="Agent placed the caller on hold at the start of the call." numFmtId="0">
      <sharedItems containsString="0" containsBlank="1" containsNumber="1" containsInteger="1" minValue="0" maxValue="0"/>
    </cacheField>
    <cacheField name="Agent did not return to the caller from hold after the initial 2mins" numFmtId="0">
      <sharedItems containsString="0" containsBlank="1" containsNumber="1" containsInteger="1" minValue="0" maxValue="0"/>
    </cacheField>
    <cacheField name="Exceeded Limit of five seconds before the greeting of the call." numFmtId="0">
      <sharedItems containsString="0" containsBlank="1" containsNumber="1" containsInteger="1" minValue="0" maxValue="0"/>
    </cacheField>
    <cacheField name="Exceeded Limit of twenty seconds of unannounced silence." numFmtId="0">
      <sharedItems containsString="0" containsBlank="1" containsNumber="1" containsInteger="1" minValue="0" maxValue="1"/>
    </cacheField>
    <cacheField name="Exceeded Limit of fifty seconds of announced silence." numFmtId="0">
      <sharedItems containsString="0" containsBlank="1" containsNumber="1" containsInteger="1" minValue="0" maxValue="1"/>
    </cacheField>
    <cacheField name="Explain the reason/need to transfer the caller." numFmtId="0">
      <sharedItems containsString="0" containsBlank="1" containsNumber="1" containsInteger="1" minValue="0" maxValue="0"/>
    </cacheField>
    <cacheField name="Gain permission from the caller to transfer." numFmtId="0">
      <sharedItems containsString="0" containsBlank="1" containsNumber="1" containsInteger="1" minValue="0" maxValue="1"/>
    </cacheField>
    <cacheField name="For internal transfers, agent did not provide the name and number (if available) of the department the caller is being transferred to, and for external Provide the name and number of the department caller is being transferred to." numFmtId="0">
      <sharedItems containsString="0" containsBlank="1" containsNumber="1" containsInteger="1" minValue="0" maxValue="1"/>
    </cacheField>
    <cacheField name="Agent did not warm and cold transfer according to current policy. " numFmtId="0">
      <sharedItems containsString="0" containsBlank="1" containsNumber="1" containsInteger="1" minValue="0" maxValue="0"/>
    </cacheField>
    <cacheField name="The agent will did not speak clearly without mumbling, using jargon, or slang." numFmtId="0">
      <sharedItems containsString="0" containsBlank="1" containsNumber="1" containsInteger="1" minValue="0" maxValue="0"/>
    </cacheField>
    <cacheField name="The agent did not adapt to the caller’s needs through the pace of their speech and the volume of their voice, as appropriate." numFmtId="0">
      <sharedItems containsString="0" containsBlank="1" containsNumber="1" containsInteger="1" minValue="0" maxValue="1"/>
    </cacheField>
    <cacheField name="The agent did not avoid using terms of endearment when addressing the caller (e.g., honey, dear)." numFmtId="0">
      <sharedItems containsString="0" containsBlank="1" containsNumber="1" containsInteger="1" minValue="0" maxValue="0"/>
    </cacheField>
    <cacheField name="The agent did not use appropriate and professional language." numFmtId="0">
      <sharedItems containsString="0" containsBlank="1" containsNumber="1" containsInteger="1" minValue="0" maxValue="0"/>
    </cacheField>
    <cacheField name="Agent did not respond with appropriate phrases to ensure the caller they are actively listening and understanding the caller’s statement/question." numFmtId="0">
      <sharedItems containsString="0" containsBlank="1" containsNumber="1" containsInteger="1" minValue="0" maxValue="0"/>
    </cacheField>
    <cacheField name="Agent did not resolve all the caller’s needs to ensure the caller does not call back again. (Demonstrate ownership of the repeat caller issue by resolving all questions, issues, and/or concerns on the call); Agent created a homework for the caller." numFmtId="0">
      <sharedItems containsString="0" containsBlank="1" containsNumber="1" containsInteger="1" minValue="0" maxValue="1"/>
    </cacheField>
    <cacheField name="Agent did not verify case(s) were reviewed properly." numFmtId="0">
      <sharedItems containsString="0" containsBlank="1" containsNumber="1" containsInteger="1" minValue="0" maxValue="0"/>
    </cacheField>
    <cacheField name="Agent did not educate the caller on clinical criteria not met per clinical guidelines based on denial reason." numFmtId="0">
      <sharedItems containsString="0" containsBlank="1" containsNumber="1" containsInteger="1" minValue="0" maxValue="0"/>
    </cacheField>
    <cacheField name="Agent did not utilize available resources to research the member’s concerns (i.e. Corr letter, Case Notes, Plan Contacts, Claim History, FLU/INET)." numFmtId="0">
      <sharedItems containsString="0" containsBlank="1" containsNumber="1" containsInteger="1" minValue="0" maxValue="0"/>
    </cacheField>
    <cacheField name="The agent will appropriately use the caller’s name at least once during the call outside of caller name verification." numFmtId="0">
      <sharedItems containsString="0" containsBlank="1" containsNumber="1" containsInteger="1" minValue="0" maxValue="0"/>
    </cacheField>
    <cacheField name="The agent will address the caller using their last name and/or appropriate name/title anytime the name is provided by the caller." numFmtId="0">
      <sharedItems containsString="0" containsBlank="1" containsNumber="1" containsInteger="1" minValue="0" maxValue="1"/>
    </cacheField>
    <cacheField name="The first name may only be used to address clinician, tech, nurse, etc. unless the caller requests the first name be used." numFmtId="0">
      <sharedItems containsString="0" containsBlank="1" containsNumber="1" containsInteger="1" minValue="0" maxValue="0"/>
    </cacheField>
    <cacheField name="It is not required to address internal callers by name." numFmtId="0">
      <sharedItems containsString="0" containsBlank="1" containsNumber="1" containsInteger="1" minValue="0" maxValue="0"/>
    </cacheField>
    <cacheField name="The agent uses a tone that is pleasant/helpful (PIR)." numFmtId="0">
      <sharedItems containsString="0" containsBlank="1" containsNumber="1" containsInteger="1" minValue="0" maxValue="0"/>
    </cacheField>
    <cacheField name="The agent uses courtesy words/phrases (PIR)." numFmtId="0">
      <sharedItems containsString="0" containsBlank="1" containsNumber="1" containsInteger="1" minValue="0" maxValue="0"/>
    </cacheField>
    <cacheField name="The agent allows the caller to speak without blatant interruptions." numFmtId="0">
      <sharedItems containsString="0" containsBlank="1" containsNumber="1" containsInteger="1" minValue="0" maxValue="0"/>
    </cacheField>
    <cacheField name="The agent will concede/apologize if they interrupt the caller, accidentally." numFmtId="0">
      <sharedItems containsString="0" containsBlank="1" containsNumber="1" containsInteger="1" minValue="0" maxValue="0"/>
    </cacheField>
    <cacheField name="Agent did not avoid blaming or speaking negatively of OptumRx or company partners." numFmtId="0">
      <sharedItems containsString="0" containsBlank="1" containsNumber="1" containsInteger="1" minValue="0" maxValue="0"/>
    </cacheField>
    <cacheField name="Agent did not promote confidence in the company’s processes when speaking to the caller." numFmtId="0">
      <sharedItems containsString="0" containsBlank="1" containsNumber="1" containsInteger="1" minValue="0" maxValue="0"/>
    </cacheField>
    <cacheField name="If systems are down or latent, the agent did not advise the caller the “system is updating”." numFmtId="0">
      <sharedItems containsString="0" containsBlank="1" containsNumber="1" containsInteger="1" minValue="0" maxValue="0"/>
    </cacheField>
    <cacheField name="Agent spoke negatively of company systems or place blame on systems." numFmtId="0">
      <sharedItems containsString="0" containsBlank="1" containsNumber="1" containsInteger="1" minValue="0" maxValue="0"/>
    </cacheField>
    <cacheField name="Agent did not keep the interaction/conversation of the call on track and avoids using distractive fillers." numFmtId="0">
      <sharedItems containsString="0" containsBlank="1" containsNumber="1" containsInteger="1" minValue="0" maxValue="1"/>
    </cacheField>
    <cacheField name="Agent did not answer the caller’s questions to build rapport without getting off track." numFmtId="0">
      <sharedItems containsString="0" containsBlank="1" containsNumber="1" containsInteger="1" minValue="0" maxValue="0"/>
    </cacheField>
    <cacheField name="Incorrect Case Priority." numFmtId="0">
      <sharedItems containsString="0" containsBlank="1" containsNumber="1" containsInteger="1" minValue="0" maxValue="0"/>
    </cacheField>
    <cacheField name="Invalid cancellation - Agent did not work and cancel cases in adherence to compliance requirements." numFmtId="0">
      <sharedItems containsString="0" containsBlank="1" containsNumber="1" containsInteger="1" minValue="0" maxValue="0"/>
    </cacheField>
    <cacheField name="Case Worked for the Incorrect Member - Agent did not work each case with the correct member account as requested by the caller." numFmtId="0">
      <sharedItems containsString="0" containsBlank="1" containsNumber="1" containsInteger="1" minValue="0" maxValue="0"/>
    </cacheField>
    <cacheField name="Agent did not maintain professionalism throughout the entire interaction with the caller. Agent used unprofessional or profane language." numFmtId="0">
      <sharedItems containsString="0" containsBlank="1"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7">
  <r>
    <d v="2025-01-03T00:00:00"/>
    <s v="Abantao,Julius Queno"/>
    <x v="0"/>
    <s v="QC"/>
    <s v="Gatchalian,Ernie Marie Caburian"/>
    <s v="Provider"/>
    <s v="New PA Initiation"/>
    <s v="INQ-E860611"/>
    <n v="0.97"/>
  </r>
  <r>
    <d v="2025-01-06T00:00:00"/>
    <s v="Bihag,Floriebel Dellona"/>
    <x v="1"/>
    <s v="QC"/>
    <s v="Santos,Jennilyn Chan"/>
    <s v="Provider"/>
    <s v="&quot;Call - Related to PA&quot;"/>
    <s v="INQ-E896400"/>
    <n v="0.97"/>
  </r>
  <r>
    <d v="2025-01-07T00:00:00"/>
    <s v="Tejada,Jan Jaycle Javillonar"/>
    <x v="1"/>
    <s v="QC"/>
    <s v="Santos,Jennilyn Chan"/>
    <s v="Provider"/>
    <s v="New PA Initiation"/>
    <s v="INQ-E920853"/>
    <n v="0.84"/>
  </r>
  <r>
    <d v="2025-01-08T00:00:00"/>
    <s v="Casoco,Carlito Trinidad"/>
    <x v="2"/>
    <s v="QC"/>
    <s v="Relon,Gazel De Guzman"/>
    <s v="Provider"/>
    <s v="&quot;Status Check-Approved- Edit required&quot;"/>
    <s v="INQ-E942381"/>
    <n v="1"/>
  </r>
  <r>
    <d v="2025-01-08T00:00:00"/>
    <s v="Mama,Monisah Cacasi"/>
    <x v="1"/>
    <s v="QC"/>
    <s v="Santos,Jennilyn Chan"/>
    <s v="Provider"/>
    <s v="&quot;Call - Related to PA&quot;"/>
    <s v="INQ-E938548"/>
    <n v="0.84"/>
  </r>
  <r>
    <d v="2025-01-06T00:00:00"/>
    <s v="Bihag,Floriebel Dellona"/>
    <x v="1"/>
    <s v="QC"/>
    <s v="Santos,Jennilyn Chan"/>
    <s v="Provider"/>
    <s v="&quot;Call - Related to PA&quot;"/>
    <s v="INQ-E895822"/>
    <n v="1"/>
  </r>
  <r>
    <d v="2025-01-06T00:00:00"/>
    <s v="Bihag,Floriebel Dellona"/>
    <x v="1"/>
    <s v="QC"/>
    <s v="Santos,Jennilyn Chan"/>
    <s v="Provider"/>
    <s v="&quot;Call - Related to PA&quot;"/>
    <s v="INQ-E896100"/>
    <n v="1"/>
  </r>
  <r>
    <d v="2025-01-07T00:00:00"/>
    <s v="Ramos,Chester Irvin Bautista"/>
    <x v="0"/>
    <s v="QC"/>
    <s v="Gatchalian,Ernie Marie Caburian"/>
    <s v="Provider"/>
    <s v="&quot;Call Transferred&quot;"/>
    <s v="INQ-E921924"/>
    <n v="1"/>
  </r>
  <r>
    <d v="2025-01-07T00:00:00"/>
    <s v="Tejada,Jan Jaycle Javillonar"/>
    <x v="1"/>
    <s v="QC"/>
    <s v="Santos,Jennilyn Chan"/>
    <s v="Provider"/>
    <s v="&quot;Call Transferred&quot;"/>
    <s v="INQ-E922636"/>
    <n v="1"/>
  </r>
  <r>
    <d v="2025-01-08T00:00:00"/>
    <s v="Candelaria,Tyronne Tillain"/>
    <x v="2"/>
    <s v="QC"/>
    <s v="Logmao,Nyrene Grace Lozada"/>
    <s v="Provider"/>
    <s v="&quot;Call Transferred&quot;"/>
    <s v="N/A"/>
    <n v="1"/>
  </r>
  <r>
    <d v="2025-01-08T00:00:00"/>
    <s v="Mama,Monisah Cacasi"/>
    <x v="1"/>
    <s v="QC"/>
    <s v="Santos,Jennilyn Chan"/>
    <s v="Provider"/>
    <s v="New PA Initiation"/>
    <s v="INQ-E939796"/>
    <n v="1"/>
  </r>
  <r>
    <d v="2025-01-08T00:00:00"/>
    <s v="Lumabao,Rein Amyl Montanez"/>
    <x v="1"/>
    <s v="QC"/>
    <s v="Santos,Jennilyn Chan"/>
    <s v="Provider"/>
    <s v="&quot;Call - Related to PA&quot;"/>
    <s v="INQ-E945758"/>
    <n v="1"/>
  </r>
  <r>
    <d v="2025-01-09T00:00:00"/>
    <s v="Austria,Effie Galang"/>
    <x v="2"/>
    <s v="QC"/>
    <s v="Ongjoco,Hanna Crystal Azana"/>
    <s v="Provider"/>
    <s v="&quot;Status Check-Denied&quot;"/>
    <s v="INQ-E970005"/>
    <n v="0.94"/>
  </r>
  <r>
    <d v="2025-01-09T00:00:00"/>
    <s v="Tadaya,Frederic Palongpong"/>
    <x v="3"/>
    <s v="QC"/>
    <s v="Gatchalian,Ernie Marie Caburian"/>
    <s v="Provider"/>
    <s v="&quot;Call Transferred&quot;"/>
    <s v="INQ-E974427"/>
    <n v="0.94"/>
  </r>
  <r>
    <d v="2025-01-09T00:00:00"/>
    <s v="Tabita,Czarina Manuel"/>
    <x v="3"/>
    <s v="QC"/>
    <s v="Gatchalian,Ernie Marie Caburian"/>
    <s v="Provider"/>
    <s v="New PA Initiation"/>
    <s v="PA-E2234004 "/>
    <n v="0.94"/>
  </r>
  <r>
    <d v="2025-01-10T00:00:00"/>
    <s v="Roque,Francis Anthony Jacobe"/>
    <x v="3"/>
    <s v="QC"/>
    <s v="Gatchalian,Ernie Marie Caburian"/>
    <s v="Provider"/>
    <s v="&quot;Call Transferred&quot;"/>
    <s v="INQ-E999677"/>
    <n v="0.94"/>
  </r>
  <r>
    <d v="2025-01-10T00:00:00"/>
    <s v="Relano,Abimael Soliman"/>
    <x v="3"/>
    <s v="QC"/>
    <s v="Gatchalian,Ernie Marie Caburian"/>
    <s v="Provider"/>
    <s v="&quot;Status Check-Denied&quot;"/>
    <s v="INQ-F000964"/>
    <n v="0.94"/>
  </r>
  <r>
    <d v="2025-01-09T00:00:00"/>
    <s v="Alzaga,Abigael Alano"/>
    <x v="3"/>
    <s v="QC"/>
    <s v="Logmao,Nyrene Grace Lozada"/>
    <s v="Provider"/>
    <s v="&quot;Call - Related to PA&quot;"/>
    <s v="INQ-E971669"/>
    <n v="1"/>
  </r>
  <r>
    <d v="2025-01-10T00:00:00"/>
    <s v="Bonifacio,Melanie Gadia"/>
    <x v="2"/>
    <s v="QC"/>
    <s v="Logmao,Nyrene Grace Lozada"/>
    <s v="Provider"/>
    <s v="&quot;Status Check-Approved&quot;"/>
    <s v="INQ-E996407"/>
    <n v="0.94"/>
  </r>
  <r>
    <d v="2025-01-10T00:00:00"/>
    <s v="Austria,Effie Galang"/>
    <x v="2"/>
    <s v="QC"/>
    <s v="Logmao,Nyrene Grace Lozada"/>
    <s v="Provider"/>
    <s v="&quot;Call - Related to PA&quot;"/>
    <s v="PA-E2308486"/>
    <n v="0.94"/>
  </r>
  <r>
    <d v="2025-01-09T00:00:00"/>
    <s v="Ramos,Ruth Marionne Dalut"/>
    <x v="3"/>
    <s v="QC"/>
    <s v="Napay,Rowena Joice Baguios"/>
    <s v="Provider"/>
    <s v="&quot;Call - Related to PA&quot;"/>
    <s v="INQ-E964501"/>
    <n v="0.99"/>
  </r>
  <r>
    <d v="2025-01-09T00:00:00"/>
    <s v="Ramos,Ruth Marionne Dalut"/>
    <x v="3"/>
    <s v="QC"/>
    <s v="Napay,Rowena Joice Baguios"/>
    <s v="Provider"/>
    <s v="&quot;Status Check-Approved&quot;"/>
    <s v="INQ-E965084"/>
    <n v="0.99"/>
  </r>
  <r>
    <d v="2025-01-09T00:00:00"/>
    <s v="Paule,John Melvin Manansala"/>
    <x v="3"/>
    <s v="QC"/>
    <s v="Napay,Rowena Joice Baguios"/>
    <s v="Provider"/>
    <s v="&quot;Status Check-Approved&quot;"/>
    <s v="INQ-E963696"/>
    <n v="0.99"/>
  </r>
  <r>
    <d v="2025-01-10T00:00:00"/>
    <s v="Garcia,Raqsher Anne Miras"/>
    <x v="3"/>
    <s v="QC"/>
    <s v="Napay,Rowena Joice Baguios"/>
    <s v="Provider"/>
    <s v="&quot;Status Check-Approved&quot;"/>
    <s v="INQ-E993253"/>
    <n v="0.99"/>
  </r>
  <r>
    <d v="2025-01-10T00:00:00"/>
    <s v="Roces,Diana Abia"/>
    <x v="3"/>
    <s v="QC"/>
    <s v="Napay,Rowena Joice Baguios"/>
    <s v="Provider"/>
    <s v="&quot;Status Check-Denied&quot;"/>
    <s v="INQ-E994473"/>
    <n v="0.98"/>
  </r>
  <r>
    <d v="2025-01-09T00:00:00"/>
    <s v="Sulayao,Windy Homyao"/>
    <x v="3"/>
    <s v="QC"/>
    <s v="Purpora,Daryl"/>
    <s v="Provider"/>
    <s v="&quot;Status Check-Denied&quot;"/>
    <s v="INQ-E971024"/>
    <n v="1"/>
  </r>
  <r>
    <d v="2025-01-09T00:00:00"/>
    <s v="Veron,Kent Romeo Theryz Perce"/>
    <x v="3"/>
    <s v="QC"/>
    <s v="Purpora,Daryl"/>
    <s v="Provider"/>
    <s v="New PA Initiation"/>
    <s v="INQ-E971706  "/>
    <n v="1"/>
  </r>
  <r>
    <d v="2025-01-08T00:00:00"/>
    <s v="Catayas,Cristel Ann Nodesca"/>
    <x v="2"/>
    <s v="QC"/>
    <s v="Relon,Gazel De Guzman"/>
    <s v="Provider"/>
    <s v="&quot;Call - Related to PA&quot;"/>
    <s v="INQ-E945247"/>
    <n v="1"/>
  </r>
  <r>
    <d v="2025-01-09T00:00:00"/>
    <s v="Bonifacio,Melanie Gadia"/>
    <x v="2"/>
    <s v="QC"/>
    <s v="Relon,Gazel De Guzman"/>
    <s v="Provider"/>
    <s v="&quot;Status Check-Denied&quot;"/>
    <s v="INQ-E972364"/>
    <n v="0.93"/>
  </r>
  <r>
    <d v="2025-01-09T00:00:00"/>
    <s v="Torlao,Maria Rowena"/>
    <x v="1"/>
    <s v="QC"/>
    <s v="Santos,Jennilyn Chan"/>
    <s v="Provider"/>
    <s v="&quot;Call Transferred&quot;"/>
    <s v="INQ-E963047"/>
    <n v="0.94"/>
  </r>
  <r>
    <d v="2025-01-09T00:00:00"/>
    <s v="Bihag,Floriebel Dellona"/>
    <x v="1"/>
    <s v="QC"/>
    <s v="Santos,Jennilyn Chan"/>
    <s v="Provider"/>
    <s v="New PA Initiation"/>
    <s v="PA-E2230494"/>
    <n v="1"/>
  </r>
  <r>
    <d v="2025-01-09T00:00:00"/>
    <s v="Cubillas,Chenne Biazon"/>
    <x v="1"/>
    <s v="QC"/>
    <s v="Santos,Jennilyn Chan"/>
    <s v="Provider"/>
    <s v="New PA Initiation"/>
    <s v="PA-E2237756"/>
    <n v="1"/>
  </r>
  <r>
    <d v="2025-01-13T00:00:00"/>
    <s v="Tolentino,Christopher Pronuevo"/>
    <x v="3"/>
    <s v="QC"/>
    <s v="Purpora,Daryl"/>
    <s v="Provider"/>
    <s v="&quot;Status Check-Denied&quot;"/>
    <s v="INQ-F024720  "/>
    <n v="0.98"/>
  </r>
  <r>
    <d v="2025-01-13T00:00:00"/>
    <s v="Malinao Jr,Charman Macapua"/>
    <x v="3"/>
    <s v="QC"/>
    <s v="Purpora,Daryl"/>
    <s v="Provider"/>
    <s v="New PA Initiation"/>
    <s v="INQ-F026068  "/>
    <n v="1"/>
  </r>
  <r>
    <d v="2025-01-13T00:00:00"/>
    <s v="Cubillas,Chenne Biazon"/>
    <x v="1"/>
    <s v="QC"/>
    <s v="Santos,Jennilyn Chan"/>
    <s v="Provider"/>
    <s v="&quot;Call Transferred&quot;"/>
    <s v="INQ-F027685"/>
    <n v="1"/>
  </r>
  <r>
    <d v="2025-01-13T00:00:00"/>
    <s v="Cubillas,Chenne Biazon"/>
    <x v="1"/>
    <s v="QC"/>
    <s v="Santos,Jennilyn Chan"/>
    <s v="Provider"/>
    <s v="&quot;Call Transferred&quot;"/>
    <s v="INQ-F027089"/>
    <n v="1"/>
  </r>
  <r>
    <d v="2025-01-13T00:00:00"/>
    <s v="Bihag,Floriebel Dellona"/>
    <x v="1"/>
    <s v="QC"/>
    <s v="Santos,Jennilyn Chan"/>
    <s v="Provider"/>
    <s v="New PA Initiation"/>
    <s v="PA-E2425554"/>
    <n v="1"/>
  </r>
  <r>
    <d v="2025-01-13T00:00:00"/>
    <s v="Bihag,Floriebel Dellona"/>
    <x v="1"/>
    <s v="QC"/>
    <s v="Santos,Jennilyn Chan"/>
    <s v="Provider"/>
    <s v="New PA Initiation"/>
    <s v="PA-E2423570 "/>
    <n v="1"/>
  </r>
  <r>
    <d v="2025-01-13T00:00:00"/>
    <s v="Bihag,Floriebel Dellona"/>
    <x v="1"/>
    <s v="QC"/>
    <s v="Santos,Jennilyn Chan"/>
    <s v="Provider"/>
    <s v="New PA Initiation"/>
    <s v="PA-E2404635"/>
    <n v="1"/>
  </r>
  <r>
    <d v="2025-01-02T00:00:00"/>
    <s v="Campanilla,Brennan Roy Solis"/>
    <x v="4"/>
    <s v="CEBU"/>
    <s v="Jumamoy,Zyrelle Brylle"/>
    <s v="Provider"/>
    <s v="&quot;Call - Related to PA&quot;"/>
    <s v="INQ-E851695"/>
    <n v="1"/>
  </r>
  <r>
    <d v="2025-01-03T00:00:00"/>
    <s v="Tizon,Hannah Allysa Daffon"/>
    <x v="4"/>
    <s v="CEBU"/>
    <s v="Jumamoy,Zyrelle Brylle"/>
    <s v="Provider"/>
    <s v="&quot;Call - Related to PA&quot;"/>
    <s v="INQ-E873134"/>
    <n v="1"/>
  </r>
  <r>
    <d v="2025-01-06T00:00:00"/>
    <s v="Lucresia,Sheena Estorba"/>
    <x v="4"/>
    <s v="CEBU"/>
    <s v="Jumamoy,Zyrelle Brylle"/>
    <s v="Provider"/>
    <s v="&quot;Call - Related to PA&quot;"/>
    <s v="INQ-E896084  "/>
    <n v="1"/>
  </r>
  <r>
    <d v="2025-01-06T00:00:00"/>
    <s v="Faciol,Felicity Dawn Jabonite"/>
    <x v="4"/>
    <s v="CEBU"/>
    <s v="Jumamoy,Zyrelle Brylle"/>
    <s v="Provider"/>
    <s v="New PA Initiation"/>
    <s v="INQ-E897174, PA-E1957287"/>
    <n v="1"/>
  </r>
  <r>
    <d v="2025-01-07T00:00:00"/>
    <s v="Tejada,Jan Jaycle Javillonar"/>
    <x v="1"/>
    <s v="QC"/>
    <s v="Santos,Jennilyn Chan"/>
    <s v="Provider"/>
    <s v="New PA Initiation"/>
    <s v="PA-E204611 "/>
    <n v="1"/>
  </r>
  <r>
    <d v="2025-01-08T00:00:00"/>
    <s v="Candelaria,Tyronne Tillain"/>
    <x v="2"/>
    <s v="QC"/>
    <s v="Logmao, Nyrene Grace L"/>
    <s v="Provider"/>
    <s v="Misrouted Call - Transfer"/>
    <s v="tcandel2"/>
    <n v="1"/>
  </r>
  <r>
    <d v="2025-01-14T00:00:00"/>
    <s v="Gonzales,Elyon Roi Ordonio"/>
    <x v="3"/>
    <s v="QC"/>
    <s v="Gatchalian, Ernie Marie C"/>
    <s v="Provider"/>
    <s v="New PA Initiation"/>
    <s v="INQ-F058751"/>
    <n v="0.94"/>
  </r>
  <r>
    <d v="2025-01-14T00:00:00"/>
    <s v="Tanglao,Jaycee Fernando"/>
    <x v="3"/>
    <s v="QC"/>
    <s v="Napay, Rowena Joice B"/>
    <s v="Provider"/>
    <s v="&quot;Status Check-Denied&quot;"/>
    <s v="INQ-F046632"/>
    <n v="0.98"/>
  </r>
  <r>
    <d v="2025-01-14T00:00:00"/>
    <s v="Veron,Kent Romeo Theryz Perce"/>
    <x v="3"/>
    <s v="QC"/>
    <s v="Purpora, Daryl B"/>
    <s v="Provider"/>
    <s v="New PA Initiation"/>
    <s v="INQ-F055385"/>
    <n v="0.94"/>
  </r>
  <r>
    <d v="2025-01-09T00:00:00"/>
    <s v="Tolentino,Christopher Pronuevo"/>
    <x v="3"/>
    <s v="QC"/>
    <s v="Cortez, Khyno E"/>
    <s v="Provider"/>
    <s v="&quot;Status Check-Denied&quot;"/>
    <s v="INQ-E964114"/>
    <n v="0.99"/>
  </r>
  <r>
    <d v="2025-01-13T00:00:00"/>
    <s v="Garcia,Raqsher Anne Miras"/>
    <x v="3"/>
    <s v="QC"/>
    <s v="Cortez, Khyno E"/>
    <s v="Provider"/>
    <s v="&quot;Status Check - Formulary Coverage&quot;"/>
    <s v="INQ-E993253"/>
    <n v="1"/>
  </r>
  <r>
    <d v="2025-01-13T00:00:00"/>
    <s v="Roces,Diana Abia"/>
    <x v="3"/>
    <s v="QC"/>
    <s v="Cortez, Khyno E"/>
    <s v="Provider"/>
    <s v="New PA Initiation"/>
    <s v="INQ-E999702"/>
    <n v="1"/>
  </r>
  <r>
    <d v="2025-01-13T00:00:00"/>
    <s v="Gonzales,Elyon Roi Ordonio"/>
    <x v="3"/>
    <s v="QC"/>
    <s v="Cortez, Khyno E"/>
    <s v="Provider"/>
    <s v="New PA Initiation"/>
    <s v="INQ-E974520"/>
    <n v="1"/>
  </r>
  <r>
    <d v="2025-01-13T00:00:00"/>
    <s v="Morales,Lendy Ochate"/>
    <x v="3"/>
    <s v="QC"/>
    <s v="Cortez, Khyno E"/>
    <s v="Provider"/>
    <s v="&quot;Status Check-Approved&quot;"/>
    <s v="INQ-E996784"/>
    <n v="0.93"/>
  </r>
  <r>
    <d v="2025-01-13T00:00:00"/>
    <s v="Sulayao,Windy Homyao"/>
    <x v="3"/>
    <s v="QC"/>
    <s v="Cortez, Khyno E"/>
    <s v="Provider"/>
    <s v="New PA Initiation"/>
    <s v="INQ-E997141"/>
    <n v="0.99"/>
  </r>
  <r>
    <d v="2025-01-13T00:00:00"/>
    <s v="Tanglao,Jaycee Fernando"/>
    <x v="3"/>
    <s v="QC"/>
    <s v="Cortez, Khyno E"/>
    <s v="Provider"/>
    <s v="&quot;Status Check-Denied&quot;"/>
    <s v="INQ-F000934"/>
    <n v="1"/>
  </r>
  <r>
    <d v="2025-01-14T00:00:00"/>
    <s v="Tabita,Czarina Manuel"/>
    <x v="3"/>
    <s v="QC"/>
    <s v="Cortez, Khyno E"/>
    <s v="Provider"/>
    <s v="New PA Initiation"/>
    <s v="INQ-F030130"/>
    <n v="0.93"/>
  </r>
  <r>
    <d v="2025-01-14T00:00:00"/>
    <s v="Malinao Jr,Charman Macapua"/>
    <x v="3"/>
    <s v="QC"/>
    <s v="Cortez, Khyno E"/>
    <s v="Provider"/>
    <s v="New PA Initiation"/>
    <s v="INQ-F026068"/>
    <n v="0.94"/>
  </r>
  <r>
    <d v="2025-01-14T00:00:00"/>
    <s v="Pedimonte,Leonard Auxillo"/>
    <x v="3"/>
    <s v="QC"/>
    <s v="Cortez, Khyno E"/>
    <s v="Provider"/>
    <s v="Others"/>
    <s v="INQ-F055290"/>
    <n v="1"/>
  </r>
  <r>
    <d v="2025-01-14T00:00:00"/>
    <s v="Morales,Lendy Ochate"/>
    <x v="3"/>
    <s v="QC"/>
    <s v="Cortez, Khyno E"/>
    <s v="Provider"/>
    <s v="New PA Initiation"/>
    <s v="INQ-F059200"/>
    <n v="0.94"/>
  </r>
  <r>
    <d v="2025-01-14T00:00:00"/>
    <s v="Morales,Lendy Ochate"/>
    <x v="3"/>
    <s v="QC"/>
    <s v="Cortez, Khyno E"/>
    <s v="Provider"/>
    <s v="&quot;Status Check-Denied&quot;"/>
    <s v="INQ-F058235"/>
    <n v="1"/>
  </r>
  <r>
    <d v="2025-01-15T00:00:00"/>
    <s v="Ramos,Ruth Marionne Dalut"/>
    <x v="3"/>
    <s v="QC"/>
    <s v="Cortez, Khyno E"/>
    <s v="Provider"/>
    <s v="Others"/>
    <s v="INQ-F055573"/>
    <n v="1"/>
  </r>
  <r>
    <d v="2025-01-15T00:00:00"/>
    <s v="Relano,Abimael Soliman"/>
    <x v="3"/>
    <s v="QC"/>
    <s v="Cortez, Khyno E"/>
    <s v="Provider"/>
    <s v="&quot;Status Check-Approved&quot;"/>
    <s v="INQ-F058787"/>
    <n v="0.99"/>
  </r>
  <r>
    <d v="2025-01-09T00:00:00"/>
    <s v="Adriano,Anthony Floresca"/>
    <x v="2"/>
    <s v="QC"/>
    <s v="Escarlan, Aljon L"/>
    <s v="Provider"/>
    <s v="&quot;Status Check-Denied&quot;"/>
    <s v="INQ-E969255"/>
    <n v="0.95"/>
  </r>
  <r>
    <d v="2025-01-09T00:00:00"/>
    <s v="Bravante,Hazel Anne Regunay"/>
    <x v="2"/>
    <s v="QC"/>
    <s v="Escarlan, Aljon L"/>
    <s v="Provider"/>
    <s v="New PA Initiation"/>
    <s v="INQ-E969255"/>
    <n v="0.88"/>
  </r>
  <r>
    <d v="2025-01-09T00:00:00"/>
    <s v="Alejaga,Bryan Manombaga"/>
    <x v="2"/>
    <s v="QC"/>
    <s v="Escarlan, Aljon L"/>
    <s v="Provider"/>
    <s v="New PA Initiation"/>
    <s v="PA-E2224896"/>
    <n v="0.94"/>
  </r>
  <r>
    <d v="2025-01-09T00:00:00"/>
    <s v="Morales,Lendy Ochate"/>
    <x v="3"/>
    <s v="QC"/>
    <s v="Aguilar, Jam"/>
    <s v="Provider"/>
    <s v="New PA Initiation"/>
    <s v="INQ-E969234"/>
    <n v="0.74"/>
  </r>
  <r>
    <d v="2025-01-09T00:00:00"/>
    <s v="Tanglao,Jaycee Fernando"/>
    <x v="3"/>
    <s v="QC"/>
    <s v="Aguilar, Jam"/>
    <s v="Internal/Client"/>
    <s v="&quot;Call Transferred&quot;"/>
    <s v="INQ-E970896"/>
    <n v="0.85"/>
  </r>
  <r>
    <d v="2025-01-15T00:00:00"/>
    <s v="Roque,Francis Anthony Jacobe"/>
    <x v="3"/>
    <s v="QC"/>
    <s v="Cortez, Khyno E"/>
    <s v="Provider"/>
    <s v="New PA Initiation"/>
    <s v="INQ-F074855"/>
    <n v="0.94"/>
  </r>
  <r>
    <d v="2025-01-15T00:00:00"/>
    <s v="Veron,Kent Romeo Theryz Perce"/>
    <x v="3"/>
    <s v="QC"/>
    <s v="Cortez, Khyno E"/>
    <s v="Provider"/>
    <s v="New PA Initiation"/>
    <s v="INQ-F058180"/>
    <n v="0.93"/>
  </r>
  <r>
    <d v="2025-01-15T00:00:00"/>
    <s v="Sangil Jr,Gaudencio Abeleda"/>
    <x v="3"/>
    <s v="QC"/>
    <s v="Gatchalian, Ernie Marie C"/>
    <s v="Provider"/>
    <s v="New PA Initiation"/>
    <s v="INQ-F075778"/>
    <n v="0.94"/>
  </r>
  <r>
    <d v="2025-01-15T00:00:00"/>
    <s v="Relano,Abimael Soliman"/>
    <x v="3"/>
    <s v="QC"/>
    <s v="Purpora, Daryl B"/>
    <s v="Provider"/>
    <s v="New PA Initiation"/>
    <s v="INQ-F074528  "/>
    <n v="0.99"/>
  </r>
  <r>
    <d v="2025-01-16T00:00:00"/>
    <s v="Sulayao,Windy Homyao"/>
    <x v="3"/>
    <s v="QC"/>
    <s v="Cortez, Khyno E"/>
    <s v="Provider"/>
    <s v="Check Status Approve"/>
    <s v="INQ-F101059"/>
    <n v="1"/>
  </r>
  <r>
    <d v="2025-01-16T00:00:00"/>
    <s v="Sangil Jr,Gaudencio Abeleda"/>
    <x v="3"/>
    <s v="QC"/>
    <s v="Cortez, Khyno E"/>
    <s v="Provider"/>
    <s v="Check Formulary Coverage"/>
    <s v="INQ-F102862"/>
    <n v="1"/>
  </r>
  <r>
    <d v="2025-01-16T00:00:00"/>
    <s v="Alejaga,Bryan Manombaga"/>
    <x v="2"/>
    <s v="QC"/>
    <s v="Logmao, Nyrene Grace L"/>
    <s v="Provider"/>
    <s v="Check Status Denied"/>
    <s v="INQ-F116053"/>
    <n v="0.96"/>
  </r>
  <r>
    <d v="2025-01-16T00:00:00"/>
    <s v="Morales,Lendy Ochate"/>
    <x v="3"/>
    <s v="QC"/>
    <s v="Napay, Rowena Joice B"/>
    <s v="Provider"/>
    <s v="Transfer - Additional Assistance"/>
    <s v="INQ-F100403"/>
    <n v="0.84"/>
  </r>
  <r>
    <d v="2025-01-16T00:00:00"/>
    <s v="Ramos,Ruth Marionne Dalut"/>
    <x v="3"/>
    <s v="QC"/>
    <s v="Napay, Rowena Joice B"/>
    <s v="Provider"/>
    <s v="Check Formulary Coverage"/>
    <s v="INQ-F101217"/>
    <n v="1"/>
  </r>
  <r>
    <d v="2025-01-16T00:00:00"/>
    <s v="Roces,Diana Abia"/>
    <x v="3"/>
    <s v="QC"/>
    <s v="Napay, Rowena Joice B"/>
    <s v="Provider"/>
    <s v="PA Initiation"/>
    <s v="INQ-F101775"/>
    <n v="0.91"/>
  </r>
  <r>
    <d v="2025-01-16T00:00:00"/>
    <s v="Tanglao,Jaycee Fernando"/>
    <x v="3"/>
    <s v="QC"/>
    <s v="Napay, Rowena Joice B"/>
    <s v="Provider"/>
    <s v="Check Status Denied"/>
    <s v="INQ-F103832"/>
    <n v="0.94"/>
  </r>
  <r>
    <d v="2025-01-16T00:00:00"/>
    <s v="Pecson,Warren Dela Cruz"/>
    <x v="2"/>
    <s v="QC"/>
    <s v="Relon, Gazel D"/>
    <s v="Provider"/>
    <s v="Check Status Denied"/>
    <s v="INQ-F103248"/>
    <n v="0.98"/>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r>
    <m/>
    <m/>
    <x v="5"/>
    <e v="#N/A"/>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8">
  <r>
    <x v="0"/>
    <x v="0"/>
    <x v="0"/>
    <x v="0"/>
    <d v="2025-01-03T00:00:00"/>
    <x v="0"/>
    <x v="0"/>
    <s v="QC"/>
    <s v="Gatchalian,Ernie Marie Caburian"/>
    <s v="Provider"/>
    <s v="New PA Initiation"/>
    <s v="INQ-E860611"/>
    <n v="0.9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r>
  <r>
    <x v="0"/>
    <x v="0"/>
    <x v="1"/>
    <x v="0"/>
    <d v="2025-01-06T00:00:00"/>
    <x v="1"/>
    <x v="1"/>
    <s v="QC"/>
    <s v="Santos,Jennilyn Chan"/>
    <s v="Provider"/>
    <s v="&quot;Call - Related to PA&quot;"/>
    <s v="INQ-E896400"/>
    <n v="0.9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r>
  <r>
    <x v="0"/>
    <x v="0"/>
    <x v="1"/>
    <x v="0"/>
    <d v="2025-01-07T00:00:00"/>
    <x v="2"/>
    <x v="1"/>
    <s v="QC"/>
    <s v="Santos,Jennilyn Chan"/>
    <s v="Provider"/>
    <s v="New PA Initiation"/>
    <s v="INQ-E920853"/>
    <n v="0.84"/>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1"/>
  </r>
  <r>
    <x v="0"/>
    <x v="1"/>
    <x v="2"/>
    <x v="0"/>
    <d v="2025-01-08T00:00:00"/>
    <x v="3"/>
    <x v="2"/>
    <s v="QC"/>
    <s v="Relon,Gazel De Guzman"/>
    <s v="Provider"/>
    <s v="&quot;Status Check-Approved- Edit required&quot;"/>
    <s v="INQ-E942381"/>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x v="1"/>
    <x v="0"/>
    <d v="2025-01-08T00:00:00"/>
    <x v="4"/>
    <x v="1"/>
    <s v="QC"/>
    <s v="Santos,Jennilyn Chan"/>
    <s v="Provider"/>
    <s v="&quot;Call - Related to PA&quot;"/>
    <s v="INQ-E938548"/>
    <n v="0.84"/>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n v="0"/>
    <n v="0"/>
    <n v="0"/>
    <n v="0"/>
    <n v="0"/>
    <n v="0"/>
    <n v="0"/>
    <n v="0"/>
    <n v="0"/>
    <n v="0"/>
    <n v="0"/>
    <n v="0"/>
    <n v="0"/>
    <n v="0"/>
    <n v="0"/>
    <n v="0"/>
    <n v="0"/>
    <n v="1"/>
  </r>
  <r>
    <x v="0"/>
    <x v="0"/>
    <x v="1"/>
    <x v="0"/>
    <d v="2025-01-06T00:00:00"/>
    <x v="1"/>
    <x v="1"/>
    <s v="QC"/>
    <s v="Santos,Jennilyn Chan"/>
    <s v="Provider"/>
    <s v="&quot;Call - Related to PA&quot;"/>
    <s v="INQ-E895822"/>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x v="1"/>
    <x v="0"/>
    <d v="2025-01-06T00:00:00"/>
    <x v="1"/>
    <x v="1"/>
    <s v="QC"/>
    <s v="Santos,Jennilyn Chan"/>
    <s v="Provider"/>
    <s v="&quot;Call - Related to PA&quot;"/>
    <s v="INQ-E89610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x v="0"/>
    <x v="0"/>
    <d v="2025-01-07T00:00:00"/>
    <x v="5"/>
    <x v="0"/>
    <s v="QC"/>
    <s v="Gatchalian,Ernie Marie Caburian"/>
    <s v="Provider"/>
    <s v="&quot;Call Transferred&quot;"/>
    <s v="INQ-E921924"/>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x v="1"/>
    <x v="0"/>
    <d v="2025-01-07T00:00:00"/>
    <x v="2"/>
    <x v="1"/>
    <s v="QC"/>
    <s v="Santos,Jennilyn Chan"/>
    <s v="Provider"/>
    <s v="&quot;Call Transferred&quot;"/>
    <s v="INQ-E922636"/>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x v="2"/>
    <x v="0"/>
    <d v="2025-01-08T00:00:00"/>
    <x v="6"/>
    <x v="2"/>
    <s v="QC"/>
    <s v="Logmao,Nyrene Grace Lozada"/>
    <s v="Provider"/>
    <s v="&quot;Call Transferred&quot;"/>
    <s v="N/A"/>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x v="1"/>
    <x v="0"/>
    <d v="2025-01-08T00:00:00"/>
    <x v="4"/>
    <x v="1"/>
    <s v="QC"/>
    <s v="Santos,Jennilyn Chan"/>
    <s v="Provider"/>
    <s v="New PA Initiation"/>
    <s v="INQ-E939796"/>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x v="1"/>
    <x v="0"/>
    <d v="2025-01-08T00:00:00"/>
    <x v="7"/>
    <x v="1"/>
    <s v="QC"/>
    <s v="Santos,Jennilyn Chan"/>
    <s v="Provider"/>
    <s v="&quot;Call - Related to PA&quot;"/>
    <s v="INQ-E945758"/>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x v="2"/>
    <x v="0"/>
    <d v="2025-01-09T00:00:00"/>
    <x v="8"/>
    <x v="2"/>
    <s v="QC"/>
    <s v="Ongjoco,Hanna Crystal Azana"/>
    <s v="Provider"/>
    <s v="&quot;Status Check-Denied&quot;"/>
    <s v="INQ-E970005"/>
    <n v="0.94"/>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x v="3"/>
    <x v="0"/>
    <d v="2025-01-09T00:00:00"/>
    <x v="9"/>
    <x v="3"/>
    <s v="QC"/>
    <s v="Gatchalian,Ernie Marie Caburian"/>
    <s v="Provider"/>
    <s v="&quot;Call Transferred&quot;"/>
    <s v="INQ-E974427"/>
    <n v="0.94"/>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x v="3"/>
    <x v="0"/>
    <d v="2025-01-09T00:00:00"/>
    <x v="10"/>
    <x v="3"/>
    <s v="QC"/>
    <s v="Gatchalian,Ernie Marie Caburian"/>
    <s v="Provider"/>
    <s v="New PA Initiation"/>
    <s v="PA-E2234004 "/>
    <n v="0.94"/>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x v="3"/>
    <x v="0"/>
    <d v="2025-01-10T00:00:00"/>
    <x v="11"/>
    <x v="3"/>
    <s v="QC"/>
    <s v="Gatchalian,Ernie Marie Caburian"/>
    <s v="Provider"/>
    <s v="&quot;Call Transferred&quot;"/>
    <s v="INQ-E999677"/>
    <n v="0.94"/>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x v="3"/>
    <x v="0"/>
    <d v="2025-01-10T00:00:00"/>
    <x v="12"/>
    <x v="3"/>
    <s v="QC"/>
    <s v="Gatchalian,Ernie Marie Caburian"/>
    <s v="Provider"/>
    <s v="&quot;Status Check-Denied&quot;"/>
    <s v="INQ-F000964"/>
    <n v="0.94"/>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x v="3"/>
    <x v="0"/>
    <d v="2025-01-09T00:00:00"/>
    <x v="13"/>
    <x v="3"/>
    <s v="QC"/>
    <s v="Logmao,Nyrene Grace Lozada"/>
    <s v="Provider"/>
    <s v="&quot;Call - Related to PA&quot;"/>
    <s v="INQ-E971669"/>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x v="2"/>
    <x v="0"/>
    <d v="2025-01-10T00:00:00"/>
    <x v="14"/>
    <x v="2"/>
    <s v="QC"/>
    <s v="Logmao,Nyrene Grace Lozada"/>
    <s v="Provider"/>
    <s v="&quot;Status Check-Approved&quot;"/>
    <s v="INQ-E996407"/>
    <n v="0.94"/>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x v="2"/>
    <x v="0"/>
    <d v="2025-01-10T00:00:00"/>
    <x v="8"/>
    <x v="2"/>
    <s v="QC"/>
    <s v="Logmao,Nyrene Grace Lozada"/>
    <s v="Provider"/>
    <s v="&quot;Call - Related to PA&quot;"/>
    <s v="PA-E2308486"/>
    <n v="0.94"/>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x v="3"/>
    <x v="0"/>
    <d v="2025-01-09T00:00:00"/>
    <x v="15"/>
    <x v="3"/>
    <s v="QC"/>
    <s v="Napay,Rowena Joice Baguios"/>
    <s v="Provider"/>
    <s v="&quot;Call - Related to PA&quot;"/>
    <s v="INQ-E964501"/>
    <n v="0.9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r>
  <r>
    <x v="0"/>
    <x v="1"/>
    <x v="3"/>
    <x v="0"/>
    <d v="2025-01-09T00:00:00"/>
    <x v="15"/>
    <x v="3"/>
    <s v="QC"/>
    <s v="Napay,Rowena Joice Baguios"/>
    <s v="Provider"/>
    <s v="&quot;Status Check-Approved&quot;"/>
    <s v="INQ-E965084"/>
    <n v="0.9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r>
  <r>
    <x v="0"/>
    <x v="1"/>
    <x v="3"/>
    <x v="0"/>
    <d v="2025-01-09T00:00:00"/>
    <x v="16"/>
    <x v="3"/>
    <s v="QC"/>
    <s v="Napay,Rowena Joice Baguios"/>
    <s v="Provider"/>
    <s v="&quot;Status Check-Approved&quot;"/>
    <s v="INQ-E963696"/>
    <n v="0.9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r>
  <r>
    <x v="0"/>
    <x v="1"/>
    <x v="3"/>
    <x v="0"/>
    <d v="2025-01-10T00:00:00"/>
    <x v="17"/>
    <x v="3"/>
    <s v="QC"/>
    <s v="Napay,Rowena Joice Baguios"/>
    <s v="Provider"/>
    <s v="&quot;Status Check-Approved&quot;"/>
    <s v="INQ-E993253"/>
    <n v="0.9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r>
  <r>
    <x v="0"/>
    <x v="1"/>
    <x v="3"/>
    <x v="0"/>
    <d v="2025-01-10T00:00:00"/>
    <x v="18"/>
    <x v="3"/>
    <s v="QC"/>
    <s v="Napay,Rowena Joice Baguios"/>
    <s v="Provider"/>
    <s v="&quot;Status Check-Denied&quot;"/>
    <s v="INQ-E994473"/>
    <n v="0.9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1"/>
    <n v="0"/>
    <n v="0"/>
    <n v="0"/>
    <n v="0"/>
    <n v="0"/>
    <n v="0"/>
    <n v="0"/>
    <n v="0"/>
    <n v="0"/>
    <n v="0"/>
  </r>
  <r>
    <x v="0"/>
    <x v="1"/>
    <x v="3"/>
    <x v="0"/>
    <d v="2025-01-09T00:00:00"/>
    <x v="19"/>
    <x v="3"/>
    <s v="QC"/>
    <s v="Purpora,Daryl"/>
    <s v="Provider"/>
    <s v="&quot;Status Check-Denied&quot;"/>
    <s v="INQ-E971024"/>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x v="3"/>
    <x v="0"/>
    <d v="2025-01-09T00:00:00"/>
    <x v="20"/>
    <x v="3"/>
    <s v="QC"/>
    <s v="Purpora,Daryl"/>
    <s v="Provider"/>
    <s v="New PA Initiation"/>
    <s v="INQ-E971706  "/>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x v="2"/>
    <x v="0"/>
    <d v="2025-01-08T00:00:00"/>
    <x v="21"/>
    <x v="2"/>
    <s v="QC"/>
    <s v="Relon,Gazel De Guzman"/>
    <s v="Provider"/>
    <s v="&quot;Call - Related to PA&quot;"/>
    <s v="INQ-E945247"/>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x v="2"/>
    <x v="0"/>
    <d v="2025-01-09T00:00:00"/>
    <x v="14"/>
    <x v="2"/>
    <s v="QC"/>
    <s v="Relon,Gazel De Guzman"/>
    <s v="Provider"/>
    <s v="&quot;Status Check-Denied&quot;"/>
    <s v="INQ-E972364"/>
    <n v="0.93"/>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r>
  <r>
    <x v="0"/>
    <x v="0"/>
    <x v="1"/>
    <x v="0"/>
    <d v="2025-01-09T00:00:00"/>
    <x v="22"/>
    <x v="1"/>
    <s v="QC"/>
    <s v="Santos,Jennilyn Chan"/>
    <s v="Provider"/>
    <s v="&quot;Call Transferred&quot;"/>
    <s v="INQ-E963047"/>
    <n v="0.94"/>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x v="1"/>
    <x v="0"/>
    <d v="2025-01-09T00:00:00"/>
    <x v="1"/>
    <x v="1"/>
    <s v="QC"/>
    <s v="Santos,Jennilyn Chan"/>
    <s v="Provider"/>
    <s v="New PA Initiation"/>
    <s v="PA-E2230494"/>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x v="1"/>
    <x v="0"/>
    <d v="2025-01-09T00:00:00"/>
    <x v="23"/>
    <x v="1"/>
    <s v="QC"/>
    <s v="Santos,Jennilyn Chan"/>
    <s v="Provider"/>
    <s v="New PA Initiation"/>
    <s v="PA-E2237756"/>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x v="3"/>
    <x v="1"/>
    <d v="2025-01-13T00:00:00"/>
    <x v="24"/>
    <x v="3"/>
    <s v="QC"/>
    <s v="Purpora,Daryl"/>
    <s v="Provider"/>
    <s v="&quot;Status Check-Denied&quot;"/>
    <s v="INQ-F024720  "/>
    <n v="0.9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r>
  <r>
    <x v="0"/>
    <x v="1"/>
    <x v="3"/>
    <x v="1"/>
    <d v="2025-01-13T00:00:00"/>
    <x v="25"/>
    <x v="3"/>
    <s v="QC"/>
    <s v="Purpora,Daryl"/>
    <s v="Provider"/>
    <s v="New PA Initiation"/>
    <s v="INQ-F026068  "/>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x v="1"/>
    <x v="1"/>
    <d v="2025-01-13T00:00:00"/>
    <x v="23"/>
    <x v="1"/>
    <s v="QC"/>
    <s v="Santos,Jennilyn Chan"/>
    <s v="Provider"/>
    <s v="&quot;Call Transferred&quot;"/>
    <s v="INQ-F027685"/>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x v="1"/>
    <x v="1"/>
    <d v="2025-01-13T00:00:00"/>
    <x v="23"/>
    <x v="1"/>
    <s v="QC"/>
    <s v="Santos,Jennilyn Chan"/>
    <s v="Provider"/>
    <s v="&quot;Call Transferred&quot;"/>
    <s v="INQ-F027089"/>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x v="1"/>
    <x v="1"/>
    <d v="2025-01-13T00:00:00"/>
    <x v="1"/>
    <x v="1"/>
    <s v="QC"/>
    <s v="Santos,Jennilyn Chan"/>
    <s v="Provider"/>
    <s v="New PA Initiation"/>
    <s v="PA-E2425554"/>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x v="1"/>
    <x v="1"/>
    <d v="2025-01-13T00:00:00"/>
    <x v="1"/>
    <x v="1"/>
    <s v="QC"/>
    <s v="Santos,Jennilyn Chan"/>
    <s v="Provider"/>
    <s v="New PA Initiation"/>
    <s v="PA-E2423570 "/>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x v="1"/>
    <x v="1"/>
    <d v="2025-01-13T00:00:00"/>
    <x v="1"/>
    <x v="1"/>
    <s v="QC"/>
    <s v="Santos,Jennilyn Chan"/>
    <s v="Provider"/>
    <s v="New PA Initiation"/>
    <s v="PA-E2404635"/>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0"/>
    <x v="4"/>
    <x v="0"/>
    <d v="2025-01-02T00:00:00"/>
    <x v="26"/>
    <x v="4"/>
    <s v="CEBU"/>
    <s v="Jumamoy,Zyrelle Brylle"/>
    <s v="Provider"/>
    <s v="&quot;Call - Related to PA&quot;"/>
    <s v="INQ-E851695"/>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0"/>
    <x v="4"/>
    <x v="0"/>
    <d v="2025-01-03T00:00:00"/>
    <x v="27"/>
    <x v="4"/>
    <s v="CEBU"/>
    <s v="Jumamoy,Zyrelle Brylle"/>
    <s v="Provider"/>
    <s v="&quot;Call - Related to PA&quot;"/>
    <s v="INQ-E873134"/>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0"/>
    <x v="4"/>
    <x v="0"/>
    <d v="2025-01-06T00:00:00"/>
    <x v="28"/>
    <x v="4"/>
    <s v="CEBU"/>
    <s v="Jumamoy,Zyrelle Brylle"/>
    <s v="Provider"/>
    <s v="&quot;Call - Related to PA&quot;"/>
    <s v="INQ-E896084  "/>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0"/>
    <x v="4"/>
    <x v="0"/>
    <d v="2025-01-06T00:00:00"/>
    <x v="29"/>
    <x v="4"/>
    <s v="CEBU"/>
    <s v="Jumamoy,Zyrelle Brylle"/>
    <s v="Provider"/>
    <s v="New PA Initiation"/>
    <s v="INQ-E897174, PA-E1957287"/>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0"/>
    <x v="1"/>
    <x v="0"/>
    <d v="2025-01-07T00:00:00"/>
    <x v="2"/>
    <x v="1"/>
    <s v="QC"/>
    <s v="Santos,Jennilyn Chan"/>
    <s v="Provider"/>
    <s v="New PA Initiation"/>
    <s v="PA-E204611 "/>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x v="2"/>
    <x v="0"/>
    <d v="2025-01-08T00:00:00"/>
    <x v="6"/>
    <x v="2"/>
    <s v="QC"/>
    <s v="Logmao, Nyrene Grace L"/>
    <s v="Provider"/>
    <s v="Misrouted Call - Transfer"/>
    <s v="tcandel2"/>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x v="3"/>
    <x v="1"/>
    <d v="2025-01-14T00:00:00"/>
    <x v="30"/>
    <x v="3"/>
    <s v="QC"/>
    <s v="Gatchalian, Ernie Marie C"/>
    <s v="Provider"/>
    <s v="New PA Initiation"/>
    <s v="INQ-F058751"/>
    <n v="0.94"/>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x v="3"/>
    <x v="1"/>
    <d v="2025-01-14T00:00:00"/>
    <x v="31"/>
    <x v="3"/>
    <s v="QC"/>
    <s v="Napay, Rowena Joice B"/>
    <s v="Provider"/>
    <s v="&quot;Status Check-Denied&quot;"/>
    <s v="INQ-F046632"/>
    <n v="0.9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1"/>
    <n v="0"/>
    <n v="0"/>
    <n v="0"/>
    <n v="0"/>
  </r>
  <r>
    <x v="1"/>
    <x v="1"/>
    <x v="3"/>
    <x v="1"/>
    <d v="2025-01-14T00:00:00"/>
    <x v="20"/>
    <x v="3"/>
    <s v="QC"/>
    <s v="Purpora, Daryl B"/>
    <s v="Provider"/>
    <s v="New PA Initiation"/>
    <s v="INQ-F055385"/>
    <n v="0.94"/>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x v="3"/>
    <x v="0"/>
    <d v="2025-01-09T00:00:00"/>
    <x v="24"/>
    <x v="3"/>
    <s v="QC"/>
    <s v="Cortez, Khyno E"/>
    <s v="Provider"/>
    <s v="&quot;Status Check-Denied&quot;"/>
    <s v="INQ-E964114"/>
    <n v="0.99"/>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x v="3"/>
    <x v="1"/>
    <d v="2025-01-13T00:00:00"/>
    <x v="17"/>
    <x v="3"/>
    <s v="QC"/>
    <s v="Cortez, Khyno E"/>
    <s v="Provider"/>
    <s v="&quot;Status Check - Formulary Coverage&quot;"/>
    <s v="INQ-E993253"/>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x v="3"/>
    <x v="1"/>
    <d v="2025-01-13T00:00:00"/>
    <x v="18"/>
    <x v="3"/>
    <s v="QC"/>
    <s v="Cortez, Khyno E"/>
    <s v="Provider"/>
    <s v="New PA Initiation"/>
    <s v="INQ-E999702"/>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x v="3"/>
    <x v="1"/>
    <d v="2025-01-13T00:00:00"/>
    <x v="30"/>
    <x v="3"/>
    <s v="QC"/>
    <s v="Cortez, Khyno E"/>
    <s v="Provider"/>
    <s v="New PA Initiation"/>
    <s v="INQ-E97452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x v="3"/>
    <x v="1"/>
    <d v="2025-01-13T00:00:00"/>
    <x v="32"/>
    <x v="3"/>
    <s v="QC"/>
    <s v="Cortez, Khyno E"/>
    <s v="Provider"/>
    <s v="&quot;Status Check-Approved&quot;"/>
    <s v="INQ-E996784"/>
    <n v="0.93"/>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r>
  <r>
    <x v="1"/>
    <x v="1"/>
    <x v="3"/>
    <x v="1"/>
    <d v="2025-01-13T00:00:00"/>
    <x v="19"/>
    <x v="3"/>
    <s v="QC"/>
    <s v="Cortez, Khyno E"/>
    <s v="Provider"/>
    <s v="New PA Initiation"/>
    <s v="INQ-E997141"/>
    <n v="0.9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r>
  <r>
    <x v="1"/>
    <x v="1"/>
    <x v="3"/>
    <x v="1"/>
    <d v="2025-01-13T00:00:00"/>
    <x v="31"/>
    <x v="3"/>
    <s v="QC"/>
    <s v="Cortez, Khyno E"/>
    <s v="Provider"/>
    <s v="&quot;Status Check-Denied&quot;"/>
    <s v="INQ-F000934"/>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x v="3"/>
    <x v="1"/>
    <d v="2025-01-14T00:00:00"/>
    <x v="10"/>
    <x v="3"/>
    <s v="QC"/>
    <s v="Cortez, Khyno E"/>
    <s v="Provider"/>
    <s v="New PA Initiation"/>
    <s v="INQ-F030130"/>
    <n v="0.9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1"/>
    <n v="0"/>
    <n v="0"/>
    <n v="0"/>
    <n v="0"/>
    <n v="0"/>
    <n v="0"/>
    <n v="0"/>
    <n v="0"/>
    <n v="0"/>
    <n v="0"/>
    <n v="0"/>
    <n v="0"/>
    <n v="0"/>
    <n v="0"/>
    <n v="0"/>
    <n v="0"/>
    <n v="0"/>
    <n v="0"/>
  </r>
  <r>
    <x v="1"/>
    <x v="1"/>
    <x v="3"/>
    <x v="1"/>
    <d v="2025-01-14T00:00:00"/>
    <x v="25"/>
    <x v="3"/>
    <s v="QC"/>
    <s v="Cortez, Khyno E"/>
    <s v="Provider"/>
    <s v="New PA Initiation"/>
    <s v="INQ-F026068"/>
    <n v="0.9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r>
  <r>
    <x v="1"/>
    <x v="1"/>
    <x v="3"/>
    <x v="1"/>
    <d v="2025-01-14T00:00:00"/>
    <x v="33"/>
    <x v="3"/>
    <s v="QC"/>
    <s v="Cortez, Khyno E"/>
    <s v="Provider"/>
    <s v="Others"/>
    <s v="INQ-F05529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x v="3"/>
    <x v="1"/>
    <d v="2025-01-14T00:00:00"/>
    <x v="32"/>
    <x v="3"/>
    <s v="QC"/>
    <s v="Cortez, Khyno E"/>
    <s v="Provider"/>
    <s v="New PA Initiation"/>
    <s v="INQ-F059200"/>
    <n v="0.9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r>
  <r>
    <x v="1"/>
    <x v="1"/>
    <x v="3"/>
    <x v="1"/>
    <d v="2025-01-14T00:00:00"/>
    <x v="32"/>
    <x v="3"/>
    <s v="QC"/>
    <s v="Cortez, Khyno E"/>
    <s v="Provider"/>
    <s v="&quot;Status Check-Denied&quot;"/>
    <s v="INQ-F058235"/>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x v="3"/>
    <x v="1"/>
    <d v="2025-01-15T00:00:00"/>
    <x v="15"/>
    <x v="3"/>
    <s v="QC"/>
    <s v="Cortez, Khyno E"/>
    <s v="Provider"/>
    <s v="Others"/>
    <s v="INQ-F055573"/>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x v="3"/>
    <x v="1"/>
    <d v="2025-01-15T00:00:00"/>
    <x v="12"/>
    <x v="3"/>
    <s v="QC"/>
    <s v="Cortez, Khyno E"/>
    <s v="Provider"/>
    <s v="&quot;Status Check-Approved&quot;"/>
    <s v="INQ-F058787"/>
    <n v="0.9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r>
  <r>
    <x v="1"/>
    <x v="1"/>
    <x v="2"/>
    <x v="0"/>
    <d v="2025-01-09T00:00:00"/>
    <x v="34"/>
    <x v="2"/>
    <s v="QC"/>
    <s v="Escarlan, Aljon L"/>
    <s v="Provider"/>
    <s v="&quot;Status Check-Denied&quot;"/>
    <s v="INQ-E969255"/>
    <n v="0.9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r>
  <r>
    <x v="1"/>
    <x v="1"/>
    <x v="2"/>
    <x v="0"/>
    <d v="2025-01-09T00:00:00"/>
    <x v="35"/>
    <x v="2"/>
    <s v="QC"/>
    <s v="Escarlan, Aljon L"/>
    <s v="Provider"/>
    <s v="New PA Initiation"/>
    <s v="INQ-E969255"/>
    <n v="0.88"/>
    <n v="0"/>
    <n v="0"/>
    <n v="0"/>
    <n v="0"/>
    <n v="0"/>
    <n v="0"/>
    <n v="0"/>
    <n v="0"/>
    <n v="0"/>
    <n v="0"/>
    <n v="0"/>
    <n v="0"/>
    <n v="0"/>
    <n v="0"/>
    <n v="0"/>
    <n v="0"/>
    <n v="0"/>
    <n v="0"/>
    <n v="0"/>
    <n v="0"/>
    <n v="0"/>
    <n v="0"/>
    <n v="0"/>
    <n v="0"/>
    <n v="0"/>
    <n v="0"/>
    <n v="0"/>
    <n v="0"/>
    <n v="0"/>
    <n v="0"/>
    <n v="0"/>
    <n v="0"/>
    <n v="0"/>
    <n v="0"/>
    <n v="0"/>
    <n v="0"/>
    <n v="0"/>
    <n v="1"/>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r>
  <r>
    <x v="1"/>
    <x v="1"/>
    <x v="2"/>
    <x v="0"/>
    <d v="2025-01-09T00:00:00"/>
    <x v="36"/>
    <x v="2"/>
    <s v="QC"/>
    <s v="Escarlan, Aljon L"/>
    <s v="Provider"/>
    <s v="New PA Initiation"/>
    <s v="PA-E2224896"/>
    <n v="0.9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r>
  <r>
    <x v="1"/>
    <x v="1"/>
    <x v="3"/>
    <x v="0"/>
    <d v="2025-01-09T00:00:00"/>
    <x v="32"/>
    <x v="3"/>
    <s v="QC"/>
    <s v="Aguilar, Jam"/>
    <s v="Provider"/>
    <s v="New PA Initiation"/>
    <s v="INQ-E969234"/>
    <n v="0.74"/>
    <n v="0"/>
    <n v="0"/>
    <n v="0"/>
    <n v="0"/>
    <n v="0"/>
    <n v="0"/>
    <n v="0"/>
    <n v="0"/>
    <n v="0"/>
    <n v="0"/>
    <n v="1"/>
    <n v="0"/>
    <n v="0"/>
    <n v="0"/>
    <n v="0"/>
    <n v="0"/>
    <n v="0"/>
    <n v="1"/>
    <n v="0"/>
    <n v="0"/>
    <n v="0"/>
    <n v="0"/>
    <n v="0"/>
    <n v="0"/>
    <n v="1"/>
    <n v="0"/>
    <n v="0"/>
    <n v="0"/>
    <n v="0"/>
    <n v="1"/>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1"/>
    <n v="0"/>
    <n v="0"/>
    <n v="0"/>
    <n v="0"/>
  </r>
  <r>
    <x v="1"/>
    <x v="1"/>
    <x v="3"/>
    <x v="0"/>
    <d v="2025-01-09T00:00:00"/>
    <x v="31"/>
    <x v="3"/>
    <s v="QC"/>
    <s v="Aguilar, Jam"/>
    <s v="Internal/Client"/>
    <s v="&quot;Call Transferred&quot;"/>
    <s v="INQ-E970896"/>
    <n v="0.8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1"/>
  </r>
  <r>
    <x v="1"/>
    <x v="1"/>
    <x v="3"/>
    <x v="1"/>
    <d v="2025-01-15T00:00:00"/>
    <x v="11"/>
    <x v="3"/>
    <s v="QC"/>
    <s v="Cortez, Khyno E"/>
    <s v="Provider"/>
    <s v="New PA Initiation"/>
    <s v="INQ-F074855"/>
    <n v="0.9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r>
  <r>
    <x v="1"/>
    <x v="1"/>
    <x v="3"/>
    <x v="1"/>
    <d v="2025-01-15T00:00:00"/>
    <x v="20"/>
    <x v="3"/>
    <s v="QC"/>
    <s v="Cortez, Khyno E"/>
    <s v="Provider"/>
    <s v="New PA Initiation"/>
    <s v="INQ-F058180"/>
    <n v="0.9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1"/>
    <n v="0"/>
    <n v="0"/>
    <n v="0"/>
    <n v="0"/>
    <n v="0"/>
    <n v="0"/>
    <n v="0"/>
    <n v="0"/>
    <n v="0"/>
    <n v="0"/>
    <n v="0"/>
    <n v="0"/>
    <n v="0"/>
    <n v="0"/>
    <n v="0"/>
    <n v="0"/>
    <n v="0"/>
    <n v="0"/>
  </r>
  <r>
    <x v="1"/>
    <x v="1"/>
    <x v="3"/>
    <x v="1"/>
    <d v="2025-01-15T00:00:00"/>
    <x v="37"/>
    <x v="3"/>
    <s v="QC"/>
    <s v="Gatchalian, Ernie Marie C"/>
    <s v="Provider"/>
    <s v="New PA Initiation"/>
    <s v="INQ-F075778"/>
    <n v="0.94"/>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x v="3"/>
    <x v="1"/>
    <d v="2025-01-15T00:00:00"/>
    <x v="12"/>
    <x v="3"/>
    <s v="QC"/>
    <s v="Purpora, Daryl B"/>
    <s v="Provider"/>
    <s v="New PA Initiation"/>
    <s v="INQ-F074528  "/>
    <n v="0.9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x v="3"/>
    <x v="1"/>
    <d v="2025-01-16T00:00:00"/>
    <x v="19"/>
    <x v="3"/>
    <s v="QC"/>
    <s v="Cortez, Khyno E"/>
    <s v="Provider"/>
    <s v="Check Status Approve"/>
    <s v="INQ-F101059"/>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x v="3"/>
    <x v="1"/>
    <d v="2025-01-16T00:00:00"/>
    <x v="37"/>
    <x v="3"/>
    <s v="QC"/>
    <s v="Cortez, Khyno E"/>
    <s v="Provider"/>
    <s v="Check Formulary Coverage"/>
    <s v="INQ-F102862"/>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x v="2"/>
    <x v="1"/>
    <d v="2025-01-16T00:00:00"/>
    <x v="36"/>
    <x v="2"/>
    <s v="QC"/>
    <s v="Logmao, Nyrene Grace L"/>
    <s v="Provider"/>
    <s v="Check Status Denied"/>
    <s v="INQ-F116053"/>
    <n v="0.9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0"/>
    <n v="0"/>
    <n v="0"/>
    <n v="0"/>
    <n v="0"/>
    <n v="0"/>
    <n v="0"/>
    <n v="0"/>
    <n v="0"/>
    <n v="0"/>
    <n v="0"/>
    <n v="0"/>
    <n v="0"/>
    <n v="0"/>
    <n v="0"/>
    <n v="0"/>
    <n v="0"/>
    <n v="0"/>
  </r>
  <r>
    <x v="1"/>
    <x v="1"/>
    <x v="3"/>
    <x v="1"/>
    <d v="2025-01-16T00:00:00"/>
    <x v="32"/>
    <x v="3"/>
    <s v="QC"/>
    <s v="Napay, Rowena Joice B"/>
    <s v="Provider"/>
    <s v="Transfer - Additional Assistance"/>
    <s v="INQ-F100403"/>
    <n v="0.84"/>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r>
  <r>
    <x v="1"/>
    <x v="1"/>
    <x v="3"/>
    <x v="1"/>
    <d v="2025-01-16T00:00:00"/>
    <x v="15"/>
    <x v="3"/>
    <s v="QC"/>
    <s v="Napay, Rowena Joice B"/>
    <s v="Provider"/>
    <s v="Check Formulary Coverage"/>
    <s v="INQ-F101217"/>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x v="3"/>
    <x v="1"/>
    <d v="2025-01-16T00:00:00"/>
    <x v="18"/>
    <x v="3"/>
    <s v="QC"/>
    <s v="Napay, Rowena Joice B"/>
    <s v="Provider"/>
    <s v="PA Initiation"/>
    <s v="INQ-F101775"/>
    <n v="0.9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1"/>
    <n v="0"/>
    <n v="0"/>
    <n v="0"/>
    <n v="0"/>
    <n v="0"/>
    <n v="0"/>
    <n v="1"/>
    <n v="0"/>
    <n v="0"/>
    <n v="0"/>
    <n v="0"/>
  </r>
  <r>
    <x v="1"/>
    <x v="1"/>
    <x v="3"/>
    <x v="1"/>
    <d v="2025-01-16T00:00:00"/>
    <x v="31"/>
    <x v="3"/>
    <s v="QC"/>
    <s v="Napay, Rowena Joice B"/>
    <s v="Provider"/>
    <s v="Check Status Denied"/>
    <s v="INQ-F103832"/>
    <n v="0.94"/>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x v="2"/>
    <x v="1"/>
    <d v="2025-01-16T00:00:00"/>
    <x v="38"/>
    <x v="2"/>
    <s v="QC"/>
    <s v="Relon, Gazel D"/>
    <s v="Provider"/>
    <s v="Check Status Denied"/>
    <s v="INQ-F103248"/>
    <n v="0.9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1"/>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1"/>
    <x v="2"/>
    <x v="5"/>
    <x v="2"/>
    <m/>
    <x v="39"/>
    <x v="5"/>
    <e v="#N/A"/>
    <m/>
    <m/>
    <m/>
    <m/>
    <m/>
    <m/>
    <m/>
    <m/>
    <m/>
    <m/>
    <m/>
    <m/>
    <m/>
    <m/>
    <m/>
    <m/>
    <m/>
    <m/>
    <m/>
    <m/>
    <m/>
    <m/>
    <m/>
    <m/>
    <m/>
    <m/>
    <m/>
    <m/>
    <m/>
    <m/>
    <m/>
    <m/>
    <m/>
    <m/>
    <m/>
    <m/>
    <m/>
    <m/>
    <m/>
    <m/>
    <m/>
    <m/>
    <m/>
    <m/>
    <m/>
    <m/>
    <m/>
    <m/>
    <m/>
    <m/>
    <m/>
    <m/>
    <m/>
    <m/>
    <m/>
    <m/>
    <m/>
    <m/>
    <m/>
    <m/>
    <m/>
    <m/>
    <m/>
    <m/>
    <m/>
    <m/>
    <m/>
    <m/>
    <m/>
    <m/>
    <m/>
    <m/>
    <m/>
    <m/>
    <m/>
    <m/>
    <m/>
    <m/>
    <m/>
    <m/>
    <m/>
    <m/>
    <m/>
    <m/>
    <m/>
    <m/>
    <m/>
    <m/>
    <m/>
    <m/>
    <m/>
    <m/>
    <m/>
    <m/>
    <m/>
    <m/>
    <m/>
    <m/>
    <m/>
    <m/>
    <m/>
    <m/>
  </r>
  <r>
    <x v="2"/>
    <x v="3"/>
    <x v="6"/>
    <x v="3"/>
    <m/>
    <x v="39"/>
    <x v="6"/>
    <m/>
    <m/>
    <m/>
    <m/>
    <m/>
    <m/>
    <m/>
    <m/>
    <m/>
    <m/>
    <m/>
    <m/>
    <m/>
    <m/>
    <m/>
    <m/>
    <m/>
    <m/>
    <m/>
    <m/>
    <m/>
    <m/>
    <m/>
    <m/>
    <m/>
    <m/>
    <m/>
    <m/>
    <m/>
    <m/>
    <m/>
    <m/>
    <m/>
    <m/>
    <m/>
    <m/>
    <m/>
    <m/>
    <m/>
    <m/>
    <m/>
    <m/>
    <m/>
    <m/>
    <m/>
    <m/>
    <m/>
    <m/>
    <m/>
    <m/>
    <m/>
    <m/>
    <m/>
    <m/>
    <m/>
    <m/>
    <m/>
    <m/>
    <m/>
    <m/>
    <m/>
    <m/>
    <m/>
    <m/>
    <m/>
    <m/>
    <m/>
    <m/>
    <m/>
    <m/>
    <m/>
    <m/>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7">
  <r>
    <x v="0"/>
    <x v="0"/>
    <s v="Class 9.1"/>
    <s v="Jan Week 1"/>
    <x v="0"/>
    <s v="Abantao,Julius Queno"/>
    <x v="0"/>
    <x v="0"/>
    <s v="Gatchalian,Ernie Marie Caburian"/>
    <s v="Provider"/>
    <s v="New PA Initiation"/>
    <s v="INQ-E860611"/>
    <n v="0.9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r>
  <r>
    <x v="0"/>
    <x v="0"/>
    <s v="Class 10"/>
    <s v="Jan Week 1"/>
    <x v="1"/>
    <s v="Bihag,Floriebel Dellona"/>
    <x v="1"/>
    <x v="0"/>
    <s v="Santos,Jennilyn Chan"/>
    <s v="Provider"/>
    <s v="&quot;Call - Related to PA&quot;"/>
    <s v="INQ-E896400"/>
    <n v="0.9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r>
  <r>
    <x v="0"/>
    <x v="0"/>
    <s v="Class 10"/>
    <s v="Jan Week 1"/>
    <x v="2"/>
    <s v="Tejada,Jan Jaycle Javillonar"/>
    <x v="1"/>
    <x v="0"/>
    <s v="Santos,Jennilyn Chan"/>
    <s v="Provider"/>
    <s v="New PA Initiation"/>
    <s v="INQ-E920853"/>
    <n v="0.84"/>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r>
  <r>
    <x v="0"/>
    <x v="1"/>
    <s v="Class 11.1"/>
    <s v="Jan Week 1"/>
    <x v="3"/>
    <s v="Casoco,Carlito Trinidad"/>
    <x v="2"/>
    <x v="0"/>
    <s v="Relon,Gazel De Guzman"/>
    <s v="Provider"/>
    <s v="&quot;Status Check-Approved- Edit required&quot;"/>
    <s v="INQ-E942381"/>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s v="Class 10"/>
    <s v="Jan Week 1"/>
    <x v="3"/>
    <s v="Mama,Monisah Cacasi"/>
    <x v="1"/>
    <x v="0"/>
    <s v="Santos,Jennilyn Chan"/>
    <s v="Provider"/>
    <s v="&quot;Call - Related to PA&quot;"/>
    <s v="INQ-E938548"/>
    <n v="0.84"/>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n v="0"/>
    <n v="0"/>
    <n v="0"/>
    <n v="0"/>
    <n v="0"/>
    <n v="0"/>
    <n v="0"/>
    <n v="0"/>
    <n v="0"/>
    <n v="0"/>
    <n v="0"/>
    <n v="0"/>
    <n v="0"/>
    <n v="0"/>
    <n v="0"/>
    <n v="0"/>
    <n v="0"/>
    <n v="1"/>
    <n v="0"/>
    <n v="0"/>
    <n v="0"/>
    <n v="0"/>
    <n v="0"/>
    <n v="0"/>
    <n v="0"/>
    <n v="0"/>
    <n v="0"/>
    <n v="0"/>
    <n v="0"/>
    <n v="0"/>
    <n v="0"/>
    <n v="0"/>
    <n v="0"/>
    <n v="0"/>
    <n v="0"/>
    <n v="0"/>
    <n v="0"/>
    <n v="0"/>
    <n v="0"/>
  </r>
  <r>
    <x v="0"/>
    <x v="0"/>
    <s v="Class 10"/>
    <s v="Jan Week 1"/>
    <x v="1"/>
    <s v="Bihag,Floriebel Dellona"/>
    <x v="1"/>
    <x v="0"/>
    <s v="Santos,Jennilyn Chan"/>
    <s v="Provider"/>
    <s v="&quot;Call - Related to PA&quot;"/>
    <s v="INQ-E895822"/>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s v="Class 10"/>
    <s v="Jan Week 1"/>
    <x v="1"/>
    <s v="Bihag,Floriebel Dellona"/>
    <x v="1"/>
    <x v="0"/>
    <s v="Santos,Jennilyn Chan"/>
    <s v="Provider"/>
    <s v="&quot;Call - Related to PA&quot;"/>
    <s v="INQ-E89610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s v="Class 9.1"/>
    <s v="Jan Week 1"/>
    <x v="2"/>
    <s v="Ramos,Chester Irvin Bautista"/>
    <x v="0"/>
    <x v="0"/>
    <s v="Gatchalian,Ernie Marie Caburian"/>
    <s v="Provider"/>
    <s v="&quot;Call Transferred&quot;"/>
    <s v="INQ-E921924"/>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s v="Class 10"/>
    <s v="Jan Week 1"/>
    <x v="2"/>
    <s v="Tejada,Jan Jaycle Javillonar"/>
    <x v="1"/>
    <x v="0"/>
    <s v="Santos,Jennilyn Chan"/>
    <s v="Provider"/>
    <s v="&quot;Call Transferred&quot;"/>
    <s v="INQ-E922636"/>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s v="Class 11.1"/>
    <s v="Jan Week 1"/>
    <x v="3"/>
    <s v="Candelaria,Tyronne Tillain"/>
    <x v="2"/>
    <x v="0"/>
    <s v="Logmao,Nyrene Grace Lozada"/>
    <s v="Provider"/>
    <s v="&quot;Call Transferred&quot;"/>
    <s v="N/A"/>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s v="Class 10"/>
    <s v="Jan Week 1"/>
    <x v="3"/>
    <s v="Mama,Monisah Cacasi"/>
    <x v="1"/>
    <x v="0"/>
    <s v="Santos,Jennilyn Chan"/>
    <s v="Provider"/>
    <s v="New PA Initiation"/>
    <s v="INQ-E939796"/>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s v="Class 10"/>
    <s v="Jan Week 1"/>
    <x v="3"/>
    <s v="Lumabao,Rein Amyl Montanez"/>
    <x v="1"/>
    <x v="0"/>
    <s v="Santos,Jennilyn Chan"/>
    <s v="Provider"/>
    <s v="&quot;Call - Related to PA&quot;"/>
    <s v="INQ-E945758"/>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s v="Class 11.1"/>
    <s v="Jan Week 1"/>
    <x v="4"/>
    <s v="Austria,Effie Galang"/>
    <x v="2"/>
    <x v="0"/>
    <s v="Ongjoco,Hanna Crystal Azana"/>
    <s v="Provider"/>
    <s v="&quot;Status Check-Denied&quot;"/>
    <s v="INQ-E970005"/>
    <n v="0.94"/>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s v="Class 11.2"/>
    <s v="Jan Week 1"/>
    <x v="4"/>
    <s v="Tadaya,Frederic Palongpong"/>
    <x v="3"/>
    <x v="0"/>
    <s v="Gatchalian,Ernie Marie Caburian"/>
    <s v="Provider"/>
    <s v="&quot;Call Transferred&quot;"/>
    <s v="INQ-E974427"/>
    <n v="0.94"/>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s v="Class 11.2"/>
    <s v="Jan Week 1"/>
    <x v="4"/>
    <s v="Tabita,Czarina Manuel"/>
    <x v="3"/>
    <x v="0"/>
    <s v="Gatchalian,Ernie Marie Caburian"/>
    <s v="Provider"/>
    <s v="New PA Initiation"/>
    <s v="PA-E2234004 "/>
    <n v="0.94"/>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s v="Class 11.2"/>
    <s v="Jan Week 1"/>
    <x v="5"/>
    <s v="Roque,Francis Anthony Jacobe"/>
    <x v="3"/>
    <x v="0"/>
    <s v="Gatchalian,Ernie Marie Caburian"/>
    <s v="Provider"/>
    <s v="&quot;Call Transferred&quot;"/>
    <s v="INQ-E999677"/>
    <n v="0.94"/>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s v="Class 11.2"/>
    <s v="Jan Week 1"/>
    <x v="5"/>
    <s v="Relano,Abimael Soliman"/>
    <x v="3"/>
    <x v="0"/>
    <s v="Gatchalian,Ernie Marie Caburian"/>
    <s v="Provider"/>
    <s v="&quot;Status Check-Denied&quot;"/>
    <s v="INQ-F000964"/>
    <n v="0.94"/>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s v="Class 11.2"/>
    <s v="Jan Week 1"/>
    <x v="4"/>
    <s v="Alzaga,Abigael Alano"/>
    <x v="3"/>
    <x v="0"/>
    <s v="Logmao,Nyrene Grace Lozada"/>
    <s v="Provider"/>
    <s v="&quot;Call - Related to PA&quot;"/>
    <s v="INQ-E971669"/>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s v="Class 11.1"/>
    <s v="Jan Week 1"/>
    <x v="5"/>
    <s v="Bonifacio,Melanie Gadia"/>
    <x v="2"/>
    <x v="0"/>
    <s v="Logmao,Nyrene Grace Lozada"/>
    <s v="Provider"/>
    <s v="&quot;Status Check-Approved&quot;"/>
    <s v="INQ-E996407"/>
    <n v="0.94"/>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s v="Class 11.1"/>
    <s v="Jan Week 1"/>
    <x v="5"/>
    <s v="Austria,Effie Galang"/>
    <x v="2"/>
    <x v="0"/>
    <s v="Logmao,Nyrene Grace Lozada"/>
    <s v="Provider"/>
    <s v="&quot;Call - Related to PA&quot;"/>
    <s v="PA-E2308486"/>
    <n v="0.94"/>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s v="Class 11.2"/>
    <s v="Jan Week 1"/>
    <x v="4"/>
    <s v="Ramos,Ruth Marionne Dalut"/>
    <x v="3"/>
    <x v="0"/>
    <s v="Napay,Rowena Joice Baguios"/>
    <s v="Provider"/>
    <s v="&quot;Call - Related to PA&quot;"/>
    <s v="INQ-E964501"/>
    <n v="0.9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r>
  <r>
    <x v="0"/>
    <x v="1"/>
    <s v="Class 11.2"/>
    <s v="Jan Week 1"/>
    <x v="4"/>
    <s v="Ramos,Ruth Marionne Dalut"/>
    <x v="3"/>
    <x v="0"/>
    <s v="Napay,Rowena Joice Baguios"/>
    <s v="Provider"/>
    <s v="&quot;Status Check-Approved&quot;"/>
    <s v="INQ-E965084"/>
    <n v="0.9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r>
  <r>
    <x v="0"/>
    <x v="1"/>
    <s v="Class 11.2"/>
    <s v="Jan Week 1"/>
    <x v="4"/>
    <s v="Paule,John Melvin Manansala"/>
    <x v="3"/>
    <x v="0"/>
    <s v="Napay,Rowena Joice Baguios"/>
    <s v="Provider"/>
    <s v="&quot;Status Check-Approved&quot;"/>
    <s v="INQ-E963696"/>
    <n v="0.9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n v="0"/>
    <n v="0"/>
    <n v="0"/>
  </r>
  <r>
    <x v="0"/>
    <x v="1"/>
    <s v="Class 11.2"/>
    <s v="Jan Week 1"/>
    <x v="5"/>
    <s v="Garcia,Raqsher Anne Miras"/>
    <x v="3"/>
    <x v="0"/>
    <s v="Napay,Rowena Joice Baguios"/>
    <s v="Provider"/>
    <s v="&quot;Status Check-Approved&quot;"/>
    <s v="INQ-E993253"/>
    <n v="0.9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n v="0"/>
    <n v="0"/>
    <n v="0"/>
  </r>
  <r>
    <x v="0"/>
    <x v="1"/>
    <s v="Class 11.2"/>
    <s v="Jan Week 1"/>
    <x v="5"/>
    <s v="Roces,Diana Abia"/>
    <x v="3"/>
    <x v="0"/>
    <s v="Napay,Rowena Joice Baguios"/>
    <s v="Provider"/>
    <s v="&quot;Status Check-Denied&quot;"/>
    <s v="INQ-E994473"/>
    <n v="0.9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1"/>
    <n v="0"/>
    <n v="0"/>
    <n v="0"/>
    <n v="0"/>
    <n v="0"/>
    <n v="0"/>
    <n v="0"/>
    <n v="0"/>
    <n v="0"/>
    <n v="0"/>
    <n v="0"/>
    <n v="0"/>
    <n v="0"/>
    <n v="0"/>
    <n v="0"/>
    <n v="0"/>
    <n v="0"/>
    <n v="0"/>
    <n v="0"/>
    <n v="0"/>
    <n v="0"/>
    <n v="0"/>
    <n v="0"/>
    <n v="0"/>
    <n v="0"/>
    <n v="0"/>
    <n v="0"/>
    <n v="0"/>
    <n v="0"/>
    <n v="0"/>
    <n v="0"/>
  </r>
  <r>
    <x v="0"/>
    <x v="1"/>
    <s v="Class 11.2"/>
    <s v="Jan Week 1"/>
    <x v="4"/>
    <s v="Sulayao,Windy Homyao"/>
    <x v="3"/>
    <x v="0"/>
    <s v="Purpora,Daryl"/>
    <s v="Provider"/>
    <s v="&quot;Status Check-Denied&quot;"/>
    <s v="INQ-E971024"/>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s v="Class 11.2"/>
    <s v="Jan Week 1"/>
    <x v="4"/>
    <s v="Veron,Kent Romeo Theryz Perce"/>
    <x v="3"/>
    <x v="0"/>
    <s v="Purpora,Daryl"/>
    <s v="Provider"/>
    <s v="New PA Initiation"/>
    <s v="INQ-E971706  "/>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s v="Class 11.1"/>
    <s v="Jan Week 1"/>
    <x v="3"/>
    <s v="Catayas,Cristel Ann Nodesca"/>
    <x v="2"/>
    <x v="0"/>
    <s v="Relon,Gazel De Guzman"/>
    <s v="Provider"/>
    <s v="&quot;Call - Related to PA&quot;"/>
    <s v="INQ-E945247"/>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s v="Class 11.1"/>
    <s v="Jan Week 1"/>
    <x v="4"/>
    <s v="Bonifacio,Melanie Gadia"/>
    <x v="2"/>
    <x v="0"/>
    <s v="Relon,Gazel De Guzman"/>
    <s v="Provider"/>
    <s v="&quot;Status Check-Denied&quot;"/>
    <s v="INQ-E972364"/>
    <n v="0.93"/>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r>
  <r>
    <x v="0"/>
    <x v="0"/>
    <s v="Class 10"/>
    <s v="Jan Week 1"/>
    <x v="4"/>
    <s v="Torlao,Maria Rowena"/>
    <x v="1"/>
    <x v="0"/>
    <s v="Santos,Jennilyn Chan"/>
    <s v="Provider"/>
    <s v="&quot;Call Transferred&quot;"/>
    <s v="INQ-E963047"/>
    <n v="0.94"/>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s v="Class 10"/>
    <s v="Jan Week 1"/>
    <x v="4"/>
    <s v="Bihag,Floriebel Dellona"/>
    <x v="1"/>
    <x v="0"/>
    <s v="Santos,Jennilyn Chan"/>
    <s v="Provider"/>
    <s v="New PA Initiation"/>
    <s v="PA-E2230494"/>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s v="Class 10"/>
    <s v="Jan Week 1"/>
    <x v="4"/>
    <s v="Cubillas,Chenne Biazon"/>
    <x v="1"/>
    <x v="0"/>
    <s v="Santos,Jennilyn Chan"/>
    <s v="Provider"/>
    <s v="New PA Initiation"/>
    <s v="PA-E2237756"/>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1"/>
    <s v="Class 11.2"/>
    <s v="Jan Week 2"/>
    <x v="6"/>
    <s v="Tolentino,Christopher Pronuevo"/>
    <x v="3"/>
    <x v="0"/>
    <s v="Purpora,Daryl"/>
    <s v="Provider"/>
    <s v="&quot;Status Check-Denied&quot;"/>
    <s v="INQ-F024720  "/>
    <n v="0.9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1"/>
    <n v="0"/>
    <n v="0"/>
    <n v="0"/>
    <n v="0"/>
    <n v="0"/>
  </r>
  <r>
    <x v="0"/>
    <x v="1"/>
    <s v="Class 11.2"/>
    <s v="Jan Week 2"/>
    <x v="6"/>
    <s v="Malinao Jr,Charman Macapua"/>
    <x v="3"/>
    <x v="0"/>
    <s v="Purpora,Daryl"/>
    <s v="Provider"/>
    <s v="New PA Initiation"/>
    <s v="INQ-F026068  "/>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s v="Class 10"/>
    <s v="Jan Week 2"/>
    <x v="6"/>
    <s v="Cubillas,Chenne Biazon"/>
    <x v="1"/>
    <x v="0"/>
    <s v="Santos,Jennilyn Chan"/>
    <s v="Provider"/>
    <s v="&quot;Call Transferred&quot;"/>
    <s v="INQ-F027685"/>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s v="Class 10"/>
    <s v="Jan Week 2"/>
    <x v="6"/>
    <s v="Cubillas,Chenne Biazon"/>
    <x v="1"/>
    <x v="0"/>
    <s v="Santos,Jennilyn Chan"/>
    <s v="Provider"/>
    <s v="&quot;Call Transferred&quot;"/>
    <s v="INQ-F027089"/>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s v="Class 10"/>
    <s v="Jan Week 2"/>
    <x v="6"/>
    <s v="Bihag,Floriebel Dellona"/>
    <x v="1"/>
    <x v="0"/>
    <s v="Santos,Jennilyn Chan"/>
    <s v="Provider"/>
    <s v="New PA Initiation"/>
    <s v="PA-E2425554"/>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s v="Class 10"/>
    <s v="Jan Week 2"/>
    <x v="6"/>
    <s v="Bihag,Floriebel Dellona"/>
    <x v="1"/>
    <x v="0"/>
    <s v="Santos,Jennilyn Chan"/>
    <s v="Provider"/>
    <s v="New PA Initiation"/>
    <s v="PA-E2423570 "/>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0"/>
    <x v="0"/>
    <s v="Class 10"/>
    <s v="Jan Week 2"/>
    <x v="6"/>
    <s v="Bihag,Floriebel Dellona"/>
    <x v="1"/>
    <x v="0"/>
    <s v="Santos,Jennilyn Chan"/>
    <s v="Provider"/>
    <s v="New PA Initiation"/>
    <s v="PA-E2404635"/>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0"/>
    <s v="Class 8"/>
    <s v="Jan Week 1"/>
    <x v="7"/>
    <s v="Campanilla,Brennan Roy Solis"/>
    <x v="4"/>
    <x v="1"/>
    <s v="Jumamoy,Zyrelle Brylle"/>
    <s v="Provider"/>
    <s v="&quot;Call - Related to PA&quot;"/>
    <s v="INQ-E851695"/>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0"/>
    <s v="Class 8"/>
    <s v="Jan Week 1"/>
    <x v="0"/>
    <s v="Tizon,Hannah Allysa Daffon"/>
    <x v="4"/>
    <x v="1"/>
    <s v="Jumamoy,Zyrelle Brylle"/>
    <s v="Provider"/>
    <s v="&quot;Call - Related to PA&quot;"/>
    <s v="INQ-E873134"/>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0"/>
    <s v="Class 8"/>
    <s v="Jan Week 1"/>
    <x v="1"/>
    <s v="Lucresia,Sheena Estorba"/>
    <x v="4"/>
    <x v="1"/>
    <s v="Jumamoy,Zyrelle Brylle"/>
    <s v="Provider"/>
    <s v="&quot;Call - Related to PA&quot;"/>
    <s v="INQ-E896084  "/>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0"/>
    <s v="Class 8"/>
    <s v="Jan Week 1"/>
    <x v="1"/>
    <s v="Faciol,Felicity Dawn Jabonite"/>
    <x v="4"/>
    <x v="1"/>
    <s v="Jumamoy,Zyrelle Brylle"/>
    <s v="Provider"/>
    <s v="New PA Initiation"/>
    <s v="INQ-E897174, PA-E1957287"/>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0"/>
    <s v="Class 10"/>
    <s v="Jan Week 1"/>
    <x v="2"/>
    <s v="Tejada,Jan Jaycle Javillonar"/>
    <x v="1"/>
    <x v="0"/>
    <s v="Santos,Jennilyn Chan"/>
    <s v="Provider"/>
    <s v="New PA Initiation"/>
    <s v="PA-E204611 "/>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s v="Class 11.1"/>
    <s v="Jan Week 1"/>
    <x v="3"/>
    <s v="Candelaria,Tyronne Tillain"/>
    <x v="2"/>
    <x v="0"/>
    <s v="Logmao, Nyrene Grace L"/>
    <s v="Provider"/>
    <s v="Misrouted Call - Transfer"/>
    <s v="tcandel2"/>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s v="Class 11.2"/>
    <s v="Jan Week 2"/>
    <x v="8"/>
    <s v="Gonzales,Elyon Roi Ordonio"/>
    <x v="3"/>
    <x v="0"/>
    <s v="Gatchalian, Ernie Marie C"/>
    <s v="Provider"/>
    <s v="New PA Initiation"/>
    <s v="INQ-F058751"/>
    <n v="0.94"/>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s v="Class 11.2"/>
    <s v="Jan Week 2"/>
    <x v="8"/>
    <s v="Tanglao,Jaycee Fernando"/>
    <x v="3"/>
    <x v="0"/>
    <s v="Napay, Rowena Joice B"/>
    <s v="Provider"/>
    <s v="&quot;Status Check-Denied&quot;"/>
    <s v="INQ-F046632"/>
    <n v="0.9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1"/>
    <n v="0"/>
    <n v="0"/>
    <n v="0"/>
    <n v="0"/>
    <n v="0"/>
    <n v="0"/>
    <n v="0"/>
    <n v="0"/>
    <n v="0"/>
    <n v="0"/>
    <n v="0"/>
    <n v="0"/>
    <n v="0"/>
    <n v="0"/>
    <n v="0"/>
    <n v="0"/>
    <n v="0"/>
    <n v="0"/>
    <n v="0"/>
    <n v="0"/>
    <n v="0"/>
    <n v="0"/>
    <n v="0"/>
    <n v="0"/>
    <n v="0"/>
  </r>
  <r>
    <x v="1"/>
    <x v="1"/>
    <s v="Class 11.2"/>
    <s v="Jan Week 2"/>
    <x v="8"/>
    <s v="Veron,Kent Romeo Theryz Perce"/>
    <x v="3"/>
    <x v="0"/>
    <s v="Purpora, Daryl B"/>
    <s v="Provider"/>
    <s v="New PA Initiation"/>
    <s v="INQ-F055385"/>
    <n v="0.94"/>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s v="Class 11.2"/>
    <s v="Jan Week 1"/>
    <x v="4"/>
    <s v="Tolentino,Christopher Pronuevo"/>
    <x v="3"/>
    <x v="0"/>
    <s v="Cortez, Khyno E"/>
    <s v="Provider"/>
    <s v="&quot;Status Check-Denied&quot;"/>
    <s v="INQ-E964114"/>
    <n v="0.99"/>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s v="Class 11.2"/>
    <s v="Jan Week 2"/>
    <x v="6"/>
    <s v="Garcia,Raqsher Anne Miras"/>
    <x v="3"/>
    <x v="0"/>
    <s v="Cortez, Khyno E"/>
    <s v="Provider"/>
    <s v="&quot;Status Check - Formulary Coverage&quot;"/>
    <s v="INQ-E993253"/>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s v="Class 11.2"/>
    <s v="Jan Week 2"/>
    <x v="6"/>
    <s v="Roces,Diana Abia"/>
    <x v="3"/>
    <x v="0"/>
    <s v="Cortez, Khyno E"/>
    <s v="Provider"/>
    <s v="New PA Initiation"/>
    <s v="INQ-E999702"/>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s v="Class 11.2"/>
    <s v="Jan Week 2"/>
    <x v="6"/>
    <s v="Gonzales,Elyon Roi Ordonio"/>
    <x v="3"/>
    <x v="0"/>
    <s v="Cortez, Khyno E"/>
    <s v="Provider"/>
    <s v="New PA Initiation"/>
    <s v="INQ-E97452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s v="Class 11.2"/>
    <s v="Jan Week 2"/>
    <x v="6"/>
    <s v="Morales,Lendy Ochate"/>
    <x v="3"/>
    <x v="0"/>
    <s v="Cortez, Khyno E"/>
    <s v="Provider"/>
    <s v="&quot;Status Check-Approved&quot;"/>
    <s v="INQ-E996784"/>
    <n v="0.93"/>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r>
  <r>
    <x v="1"/>
    <x v="1"/>
    <s v="Class 11.2"/>
    <s v="Jan Week 2"/>
    <x v="6"/>
    <s v="Sulayao,Windy Homyao"/>
    <x v="3"/>
    <x v="0"/>
    <s v="Cortez, Khyno E"/>
    <s v="Provider"/>
    <s v="New PA Initiation"/>
    <s v="INQ-E997141"/>
    <n v="0.9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r>
  <r>
    <x v="1"/>
    <x v="1"/>
    <s v="Class 11.2"/>
    <s v="Jan Week 2"/>
    <x v="6"/>
    <s v="Tanglao,Jaycee Fernando"/>
    <x v="3"/>
    <x v="0"/>
    <s v="Cortez, Khyno E"/>
    <s v="Provider"/>
    <s v="&quot;Status Check-Denied&quot;"/>
    <s v="INQ-F000934"/>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s v="Class 11.2"/>
    <s v="Jan Week 2"/>
    <x v="8"/>
    <s v="Tabita,Czarina Manuel"/>
    <x v="3"/>
    <x v="0"/>
    <s v="Cortez, Khyno E"/>
    <s v="Provider"/>
    <s v="New PA Initiation"/>
    <s v="INQ-F030130"/>
    <n v="0.9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1"/>
    <n v="0"/>
    <n v="0"/>
    <n v="0"/>
    <n v="0"/>
    <n v="0"/>
    <n v="0"/>
    <n v="0"/>
    <n v="0"/>
    <n v="0"/>
    <n v="0"/>
    <n v="0"/>
    <n v="0"/>
    <n v="0"/>
    <n v="0"/>
    <n v="0"/>
    <n v="0"/>
    <n v="0"/>
    <n v="0"/>
    <n v="0"/>
    <n v="0"/>
    <n v="0"/>
    <n v="0"/>
    <n v="0"/>
    <n v="0"/>
    <n v="0"/>
    <n v="0"/>
    <n v="0"/>
    <n v="0"/>
    <n v="0"/>
    <n v="0"/>
    <n v="0"/>
    <n v="0"/>
    <n v="0"/>
    <n v="0"/>
    <n v="0"/>
    <n v="0"/>
    <n v="0"/>
    <n v="0"/>
    <n v="0"/>
  </r>
  <r>
    <x v="1"/>
    <x v="1"/>
    <s v="Class 11.2"/>
    <s v="Jan Week 2"/>
    <x v="8"/>
    <s v="Malinao Jr,Charman Macapua"/>
    <x v="3"/>
    <x v="0"/>
    <s v="Cortez, Khyno E"/>
    <s v="Provider"/>
    <s v="New PA Initiation"/>
    <s v="INQ-F026068"/>
    <n v="0.9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r>
  <r>
    <x v="1"/>
    <x v="1"/>
    <s v="Class 11.2"/>
    <s v="Jan Week 2"/>
    <x v="8"/>
    <s v="Pedimonte,Leonard Auxillo"/>
    <x v="3"/>
    <x v="0"/>
    <s v="Cortez, Khyno E"/>
    <s v="Provider"/>
    <s v="Others"/>
    <s v="INQ-F05529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s v="Class 11.2"/>
    <s v="Jan Week 2"/>
    <x v="8"/>
    <s v="Morales,Lendy Ochate"/>
    <x v="3"/>
    <x v="0"/>
    <s v="Cortez, Khyno E"/>
    <s v="Provider"/>
    <s v="New PA Initiation"/>
    <s v="INQ-F059200"/>
    <n v="0.9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r>
  <r>
    <x v="1"/>
    <x v="1"/>
    <s v="Class 11.2"/>
    <s v="Jan Week 2"/>
    <x v="8"/>
    <s v="Morales,Lendy Ochate"/>
    <x v="3"/>
    <x v="0"/>
    <s v="Cortez, Khyno E"/>
    <s v="Provider"/>
    <s v="&quot;Status Check-Denied&quot;"/>
    <s v="INQ-F058235"/>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s v="Class 11.2"/>
    <s v="Jan Week 2"/>
    <x v="9"/>
    <s v="Ramos,Ruth Marionne Dalut"/>
    <x v="3"/>
    <x v="0"/>
    <s v="Cortez, Khyno E"/>
    <s v="Provider"/>
    <s v="Others"/>
    <s v="INQ-F055573"/>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s v="Class 11.2"/>
    <s v="Jan Week 2"/>
    <x v="9"/>
    <s v="Relano,Abimael Soliman"/>
    <x v="3"/>
    <x v="0"/>
    <s v="Cortez, Khyno E"/>
    <s v="Provider"/>
    <s v="&quot;Status Check-Approved&quot;"/>
    <s v="INQ-F058787"/>
    <n v="0.9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r>
  <r>
    <x v="1"/>
    <x v="1"/>
    <s v="Class 11.1"/>
    <s v="Jan Week 1"/>
    <x v="4"/>
    <s v="Adriano,Anthony Floresca"/>
    <x v="2"/>
    <x v="0"/>
    <s v="Escarlan, Aljon L"/>
    <s v="Provider"/>
    <s v="&quot;Status Check-Denied&quot;"/>
    <s v="INQ-E969255"/>
    <n v="0.9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r>
  <r>
    <x v="1"/>
    <x v="1"/>
    <s v="Class 11.1"/>
    <s v="Jan Week 1"/>
    <x v="4"/>
    <s v="Bravante,Hazel Anne Regunay"/>
    <x v="2"/>
    <x v="0"/>
    <s v="Escarlan, Aljon L"/>
    <s v="Provider"/>
    <s v="New PA Initiation"/>
    <s v="INQ-E969255"/>
    <n v="0.88"/>
    <n v="0"/>
    <n v="0"/>
    <n v="0"/>
    <n v="0"/>
    <n v="0"/>
    <n v="0"/>
    <n v="0"/>
    <n v="0"/>
    <n v="0"/>
    <n v="0"/>
    <n v="0"/>
    <n v="0"/>
    <n v="0"/>
    <n v="0"/>
    <n v="0"/>
    <n v="0"/>
    <n v="0"/>
    <n v="0"/>
    <n v="0"/>
    <n v="0"/>
    <n v="0"/>
    <n v="0"/>
    <n v="0"/>
    <n v="0"/>
    <n v="0"/>
    <n v="0"/>
    <n v="0"/>
    <n v="0"/>
    <n v="0"/>
    <n v="0"/>
    <n v="0"/>
    <n v="0"/>
    <n v="0"/>
    <n v="0"/>
    <n v="0"/>
    <n v="0"/>
    <n v="0"/>
    <n v="1"/>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s v="Class 11.1"/>
    <s v="Jan Week 1"/>
    <x v="4"/>
    <s v="Alejaga,Bryan Manombaga"/>
    <x v="2"/>
    <x v="0"/>
    <s v="Escarlan, Aljon L"/>
    <s v="Provider"/>
    <s v="New PA Initiation"/>
    <s v="PA-E2224896"/>
    <n v="0.9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r>
  <r>
    <x v="1"/>
    <x v="1"/>
    <s v="Class 11.2"/>
    <s v="Jan Week 1"/>
    <x v="4"/>
    <s v="Morales,Lendy Ochate"/>
    <x v="3"/>
    <x v="0"/>
    <s v="Aguilar, Jam"/>
    <s v="Provider"/>
    <s v="New PA Initiation"/>
    <s v="INQ-E969234"/>
    <n v="0.74"/>
    <n v="0"/>
    <n v="0"/>
    <n v="0"/>
    <n v="0"/>
    <n v="0"/>
    <n v="0"/>
    <n v="0"/>
    <n v="0"/>
    <n v="0"/>
    <n v="0"/>
    <n v="1"/>
    <n v="0"/>
    <n v="0"/>
    <n v="0"/>
    <n v="0"/>
    <n v="0"/>
    <n v="0"/>
    <n v="1"/>
    <n v="0"/>
    <n v="0"/>
    <n v="0"/>
    <n v="0"/>
    <n v="0"/>
    <n v="0"/>
    <n v="1"/>
    <n v="0"/>
    <n v="0"/>
    <n v="0"/>
    <n v="0"/>
    <n v="1"/>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1"/>
    <n v="0"/>
    <n v="0"/>
    <n v="0"/>
    <n v="0"/>
    <n v="0"/>
    <n v="0"/>
    <n v="0"/>
    <n v="0"/>
    <n v="0"/>
    <n v="0"/>
    <n v="0"/>
    <n v="0"/>
    <n v="0"/>
    <n v="0"/>
    <n v="0"/>
    <n v="0"/>
    <n v="0"/>
    <n v="0"/>
    <n v="0"/>
    <n v="0"/>
    <n v="0"/>
    <n v="0"/>
    <n v="0"/>
    <n v="0"/>
    <n v="0"/>
  </r>
  <r>
    <x v="1"/>
    <x v="1"/>
    <s v="Class 11.2"/>
    <s v="Jan Week 1"/>
    <x v="4"/>
    <s v="Tanglao,Jaycee Fernando"/>
    <x v="3"/>
    <x v="0"/>
    <s v="Aguilar, Jam"/>
    <s v="Internal/Client"/>
    <s v="&quot;Call Transferred&quot;"/>
    <s v="INQ-E970896"/>
    <n v="0.8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1"/>
    <n v="0"/>
    <n v="0"/>
    <n v="0"/>
    <n v="0"/>
    <n v="0"/>
    <n v="0"/>
    <n v="0"/>
    <n v="0"/>
    <n v="0"/>
    <n v="0"/>
    <n v="0"/>
    <n v="0"/>
    <n v="0"/>
    <n v="0"/>
    <n v="0"/>
    <n v="0"/>
    <n v="0"/>
    <n v="0"/>
    <n v="0"/>
    <n v="0"/>
    <n v="0"/>
  </r>
  <r>
    <x v="1"/>
    <x v="1"/>
    <s v="Class 11.2"/>
    <s v="Jan Week 2"/>
    <x v="9"/>
    <s v="Roque,Francis Anthony Jacobe"/>
    <x v="3"/>
    <x v="0"/>
    <s v="Cortez, Khyno E"/>
    <s v="Provider"/>
    <s v="New PA Initiation"/>
    <s v="INQ-F074855"/>
    <n v="0.9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r>
  <r>
    <x v="1"/>
    <x v="1"/>
    <s v="Class 11.2"/>
    <s v="Jan Week 2"/>
    <x v="9"/>
    <s v="Veron,Kent Romeo Theryz Perce"/>
    <x v="3"/>
    <x v="0"/>
    <s v="Cortez, Khyno E"/>
    <s v="Provider"/>
    <s v="New PA Initiation"/>
    <s v="INQ-F058180"/>
    <n v="0.9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1"/>
    <n v="0"/>
    <n v="0"/>
    <n v="0"/>
    <n v="0"/>
    <n v="0"/>
    <n v="0"/>
    <n v="0"/>
    <n v="0"/>
    <n v="0"/>
    <n v="0"/>
    <n v="0"/>
    <n v="0"/>
    <n v="0"/>
    <n v="0"/>
    <n v="0"/>
    <n v="0"/>
    <n v="0"/>
    <n v="0"/>
    <n v="0"/>
    <n v="0"/>
    <n v="0"/>
    <n v="0"/>
    <n v="0"/>
    <n v="0"/>
    <n v="0"/>
    <n v="0"/>
    <n v="0"/>
    <n v="0"/>
    <n v="0"/>
    <n v="0"/>
    <n v="0"/>
    <n v="0"/>
    <n v="0"/>
    <n v="0"/>
    <n v="0"/>
    <n v="0"/>
    <n v="0"/>
    <n v="0"/>
    <n v="0"/>
  </r>
  <r>
    <x v="1"/>
    <x v="1"/>
    <s v="Class 11.2"/>
    <s v="Jan Week 2"/>
    <x v="9"/>
    <s v="Sangil Jr,Gaudencio Abeleda"/>
    <x v="3"/>
    <x v="0"/>
    <s v="Gatchalian, Ernie Marie C"/>
    <s v="Provider"/>
    <s v="New PA Initiation"/>
    <s v="INQ-F075778"/>
    <n v="0.94"/>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s v="Class 11.2"/>
    <s v="Jan Week 2"/>
    <x v="9"/>
    <s v="Relano,Abimael Soliman"/>
    <x v="3"/>
    <x v="0"/>
    <s v="Purpora, Daryl B"/>
    <s v="Provider"/>
    <s v="New PA Initiation"/>
    <s v="INQ-F074528  "/>
    <n v="0.9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r>
  <r>
    <x v="1"/>
    <x v="1"/>
    <s v="Class 11.2"/>
    <s v="Jan Week 2"/>
    <x v="10"/>
    <s v="Sulayao,Windy Homyao"/>
    <x v="3"/>
    <x v="0"/>
    <s v="Cortez, Khyno E"/>
    <s v="Provider"/>
    <s v="Check Status Approve"/>
    <s v="INQ-F101059"/>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s v="Class 11.2"/>
    <s v="Jan Week 2"/>
    <x v="10"/>
    <s v="Sangil Jr,Gaudencio Abeleda"/>
    <x v="3"/>
    <x v="0"/>
    <s v="Cortez, Khyno E"/>
    <s v="Provider"/>
    <s v="Check Formulary Coverage"/>
    <s v="INQ-F102862"/>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s v="Class 11.1"/>
    <s v="Jan Week 2"/>
    <x v="10"/>
    <s v="Alejaga,Bryan Manombaga"/>
    <x v="2"/>
    <x v="0"/>
    <s v="Logmao, Nyrene Grace L"/>
    <s v="Provider"/>
    <s v="Check Status Denied"/>
    <s v="INQ-F116053"/>
    <n v="0.9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0"/>
    <n v="0"/>
    <n v="0"/>
    <n v="0"/>
    <n v="0"/>
    <n v="0"/>
    <n v="0"/>
    <n v="0"/>
    <n v="0"/>
    <n v="0"/>
    <n v="0"/>
    <n v="0"/>
    <n v="0"/>
    <n v="0"/>
    <n v="0"/>
    <n v="0"/>
    <n v="0"/>
    <n v="0"/>
    <n v="0"/>
    <n v="0"/>
    <n v="0"/>
    <n v="0"/>
    <n v="0"/>
    <n v="0"/>
    <n v="0"/>
    <n v="0"/>
    <n v="0"/>
    <n v="0"/>
    <n v="0"/>
    <n v="0"/>
    <n v="0"/>
    <n v="0"/>
    <n v="0"/>
    <n v="0"/>
    <n v="0"/>
    <n v="0"/>
    <n v="0"/>
    <n v="0"/>
    <n v="0"/>
  </r>
  <r>
    <x v="1"/>
    <x v="1"/>
    <s v="Class 11.2"/>
    <s v="Jan Week 2"/>
    <x v="10"/>
    <s v="Morales,Lendy Ochate"/>
    <x v="3"/>
    <x v="0"/>
    <s v="Napay, Rowena Joice B"/>
    <s v="Provider"/>
    <s v="Transfer - Additional Assistance"/>
    <s v="INQ-F100403"/>
    <n v="0.84"/>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r>
  <r>
    <x v="1"/>
    <x v="1"/>
    <s v="Class 11.2"/>
    <s v="Jan Week 2"/>
    <x v="10"/>
    <s v="Ramos,Ruth Marionne Dalut"/>
    <x v="3"/>
    <x v="0"/>
    <s v="Napay, Rowena Joice B"/>
    <s v="Provider"/>
    <s v="Check Formulary Coverage"/>
    <s v="INQ-F101217"/>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s v="Class 11.2"/>
    <s v="Jan Week 2"/>
    <x v="10"/>
    <s v="Roces,Diana Abia"/>
    <x v="3"/>
    <x v="0"/>
    <s v="Napay, Rowena Joice B"/>
    <s v="Provider"/>
    <s v="PA Initiation"/>
    <s v="INQ-F101775"/>
    <n v="0.9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1"/>
    <n v="0"/>
    <n v="0"/>
    <n v="0"/>
    <n v="0"/>
    <n v="0"/>
    <n v="0"/>
    <n v="1"/>
    <n v="0"/>
    <n v="0"/>
    <n v="0"/>
    <n v="0"/>
    <n v="0"/>
    <n v="0"/>
    <n v="0"/>
    <n v="0"/>
    <n v="0"/>
    <n v="0"/>
    <n v="0"/>
    <n v="0"/>
    <n v="0"/>
    <n v="0"/>
    <n v="0"/>
    <n v="0"/>
    <n v="0"/>
    <n v="0"/>
    <n v="0"/>
    <n v="0"/>
    <n v="0"/>
    <n v="0"/>
    <n v="0"/>
    <n v="0"/>
    <n v="0"/>
  </r>
  <r>
    <x v="1"/>
    <x v="1"/>
    <s v="Class 11.2"/>
    <s v="Jan Week 2"/>
    <x v="10"/>
    <s v="Tanglao,Jaycee Fernando"/>
    <x v="3"/>
    <x v="0"/>
    <s v="Napay, Rowena Joice B"/>
    <s v="Provider"/>
    <s v="Check Status Denied"/>
    <s v="INQ-F103832"/>
    <n v="0.94"/>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1"/>
    <s v="Class 11.1"/>
    <s v="Jan Week 2"/>
    <x v="10"/>
    <s v="Pecson,Warren Dela Cruz"/>
    <x v="2"/>
    <x v="0"/>
    <s v="Relon, Gazel D"/>
    <s v="Provider"/>
    <s v="Check Status Denied"/>
    <s v="INQ-F103248"/>
    <n v="0.9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1"/>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r>
    <x v="1"/>
    <x v="2"/>
    <e v="#N/A"/>
    <e v="#N/A"/>
    <x v="11"/>
    <m/>
    <x v="5"/>
    <x v="2"/>
    <m/>
    <m/>
    <m/>
    <m/>
    <m/>
    <m/>
    <m/>
    <m/>
    <m/>
    <m/>
    <m/>
    <m/>
    <m/>
    <m/>
    <m/>
    <m/>
    <m/>
    <m/>
    <m/>
    <m/>
    <m/>
    <m/>
    <m/>
    <m/>
    <m/>
    <m/>
    <m/>
    <m/>
    <m/>
    <m/>
    <m/>
    <m/>
    <m/>
    <m/>
    <m/>
    <m/>
    <m/>
    <m/>
    <m/>
    <m/>
    <m/>
    <m/>
    <m/>
    <m/>
    <m/>
    <m/>
    <m/>
    <m/>
    <m/>
    <m/>
    <m/>
    <m/>
    <m/>
    <m/>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1B6AE2-6E25-4E50-84EA-87E90F0D6EF4}" name="PivotTable2" cacheId="1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I8" firstHeaderRow="1" firstDataRow="2" firstDataCol="1"/>
  <pivotFields count="110">
    <pivotField showAll="0"/>
    <pivotField axis="axisRow" showAll="0">
      <items count="5">
        <item x="1"/>
        <item h="1" x="0"/>
        <item h="1" x="2"/>
        <item h="1" x="3"/>
        <item t="default"/>
      </items>
    </pivotField>
    <pivotField axis="axisRow" showAll="0">
      <items count="8">
        <item x="1"/>
        <item x="2"/>
        <item x="3"/>
        <item x="4"/>
        <item x="0"/>
        <item x="5"/>
        <item x="6"/>
        <item t="default"/>
      </items>
    </pivotField>
    <pivotField axis="axisCol" showAll="0">
      <items count="5">
        <item x="0"/>
        <item x="1"/>
        <item x="2"/>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4">
    <i>
      <x/>
    </i>
    <i r="1">
      <x v="1"/>
    </i>
    <i r="1">
      <x v="2"/>
    </i>
    <i t="grand">
      <x/>
    </i>
  </rowItems>
  <colFields count="1">
    <field x="3"/>
  </colFields>
  <colItems count="3">
    <i>
      <x/>
    </i>
    <i>
      <x v="1"/>
    </i>
    <i t="grand">
      <x/>
    </i>
  </colItems>
  <dataFields count="1">
    <dataField name="Count of Case/INQ" fld="11" subtotal="count" baseField="0" baseItem="0"/>
  </dataFields>
  <formats count="22">
    <format dxfId="101">
      <pivotArea type="all" dataOnly="0" outline="0" fieldPosition="0"/>
    </format>
    <format dxfId="100">
      <pivotArea outline="0" collapsedLevelsAreSubtotals="1" fieldPosition="0"/>
    </format>
    <format dxfId="99">
      <pivotArea type="origin" dataOnly="0" labelOnly="1" outline="0" fieldPosition="0"/>
    </format>
    <format dxfId="98">
      <pivotArea field="3" type="button" dataOnly="0" labelOnly="1" outline="0" axis="axisCol" fieldPosition="0"/>
    </format>
    <format dxfId="97">
      <pivotArea type="topRight" dataOnly="0" labelOnly="1" outline="0" fieldPosition="0"/>
    </format>
    <format dxfId="96">
      <pivotArea field="1" type="button" dataOnly="0" labelOnly="1" outline="0" axis="axisRow" fieldPosition="0"/>
    </format>
    <format dxfId="95">
      <pivotArea dataOnly="0" labelOnly="1" fieldPosition="0">
        <references count="1">
          <reference field="1" count="0"/>
        </references>
      </pivotArea>
    </format>
    <format dxfId="94">
      <pivotArea dataOnly="0" labelOnly="1" grandRow="1" outline="0" fieldPosition="0"/>
    </format>
    <format dxfId="93">
      <pivotArea dataOnly="0" labelOnly="1" fieldPosition="0">
        <references count="2">
          <reference field="1" count="0" selected="0"/>
          <reference field="2" count="2">
            <x v="1"/>
            <x v="2"/>
          </reference>
        </references>
      </pivotArea>
    </format>
    <format dxfId="92">
      <pivotArea dataOnly="0" labelOnly="1" fieldPosition="0">
        <references count="1">
          <reference field="3" count="2">
            <x v="0"/>
            <x v="1"/>
          </reference>
        </references>
      </pivotArea>
    </format>
    <format dxfId="91">
      <pivotArea dataOnly="0" labelOnly="1" grandCol="1" outline="0" fieldPosition="0"/>
    </format>
    <format dxfId="90">
      <pivotArea type="all" dataOnly="0" outline="0" fieldPosition="0"/>
    </format>
    <format dxfId="89">
      <pivotArea outline="0" collapsedLevelsAreSubtotals="1" fieldPosition="0"/>
    </format>
    <format dxfId="88">
      <pivotArea type="origin" dataOnly="0" labelOnly="1" outline="0" fieldPosition="0"/>
    </format>
    <format dxfId="87">
      <pivotArea field="3" type="button" dataOnly="0" labelOnly="1" outline="0" axis="axisCol" fieldPosition="0"/>
    </format>
    <format dxfId="86">
      <pivotArea type="topRight" dataOnly="0" labelOnly="1" outline="0" fieldPosition="0"/>
    </format>
    <format dxfId="85">
      <pivotArea field="1" type="button" dataOnly="0" labelOnly="1" outline="0" axis="axisRow" fieldPosition="0"/>
    </format>
    <format dxfId="84">
      <pivotArea dataOnly="0" labelOnly="1" fieldPosition="0">
        <references count="1">
          <reference field="1" count="0"/>
        </references>
      </pivotArea>
    </format>
    <format dxfId="83">
      <pivotArea dataOnly="0" labelOnly="1" grandRow="1" outline="0" fieldPosition="0"/>
    </format>
    <format dxfId="82">
      <pivotArea dataOnly="0" labelOnly="1" fieldPosition="0">
        <references count="2">
          <reference field="1" count="0" selected="0"/>
          <reference field="2" count="2">
            <x v="1"/>
            <x v="2"/>
          </reference>
        </references>
      </pivotArea>
    </format>
    <format dxfId="81">
      <pivotArea dataOnly="0" labelOnly="1" fieldPosition="0">
        <references count="1">
          <reference field="3" count="2">
            <x v="0"/>
            <x v="1"/>
          </reference>
        </references>
      </pivotArea>
    </format>
    <format dxfId="8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79968B-8B6C-4A25-BD33-8CA7AD05FEEB}" name="PivotTable1" cacheId="1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3:D7" firstHeaderRow="1" firstDataRow="2" firstDataCol="1" rowPageCount="1" colPageCount="1"/>
  <pivotFields count="110">
    <pivotField showAll="0"/>
    <pivotField axis="axisPage" multipleItemSelectionAllowed="1" showAll="0">
      <items count="5">
        <item x="1"/>
        <item h="1" x="0"/>
        <item h="1" x="2"/>
        <item h="1" x="3"/>
        <item t="default"/>
      </items>
    </pivotField>
    <pivotField axis="axisCol" multipleItemSelectionAllowed="1" showAll="0">
      <items count="8">
        <item h="1" x="1"/>
        <item x="2"/>
        <item x="3"/>
        <item h="1" x="4"/>
        <item h="1" x="0"/>
        <item h="1" x="5"/>
        <item h="1" x="6"/>
        <item t="default"/>
      </items>
    </pivotField>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2"/>
  </colFields>
  <colItems count="3">
    <i>
      <x v="1"/>
    </i>
    <i>
      <x v="2"/>
    </i>
    <i t="grand">
      <x/>
    </i>
  </colItems>
  <pageFields count="1">
    <pageField fld="1" hier="-1"/>
  </pageFields>
  <dataFields count="1">
    <dataField name="Average of QA Score" fld="12" subtotal="average" baseField="0" baseItem="0" numFmtId="10"/>
  </dataFields>
  <formats count="10">
    <format dxfId="111">
      <pivotArea collapsedLevelsAreSubtotals="1" fieldPosition="0">
        <references count="1">
          <reference field="1" count="1">
            <x v="0"/>
          </reference>
        </references>
      </pivotArea>
    </format>
    <format dxfId="110">
      <pivotArea collapsedLevelsAreSubtotals="1" fieldPosition="0">
        <references count="2">
          <reference field="1" count="1" selected="0">
            <x v="0"/>
          </reference>
          <reference field="2" count="0"/>
        </references>
      </pivotArea>
    </format>
    <format dxfId="109">
      <pivotArea collapsedLevelsAreSubtotals="1" fieldPosition="0">
        <references count="1">
          <reference field="1" count="1">
            <x v="0"/>
          </reference>
        </references>
      </pivotArea>
    </format>
    <format dxfId="108">
      <pivotArea collapsedLevelsAreSubtotals="1" fieldPosition="0">
        <references count="2">
          <reference field="1" count="1" selected="0">
            <x v="0"/>
          </reference>
          <reference field="2" count="0"/>
        </references>
      </pivotArea>
    </format>
    <format dxfId="107">
      <pivotArea grandRow="1" outline="0" collapsedLevelsAreSubtotals="1" fieldPosition="0"/>
    </format>
    <format dxfId="106">
      <pivotArea grandRow="1" outline="0" collapsedLevelsAreSubtotals="1" fieldPosition="0"/>
    </format>
    <format dxfId="105">
      <pivotArea outline="0" collapsedLevelsAreSubtotals="1" fieldPosition="0"/>
    </format>
    <format dxfId="104">
      <pivotArea type="all" dataOnly="0" outline="0" fieldPosition="0"/>
    </format>
    <format dxfId="103">
      <pivotArea type="all" dataOnly="0" outline="0" fieldPosition="0"/>
    </format>
    <format dxfId="102">
      <pivotArea field="3" grandRow="1" outline="0" collapsedLevelsAreSubtotals="1" axis="axisRow" fieldPosition="0">
        <references count="1">
          <reference field="4294967294" count="1" selected="0">
            <x v="0"/>
          </reference>
        </references>
      </pivotArea>
    </format>
  </formats>
  <chartFormats count="4">
    <chartFormat chart="52" format="0" series="1">
      <pivotArea type="data" outline="0" fieldPosition="0">
        <references count="2">
          <reference field="4294967294" count="1" selected="0">
            <x v="0"/>
          </reference>
          <reference field="2" count="1" selected="0">
            <x v="1"/>
          </reference>
        </references>
      </pivotArea>
    </chartFormat>
    <chartFormat chart="52" format="1" series="1">
      <pivotArea type="data" outline="0" fieldPosition="0">
        <references count="2">
          <reference field="4294967294" count="1" selected="0">
            <x v="0"/>
          </reference>
          <reference field="2" count="1" selected="0">
            <x v="2"/>
          </reference>
        </references>
      </pivotArea>
    </chartFormat>
    <chartFormat chart="52" format="2">
      <pivotArea type="data" outline="0" fieldPosition="0">
        <references count="3">
          <reference field="4294967294" count="1" selected="0">
            <x v="0"/>
          </reference>
          <reference field="2" count="1" selected="0">
            <x v="1"/>
          </reference>
          <reference field="3" count="1" selected="0">
            <x v="1"/>
          </reference>
        </references>
      </pivotArea>
    </chartFormat>
    <chartFormat chart="52" format="3">
      <pivotArea type="data" outline="0" fieldPosition="0">
        <references count="3">
          <reference field="4294967294" count="1" selected="0">
            <x v="0"/>
          </reference>
          <reference field="2" count="1" selected="0">
            <x v="1"/>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61AD9D-864D-46EB-8557-30C20646BB6D}" name="PivotTable3" cacheId="11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25" firstHeaderRow="1" firstDataRow="1" firstDataCol="1" rowPageCount="5" colPageCount="1"/>
  <pivotFields count="131">
    <pivotField axis="axisPage" multipleItemSelectionAllowed="1" showAll="0">
      <items count="3">
        <item x="0"/>
        <item h="1" x="1"/>
        <item t="default"/>
      </items>
    </pivotField>
    <pivotField axis="axisPage" multipleItemSelectionAllowed="1" showAll="0">
      <items count="4">
        <item x="1"/>
        <item h="1" x="0"/>
        <item h="1" x="2"/>
        <item t="default"/>
      </items>
    </pivotField>
    <pivotField showAll="0"/>
    <pivotField showAll="0"/>
    <pivotField axis="axisPage" multipleItemSelectionAllowed="1" showAll="0">
      <items count="13">
        <item x="8"/>
        <item x="11"/>
        <item x="0"/>
        <item x="1"/>
        <item x="2"/>
        <item x="3"/>
        <item x="4"/>
        <item x="5"/>
        <item x="6"/>
        <item x="7"/>
        <item x="9"/>
        <item x="10"/>
        <item t="default"/>
      </items>
    </pivotField>
    <pivotField showAll="0"/>
    <pivotField axis="axisPage" multipleItemSelectionAllowed="1" showAll="0">
      <items count="7">
        <item x="4"/>
        <item x="1"/>
        <item x="0"/>
        <item x="3"/>
        <item x="2"/>
        <item x="5"/>
        <item t="default"/>
      </items>
    </pivotField>
    <pivotField axis="axisPage" multipleItemSelectionAllowed="1" showAll="0">
      <items count="4">
        <item x="1"/>
        <item x="0"/>
        <item h="1" x="2"/>
        <item t="default"/>
      </items>
    </pivotField>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118">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i i="71">
      <x v="71"/>
    </i>
    <i i="72">
      <x v="72"/>
    </i>
    <i i="73">
      <x v="73"/>
    </i>
    <i i="74">
      <x v="74"/>
    </i>
    <i i="75">
      <x v="75"/>
    </i>
    <i i="76">
      <x v="76"/>
    </i>
    <i i="77">
      <x v="77"/>
    </i>
    <i i="78">
      <x v="78"/>
    </i>
    <i i="79">
      <x v="79"/>
    </i>
    <i i="80">
      <x v="80"/>
    </i>
    <i i="81">
      <x v="81"/>
    </i>
    <i i="82">
      <x v="82"/>
    </i>
    <i i="83">
      <x v="83"/>
    </i>
    <i i="84">
      <x v="84"/>
    </i>
    <i i="85">
      <x v="85"/>
    </i>
    <i i="86">
      <x v="86"/>
    </i>
    <i i="87">
      <x v="87"/>
    </i>
    <i i="88">
      <x v="88"/>
    </i>
    <i i="89">
      <x v="89"/>
    </i>
    <i i="90">
      <x v="90"/>
    </i>
    <i i="91">
      <x v="91"/>
    </i>
    <i i="92">
      <x v="92"/>
    </i>
    <i i="93">
      <x v="93"/>
    </i>
    <i i="94">
      <x v="94"/>
    </i>
    <i i="95">
      <x v="95"/>
    </i>
    <i i="96">
      <x v="96"/>
    </i>
    <i i="97">
      <x v="97"/>
    </i>
    <i i="98">
      <x v="98"/>
    </i>
    <i i="99">
      <x v="99"/>
    </i>
    <i i="100">
      <x v="100"/>
    </i>
    <i i="101">
      <x v="101"/>
    </i>
    <i i="102">
      <x v="102"/>
    </i>
    <i i="103">
      <x v="103"/>
    </i>
    <i i="104">
      <x v="104"/>
    </i>
    <i i="105">
      <x v="105"/>
    </i>
    <i i="106">
      <x v="106"/>
    </i>
    <i i="107">
      <x v="107"/>
    </i>
    <i i="108">
      <x v="108"/>
    </i>
    <i i="109">
      <x v="109"/>
    </i>
    <i i="110">
      <x v="110"/>
    </i>
    <i i="111">
      <x v="111"/>
    </i>
    <i i="112">
      <x v="112"/>
    </i>
    <i i="113">
      <x v="113"/>
    </i>
    <i i="114">
      <x v="114"/>
    </i>
    <i i="115">
      <x v="115"/>
    </i>
    <i i="116">
      <x v="116"/>
    </i>
    <i i="117">
      <x v="117"/>
    </i>
  </rowItems>
  <colItems count="1">
    <i/>
  </colItems>
  <pageFields count="5">
    <pageField fld="0" hier="-1"/>
    <pageField fld="4" hier="-1"/>
    <pageField fld="7" hier="-1"/>
    <pageField fld="6" hier="-1"/>
    <pageField fld="1" hier="-1"/>
  </pageFields>
  <dataFields count="118">
    <dataField name=" Exceeded Limit of twenty seconds of unannounced silence" fld="98" baseField="0" baseItem="0"/>
    <dataField name=" Exceeded Limit of fifty seconds of announced silence" fld="99" baseField="0" baseItem="0"/>
    <dataField name=" Agent did not ask for a third identifier if member ID is not available" fld="19" baseField="0" baseItem="0"/>
    <dataField name=" The agent did not adapt to the caller’s needs through the pace of their speech and the volume of their voice, as appropriate" fld="105" baseField="0" baseItem="0"/>
    <dataField name=" Agent did not leverage the Identify Provider and Drug and/or Pharmacy from Member Claims to identify the provider, target drug, and pharmacy" fld="42" baseField="0" baseItem="0"/>
    <dataField name=" Agent did not keep the interaction/conversation of the call on track and avoids using distractive fillers" fld="125" baseField="0" baseItem="0"/>
    <dataField name=" For internal transfers, agent did not provide the name and number (if available) of the department the caller is being transferred to, and for external Provide the name and number of the department caller is being transferred to" fld="102" baseField="0" baseItem="0"/>
    <dataField name=" Agent did not pull up the case history and provide the correct status of case for the target drug" fld="43" baseField="0" baseItem="0"/>
    <dataField name=" Agent did not thank the caller for holding upon returning to the caller" fld="94" baseField="0" baseItem="0"/>
    <dataField name=" Gain permission from the caller to transfer" fld="101" baseField="0" baseItem="0"/>
    <dataField name=" The agent will address the caller using their last name and/or appropriate name/title anytime the name is provided by the caller" fld="114" baseField="0" baseItem="0"/>
    <dataField name=" The agent did not avoid using terms of endearment when addressing the caller (eg, honey, dear)" fld="106" baseField="0" baseItem="0"/>
    <dataField name=" Agent did not obtain Caller's callback number" fld="17" baseField="0" baseItem="0"/>
    <dataField name=" Agent placed the caller on hold at the start of the call" fld="95" baseField="0" baseItem="0"/>
    <dataField name=" Agent did not warm and cold transfer according to current policy " fld="103" baseField="0" baseItem="0"/>
    <dataField name=" The agent uses courtesy words/phrases (PIR)" fld="118" baseField="0" baseItem="0"/>
    <dataField name=" Agent did not answer the caller’s questions to build rapport without getting off track" fld="126" baseField="0" baseItem="0"/>
    <dataField name=" Agent did not obtain Caller's Location, if not member (eg, MDO, LTC, Hospice)" fld="16" baseField="0" baseItem="0"/>
    <dataField name=" Agent did not requests permission from the caller before placing them on hold" fld="92" baseField="0" baseItem="0"/>
    <dataField name=" Exceeded Limit of five seconds before the greeting of the call" fld="97" baseField="0" baseItem="0"/>
    <dataField name=" Explain the reason/need to transfer the caller" fld="100" baseField="0" baseItem="0"/>
    <dataField name=" The agent will did not speak clearly without mumbling, using jargon, or slang" fld="104" baseField="0" baseItem="0"/>
    <dataField name=" The agent did not use appropriate and professional language" fld="107" baseField="0" baseItem="0"/>
    <dataField name=" Agent did not verify case(s) were reviewed properly" fld="110" baseField="0" baseItem="0"/>
    <dataField name=" The agent will appropriately use the caller’s name at least once during the call outside of caller name verification" fld="113" baseField="0" baseItem="0"/>
    <dataField name=" The first name may only be used to address clinician, tech, nurse, etc unless the caller requests the first name be used" fld="115" baseField="0" baseItem="0"/>
    <dataField name=" It is not required to address internal callers by name" fld="116" baseField="0" baseItem="0"/>
    <dataField name=" The agent uses a tone that is pleasant/helpful (PIR)" fld="117" baseField="0" baseItem="0"/>
    <dataField name=" The agent allows the caller to speak without blatant interruptions" fld="119" baseField="0" baseItem="0"/>
    <dataField name=" The agent will concede/apologize if they interrupt the caller, accidentally" fld="120" baseField="0" baseItem="0"/>
    <dataField name=" Agent did not avoid blaming or speaking negatively of OptumRx or company partners" fld="121" baseField="0" baseItem="0"/>
    <dataField name=" Agent did not promote confidence in the company’s processes when speaking to the caller" fld="122" baseField="0" baseItem="0"/>
    <dataField name=" If systems are down or latent, the agent did not advise the caller the “system is updating”" fld="123" baseField="0" baseItem="0"/>
    <dataField name=" Agent spoke negatively of company systems or place blame on systems" fld="124" baseField="0" baseItem="0"/>
    <dataField name=" The agent did not correctly update the urgency on a pending case, if requested." fld="49" baseField="0" baseItem="0"/>
    <dataField name=" False documentation" fld="61" baseField="0" baseItem="0"/>
    <dataField name=" Agent changed the intent of the initial trial claim" fld="77" baseField="0" baseItem="0"/>
    <dataField name=" Agent did not return to the caller from hold after the initial 2mins" fld="96" baseField="0" baseItem="0"/>
    <dataField name=" Agent did not provide their name/department." fld="13" baseField="0" baseItem="0"/>
    <dataField name=" Agent did not verify whom they are speaking to." fld="14" baseField="0" baseItem="0"/>
    <dataField name=" Agent did not obtain the name of the caller." fld="15" baseField="0" baseItem="0"/>
    <dataField name=" Agent did not select the correct caller type OR correct the caller type when it is discovered tom be incorrect." fld="18" baseField="0" baseItem="0"/>
    <dataField name=" Agent did not obtain member's first and last name." fld="20" baseField="0" baseItem="0"/>
    <dataField name=" Agent did not obtain member's dob." fld="21" baseField="0" baseItem="0"/>
    <dataField name=" Member PHI was inappropriately provided to third party caller." fld="22" baseField="0" baseItem="0"/>
    <dataField name=" Agent did not utilize scripting for auto-pop information." fld="23" baseField="0" baseItem="0"/>
    <dataField name=" Agent did not obtain provider's last name." fld="24" baseField="0" baseItem="0"/>
    <dataField name=" Agent did not obtain provider's NPI." fld="25" baseField="0" baseItem="0"/>
    <dataField name=" Agent did not authenticate partial address (e.g., street name, street number, city, state)." fld="26" baseField="0" baseItem="0"/>
    <dataField name=" Agent did not authenticate office phone number." fld="27" baseField="0" baseItem="0"/>
    <dataField name=" Agent did not authenticate office fax number." fld="28" baseField="0" baseItem="0"/>
    <dataField name=" Agent did not authenticate the provider information." fld="29" baseField="0" baseItem="0"/>
    <dataField name=" Agent did not utilize scripting for auto-pop information.2" fld="30" baseField="0" baseItem="0"/>
    <dataField name=" Agent did not obtain pharmacy name." fld="31" baseField="0" baseItem="0"/>
    <dataField name=" Agent did not obtain pharmacy NPI or NABP number." fld="32" baseField="0" baseItem="0"/>
    <dataField name=" Agent did not ask if caller is from a &quot;dispensing pharmacy&quot;." fld="33" baseField="0" baseItem="0"/>
    <dataField name=" Agent did not utilize scripting for auto-pop information.3" fld="34" baseField="0" baseItem="0"/>
    <dataField name=" Agent did not follow member authentication protocol when accessing the member's account is required." fld="35" baseField="0" baseItem="0"/>
    <dataField name=" Agent did not change the caller type to provider or pharmacy as needed and follow the applicable authentication process per caller type." fld="36" baseField="0" baseItem="0"/>
    <dataField name=" Agent did not ask the transition question if case populate in member case history." fld="37" baseField="0" baseItem="0"/>
    <dataField name=" Agent did not ask the transition question if case populate in member case history if case do not populate in member case history." fld="38" baseField="0" baseItem="0"/>
    <dataField name=" Agent did not confirm the caller's needs that was already stated." fld="39" baseField="0" baseItem="0"/>
    <dataField name=" Agent did not select the correct member account Note: If the member has multiple accounts." fld="40" baseField="0" baseItem="0"/>
    <dataField name=" Agent failed to recognize that the account is handled by a dedicated team, did not transfer the call appropriately." fld="41" baseField="0" baseItem="0"/>
    <dataField name=" New PA request- The agent did not educate the caller on the availability of an ePA once determined that a PA is required." fld="44" baseField="0" baseItem="0"/>
    <dataField name=" Denied Status Checks - The agent did not inform the caller of the appeals information from the denial correspondence as well as client-specific appeals process information." fld="45" baseField="0" baseItem="0"/>
    <dataField name=" Approved Status Checks - The agent did not inform the caller of the approval duration." fld="46" baseField="0" baseItem="0"/>
    <dataField name=" Pending Status Checks - The agent did not inform the caller Quoted TAT, status of the pending case, and document any additional information when provided." fld="48" baseField="0" baseItem="0"/>
    <dataField name=" The agent did not troubleshoot the authorization to get a paid claim." fld="47" baseField="0" baseItem="0"/>
    <dataField name=" Miscellaneous - The agent did not resend correspondence(s) when requested." fld="50" baseField="0" baseItem="0"/>
    <dataField name="  The agent did not assist the caller by providing formulary alternatives, via Formulary Lookup, the trial claim, denial correspondence, etc. when appropriate." fld="51" baseField="0" baseItem="0"/>
    <dataField name=" Agent did not run test claims when appropriate." fld="52" baseField="0" baseItem="0"/>
    <dataField name=" Agent did not provide correct internal/external contact numbers." fld="53" baseField="0" baseItem="0"/>
    <dataField name=" Agent did not offer to create a key code for epa when caller requested fax form to be sent." fld="54" baseField="0" baseItem="0"/>
    <dataField name=" Agent did not accurately send approval/denial correspondence to MDO, when requested." fld="55" baseField="0" baseItem="0"/>
    <dataField name=" Agent did not provide how the PA process works." fld="56" baseField="0" baseItem="0"/>
    <dataField name=" Agent did not provide accurate case turnaround time per the plan time." fld="57" baseField="0" baseItem="0"/>
    <dataField name=" Agent did not provide new/correct member ID, if provided incorrectly." fld="58" baseField="0" baseItem="0"/>
    <dataField name=" Agent did not select the most appropriate dropdown options as a starting point to document the actions taken during the call." fld="59" baseField="0" baseItem="0"/>
    <dataField name=" Agent did not revise the guided verbiage to show what was advise, pertinent action steps done that is not mentioned in the guided verbiage ( i.e. reason for transfer, reason for force pending the case, additional T/F medication, what medication was refe" fld="60" baseField="0" baseItem="0"/>
    <dataField name=" Agent did not validate the correct drug product, drug formulation, direction for use, dispensed quantity and days supply." fld="62" baseField="0" baseItem="0"/>
    <dataField name=" Agent should not cancel the phone request when the drug product and formulation has been validated; Agent did not continue with the PA phone request when the call drops after drug product and formulation have been entered." fld="63" baseField="0" baseItem="0"/>
    <dataField name=" Agent did not ensure brand versus generic request; did not correct the error and reenter the drug product." fld="64" baseField="0" baseItem="0"/>
    <dataField name=" Agent did not enter quantity and days supply exactly as the caller's intent." fld="65" baseField="0" baseItem="0"/>
    <dataField name=" Agent did not evaluate the reject in action step." fld="66" baseField="0" baseItem="0"/>
    <dataField name=" Agent did not use retry trial claim to adjust the dispensed quantity and days supply in proportion to 30 days to drive the appropriate rejects." fld="67" baseField="0" baseItem="0"/>
    <dataField name=" Agent did not enter case detail according to the caller's request (e.g. selecting cost reduction)." fld="68" baseField="0" baseItem="0"/>
    <dataField name=" Agent did not turn INQ call to PA when appropriate." fld="69" baseField="0" baseItem="0"/>
    <dataField name=" Merge Decision - Agent did not evaluate and compare the information from the original pending case to the current case when presented with final case duplicates for merging." fld="70" baseField="0" baseItem="0"/>
    <dataField name=" Agent did not follow the system guided &quot;WALKME&quot; instruction at the Enhanced Duplicate Screen." fld="71" baseField="0" baseItem="0"/>
    <dataField name=" Agent did not complete the Multiple PA type selections (when presented appropriately)." fld="72" baseField="0" baseItem="0"/>
    <dataField name=" Proceed with the Guideline Decision - New PA requests (e.g., drugs that have not previously been reviewed), must always proceed to the Guideline screen, unless cancellation is warranted. A subsequent commercial case with new information must always proc" fld="73" baseField="0" baseItem="0"/>
    <dataField name=" Retry Trial Claim -  Agent did not use the retry trial claim feature to adjust the dispensed quantity and days supply in proportion to 30 days to drive the appropriate rejects." fld="74" baseField="0" baseItem="0"/>
    <dataField name=" Agent did not change the day supply to 30 days without also recalculating the quantity to 30 days." fld="75" baseField="0" baseItem="0"/>
    <dataField name=" Cancellation Decision - Agent did not use the retry trial claim feature at the guideline screen first before selecting cancel case." fld="76" baseField="0" baseItem="0"/>
    <dataField name=" Agent did not select the correct cancel reason code." fld="78" baseField="0" baseItem="0"/>
    <dataField name=" A subsequent Medicare case with a denial on file within the appeal window must be evaluated for Forwarding to Appeals." fld="79" baseField="0" baseItem="0"/>
    <dataField name=" Agent did not ask ALL External questions and responses verbatim." fld="80" baseField="0" baseItem="0"/>
    <dataField name=" Agent did not ask the diagnosis question(s); Agent did not make the correct selection(s) based on the caller's response." fld="81" baseField="0" baseItem="0"/>
    <dataField name=" Agent did not answer initial vs reauth questions correctly." fld="82" baseField="0" baseItem="0"/>
    <dataField name=" Did not ask the CG QL question." fld="83" baseField="0" baseItem="0"/>
    <dataField name=" Did not update the DQ and DS on the case according to the caller's response to the QL question." fld="84" baseField="0" baseItem="0"/>
    <dataField name=" Agent did not document additional information in the additional notes textbox when prompted." fld="85" baseField="0" baseItem="0"/>
    <dataField name=" Agent did not offer to create ePA keycode when CG question require submission of chartnotes." fld="86" baseField="0" baseItem="0"/>
    <dataField name=" Agent did not evaluate and compare the information from the original pending case to the current case when presented with final/second case duplicates for merging." fld="87" baseField="0" baseItem="0"/>
    <dataField name=" Agent did not follow the system guided &quot;WALKME&quot; instruction at the Enhanced Duplicate Screen.2" fld="88" baseField="0" baseItem="0"/>
    <dataField name=" The agent did not ensure caller satisfaction by asking if additional assistance is needed." fld="89" baseField="0" baseItem="0"/>
    <dataField name=" The agent did not the brand the call and thank the caller." fld="91" baseField="0" baseItem="0"/>
    <dataField name=" The agent did not offers/Mention the survey." fld="90" baseField="0" baseItem="0"/>
    <dataField name=" Agent did not use the mute button when placing the caller on silent hold." fld="93" baseField="0" baseItem="0"/>
    <dataField name=" Agent did not respond with appropriate phrases to ensure the caller they are actively listening and understanding the caller’s statement/question." fld="108" baseField="0" baseItem="0"/>
    <dataField name=" Agent did not resolve all the caller’s needs to ensure the caller does not call back again. (Demonstrate ownership of the repeat caller issue by resolving all questions, issues, and/or concerns on the call); Agent created a homework for the caller." fld="109" baseField="0" baseItem="0"/>
    <dataField name=" Agent did not educate the caller on clinical criteria not met per clinical guidelines based on denial reason." fld="111" baseField="0" baseItem="0"/>
    <dataField name=" Agent did not utilize available resources to research the member’s concerns (i.e. Corr letter, Case Notes, Plan Contacts, Claim History, FLU/INET)." fld="112" baseField="0" baseItem="0"/>
    <dataField name=" Incorrect Case Priority." fld="127" baseField="0" baseItem="0"/>
    <dataField name=" Invalid cancellation - Agent did not work and cancel cases in adherence to compliance requirements." fld="128" baseField="0" baseItem="0"/>
    <dataField name=" Case Worked for the Incorrect Member - Agent did not work each case with the correct member account as requested by the caller." fld="129" baseField="0" baseItem="0"/>
    <dataField name=" Agent did not maintain professionalism throughout the entire interaction with the caller. Agent used unprofessional or profane language." fld="130" baseField="0" baseItem="0"/>
  </dataFields>
  <formats count="34">
    <format dxfId="66">
      <pivotArea field="4" type="button" dataOnly="0" labelOnly="1" outline="0" axis="axisPage" fieldPosition="1"/>
    </format>
    <format dxfId="65">
      <pivotArea dataOnly="0" labelOnly="1" outline="0" fieldPosition="0">
        <references count="1">
          <reference field="4294967294" count="5">
            <x v="2"/>
            <x v="4"/>
            <x v="7"/>
            <x v="12"/>
            <x v="17"/>
          </reference>
        </references>
      </pivotArea>
    </format>
    <format dxfId="64">
      <pivotArea dataOnly="0" labelOnly="1" outline="0" fieldPosition="0">
        <references count="1">
          <reference field="4294967294" count="29">
            <x v="0"/>
            <x v="1"/>
            <x v="3"/>
            <x v="5"/>
            <x v="6"/>
            <x v="8"/>
            <x v="9"/>
            <x v="10"/>
            <x v="11"/>
            <x v="13"/>
            <x v="14"/>
            <x v="15"/>
            <x v="16"/>
            <x v="18"/>
            <x v="19"/>
            <x v="20"/>
            <x v="21"/>
            <x v="22"/>
            <x v="23"/>
            <x v="24"/>
            <x v="25"/>
            <x v="26"/>
            <x v="27"/>
            <x v="28"/>
            <x v="29"/>
            <x v="30"/>
            <x v="31"/>
            <x v="32"/>
            <x v="33"/>
          </reference>
        </references>
      </pivotArea>
    </format>
    <format dxfId="63">
      <pivotArea field="-2" type="button" dataOnly="0" labelOnly="1" outline="0" axis="axisRow" fieldPosition="0"/>
    </format>
    <format dxfId="62">
      <pivotArea dataOnly="0" labelOnly="1" outline="0" fieldPosition="0">
        <references count="1">
          <reference field="4294967294" count="11">
            <x v="2"/>
            <x v="4"/>
            <x v="6"/>
            <x v="7"/>
            <x v="11"/>
            <x v="12"/>
            <x v="13"/>
            <x v="14"/>
            <x v="15"/>
            <x v="16"/>
            <x v="17"/>
          </reference>
        </references>
      </pivotArea>
    </format>
    <format dxfId="61">
      <pivotArea dataOnly="0" labelOnly="1" outline="0" fieldPosition="0">
        <references count="1">
          <reference field="4294967294" count="23">
            <x v="0"/>
            <x v="1"/>
            <x v="3"/>
            <x v="5"/>
            <x v="8"/>
            <x v="9"/>
            <x v="10"/>
            <x v="18"/>
            <x v="19"/>
            <x v="20"/>
            <x v="21"/>
            <x v="22"/>
            <x v="23"/>
            <x v="24"/>
            <x v="25"/>
            <x v="26"/>
            <x v="27"/>
            <x v="28"/>
            <x v="29"/>
            <x v="30"/>
            <x v="31"/>
            <x v="32"/>
            <x v="33"/>
          </reference>
        </references>
      </pivotArea>
    </format>
    <format dxfId="60">
      <pivotArea type="all" dataOnly="0" outline="0" fieldPosition="0"/>
    </format>
    <format dxfId="59">
      <pivotArea outline="0" collapsedLevelsAreSubtotals="1" fieldPosition="0"/>
    </format>
    <format dxfId="58">
      <pivotArea field="-2" type="button" dataOnly="0" labelOnly="1" outline="0" axis="axisRow" fieldPosition="0"/>
    </format>
    <format dxfId="57">
      <pivotArea dataOnly="0" labelOnly="1" outline="0" fieldPosition="0">
        <references count="1">
          <reference field="4294967294" count="11">
            <x v="2"/>
            <x v="4"/>
            <x v="6"/>
            <x v="7"/>
            <x v="11"/>
            <x v="12"/>
            <x v="13"/>
            <x v="14"/>
            <x v="15"/>
            <x v="16"/>
            <x v="17"/>
          </reference>
        </references>
      </pivotArea>
    </format>
    <format dxfId="56">
      <pivotArea dataOnly="0" labelOnly="1" outline="0" fieldPosition="0">
        <references count="1">
          <reference field="4294967294" count="23">
            <x v="0"/>
            <x v="1"/>
            <x v="3"/>
            <x v="5"/>
            <x v="8"/>
            <x v="9"/>
            <x v="10"/>
            <x v="18"/>
            <x v="19"/>
            <x v="20"/>
            <x v="21"/>
            <x v="22"/>
            <x v="23"/>
            <x v="24"/>
            <x v="25"/>
            <x v="26"/>
            <x v="27"/>
            <x v="28"/>
            <x v="29"/>
            <x v="30"/>
            <x v="31"/>
            <x v="32"/>
            <x v="33"/>
          </reference>
        </references>
      </pivotArea>
    </format>
    <format dxfId="55">
      <pivotArea dataOnly="0" labelOnly="1" grandCol="1" outline="0" axis="axisCol" fieldPosition="0"/>
    </format>
    <format dxfId="54">
      <pivotArea outline="0" collapsedLevelsAreSubtotals="1" fieldPosition="0"/>
    </format>
    <format dxfId="53">
      <pivotArea dataOnly="0" labelOnly="1" grandCol="1" outline="0" axis="axisCol" fieldPosition="0"/>
    </format>
    <format dxfId="52">
      <pivotArea dataOnly="0" labelOnly="1" outline="0" fieldPosition="0">
        <references count="1">
          <reference field="4294967294" count="11">
            <x v="2"/>
            <x v="4"/>
            <x v="6"/>
            <x v="7"/>
            <x v="11"/>
            <x v="12"/>
            <x v="13"/>
            <x v="14"/>
            <x v="15"/>
            <x v="16"/>
            <x v="17"/>
          </reference>
        </references>
      </pivotArea>
    </format>
    <format dxfId="51">
      <pivotArea dataOnly="0" labelOnly="1" outline="0" fieldPosition="0">
        <references count="1">
          <reference field="4294967294" count="23">
            <x v="0"/>
            <x v="1"/>
            <x v="3"/>
            <x v="5"/>
            <x v="8"/>
            <x v="9"/>
            <x v="10"/>
            <x v="18"/>
            <x v="19"/>
            <x v="20"/>
            <x v="21"/>
            <x v="22"/>
            <x v="23"/>
            <x v="24"/>
            <x v="25"/>
            <x v="26"/>
            <x v="27"/>
            <x v="28"/>
            <x v="29"/>
            <x v="30"/>
            <x v="31"/>
            <x v="32"/>
            <x v="33"/>
          </reference>
        </references>
      </pivotArea>
    </format>
    <format dxfId="50">
      <pivotArea field="-2" type="button" dataOnly="0" labelOnly="1" outline="0" axis="axisRow" fieldPosition="0"/>
    </format>
    <format dxfId="49">
      <pivotArea dataOnly="0" labelOnly="1" outline="0" fieldPosition="0">
        <references count="1">
          <reference field="4294967294" count="11">
            <x v="2"/>
            <x v="4"/>
            <x v="6"/>
            <x v="7"/>
            <x v="11"/>
            <x v="12"/>
            <x v="13"/>
            <x v="14"/>
            <x v="15"/>
            <x v="16"/>
            <x v="17"/>
          </reference>
        </references>
      </pivotArea>
    </format>
    <format dxfId="48">
      <pivotArea dataOnly="0" labelOnly="1" outline="0" fieldPosition="0">
        <references count="1">
          <reference field="4294967294" count="23">
            <x v="0"/>
            <x v="1"/>
            <x v="3"/>
            <x v="5"/>
            <x v="8"/>
            <x v="9"/>
            <x v="10"/>
            <x v="18"/>
            <x v="19"/>
            <x v="20"/>
            <x v="21"/>
            <x v="22"/>
            <x v="23"/>
            <x v="24"/>
            <x v="25"/>
            <x v="26"/>
            <x v="27"/>
            <x v="28"/>
            <x v="29"/>
            <x v="30"/>
            <x v="31"/>
            <x v="32"/>
            <x v="33"/>
          </reference>
        </references>
      </pivotArea>
    </format>
    <format dxfId="47">
      <pivotArea type="all" dataOnly="0" outline="0" fieldPosition="0"/>
    </format>
    <format dxfId="46">
      <pivotArea outline="0" collapsedLevelsAreSubtotals="1" fieldPosition="0"/>
    </format>
    <format dxfId="45">
      <pivotArea field="-2" type="button" dataOnly="0" labelOnly="1" outline="0" axis="axisRow" fieldPosition="0"/>
    </format>
    <format dxfId="44">
      <pivotArea dataOnly="0" labelOnly="1" outline="0" fieldPosition="0">
        <references count="1">
          <reference field="4294967294" count="14">
            <x v="0"/>
            <x v="1"/>
            <x v="2"/>
            <x v="4"/>
            <x v="5"/>
            <x v="6"/>
            <x v="7"/>
            <x v="11"/>
            <x v="12"/>
            <x v="13"/>
            <x v="14"/>
            <x v="15"/>
            <x v="16"/>
            <x v="17"/>
          </reference>
        </references>
      </pivotArea>
    </format>
    <format dxfId="43">
      <pivotArea dataOnly="0" labelOnly="1" outline="0" fieldPosition="0">
        <references count="1">
          <reference field="4294967294" count="20">
            <x v="3"/>
            <x v="8"/>
            <x v="9"/>
            <x v="10"/>
            <x v="18"/>
            <x v="19"/>
            <x v="20"/>
            <x v="21"/>
            <x v="22"/>
            <x v="23"/>
            <x v="24"/>
            <x v="25"/>
            <x v="26"/>
            <x v="27"/>
            <x v="28"/>
            <x v="29"/>
            <x v="30"/>
            <x v="31"/>
            <x v="32"/>
            <x v="33"/>
          </reference>
        </references>
      </pivotArea>
    </format>
    <format dxfId="42">
      <pivotArea dataOnly="0" labelOnly="1" grandCol="1" outline="0" axis="axisCol" fieldPosition="0"/>
    </format>
    <format dxfId="41">
      <pivotArea type="all" dataOnly="0" outline="0" fieldPosition="0"/>
    </format>
    <format dxfId="40">
      <pivotArea outline="0" collapsedLevelsAreSubtotals="1" fieldPosition="0"/>
    </format>
    <format dxfId="39">
      <pivotArea dataOnly="0" labelOnly="1" grandCol="1" outline="0" axis="axisCol" fieldPosition="0"/>
    </format>
    <format dxfId="38">
      <pivotArea dataOnly="0" labelOnly="1" outline="0" fieldPosition="0">
        <references count="1">
          <reference field="4294967294" count="14">
            <x v="0"/>
            <x v="1"/>
            <x v="2"/>
            <x v="4"/>
            <x v="5"/>
            <x v="6"/>
            <x v="7"/>
            <x v="11"/>
            <x v="12"/>
            <x v="13"/>
            <x v="14"/>
            <x v="15"/>
            <x v="16"/>
            <x v="17"/>
          </reference>
        </references>
      </pivotArea>
    </format>
    <format dxfId="37">
      <pivotArea dataOnly="0" labelOnly="1" outline="0" fieldPosition="0">
        <references count="1">
          <reference field="4294967294" count="20">
            <x v="3"/>
            <x v="8"/>
            <x v="9"/>
            <x v="10"/>
            <x v="18"/>
            <x v="19"/>
            <x v="20"/>
            <x v="21"/>
            <x v="22"/>
            <x v="23"/>
            <x v="24"/>
            <x v="25"/>
            <x v="26"/>
            <x v="27"/>
            <x v="28"/>
            <x v="29"/>
            <x v="30"/>
            <x v="31"/>
            <x v="32"/>
            <x v="33"/>
          </reference>
        </references>
      </pivotArea>
    </format>
    <format dxfId="36">
      <pivotArea field="-2" type="button" dataOnly="0" labelOnly="1" outline="0" axis="axisRow" fieldPosition="0"/>
    </format>
    <format dxfId="35">
      <pivotArea dataOnly="0" labelOnly="1" outline="0" fieldPosition="0">
        <references count="1">
          <reference field="4294967294" count="18">
            <x v="0"/>
            <x v="1"/>
            <x v="2"/>
            <x v="3"/>
            <x v="4"/>
            <x v="5"/>
            <x v="6"/>
            <x v="7"/>
            <x v="8"/>
            <x v="9"/>
            <x v="10"/>
            <x v="11"/>
            <x v="12"/>
            <x v="13"/>
            <x v="14"/>
            <x v="15"/>
            <x v="16"/>
            <x v="17"/>
          </reference>
        </references>
      </pivotArea>
    </format>
    <format dxfId="34">
      <pivotArea dataOnly="0" labelOnly="1" outline="0" fieldPosition="0">
        <references count="1">
          <reference field="4294967294" count="18">
            <x v="18"/>
            <x v="19"/>
            <x v="20"/>
            <x v="21"/>
            <x v="22"/>
            <x v="23"/>
            <x v="24"/>
            <x v="25"/>
            <x v="26"/>
            <x v="27"/>
            <x v="28"/>
            <x v="29"/>
            <x v="30"/>
            <x v="31"/>
            <x v="32"/>
            <x v="33"/>
            <x v="34"/>
            <x v="35"/>
          </reference>
        </references>
      </pivotArea>
    </format>
    <format dxfId="33">
      <pivotArea dataOnly="0" labelOnly="1" outline="0" fieldPosition="0">
        <references count="1">
          <reference field="4294967294" count="2">
            <x v="36"/>
            <x v="37"/>
          </reference>
        </references>
      </pivotArea>
    </format>
  </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14DFFC-11CF-4F05-874C-6F889B0F2E28}" name="PivotTable5" cacheId="1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F12" firstHeaderRow="0" firstDataRow="1" firstDataCol="1"/>
  <pivotFields count="9">
    <pivotField showAll="0"/>
    <pivotField showAll="0"/>
    <pivotField axis="axisRow" showAll="0">
      <items count="7">
        <item x="1"/>
        <item x="0"/>
        <item x="2"/>
        <item h="1" x="5"/>
        <item x="3"/>
        <item x="4"/>
        <item t="default"/>
      </items>
    </pivotField>
    <pivotField showAll="0"/>
    <pivotField showAll="0"/>
    <pivotField multipleItemSelectionAllowed="1" showAll="0"/>
    <pivotField showAll="0"/>
    <pivotField dataField="1" showAll="0"/>
    <pivotField dataField="1" showAll="0" avgSubtotal="1"/>
  </pivotFields>
  <rowFields count="1">
    <field x="2"/>
  </rowFields>
  <rowItems count="6">
    <i>
      <x/>
    </i>
    <i>
      <x v="1"/>
    </i>
    <i>
      <x v="2"/>
    </i>
    <i>
      <x v="4"/>
    </i>
    <i>
      <x v="5"/>
    </i>
    <i t="grand">
      <x/>
    </i>
  </rowItems>
  <colFields count="1">
    <field x="-2"/>
  </colFields>
  <colItems count="2">
    <i>
      <x/>
    </i>
    <i i="1">
      <x v="1"/>
    </i>
  </colItems>
  <dataFields count="2">
    <dataField name="Count of Case/INQ" fld="7" subtotal="count" baseField="0" baseItem="0"/>
    <dataField name="Average of QA Score" fld="8" subtotal="average" baseField="3" baseItem="1" numFmtId="10"/>
  </dataFields>
  <formats count="13">
    <format dxfId="79">
      <pivotArea type="all" dataOnly="0" outline="0" fieldPosition="0"/>
    </format>
    <format dxfId="78">
      <pivotArea outline="0" collapsedLevelsAreSubtotals="1" fieldPosition="0"/>
    </format>
    <format dxfId="77">
      <pivotArea field="2" type="button" dataOnly="0" labelOnly="1" outline="0" axis="axisRow" fieldPosition="0"/>
    </format>
    <format dxfId="76">
      <pivotArea dataOnly="0" labelOnly="1" fieldPosition="0">
        <references count="1">
          <reference field="2" count="0"/>
        </references>
      </pivotArea>
    </format>
    <format dxfId="75">
      <pivotArea dataOnly="0" labelOnly="1" grandRow="1" outline="0" fieldPosition="0"/>
    </format>
    <format dxfId="74">
      <pivotArea dataOnly="0" labelOnly="1" outline="0" fieldPosition="0">
        <references count="1">
          <reference field="4294967294" count="2">
            <x v="0"/>
            <x v="1"/>
          </reference>
        </references>
      </pivotArea>
    </format>
    <format dxfId="73">
      <pivotArea type="all" dataOnly="0" outline="0" fieldPosition="0"/>
    </format>
    <format dxfId="72">
      <pivotArea outline="0" collapsedLevelsAreSubtotals="1" fieldPosition="0"/>
    </format>
    <format dxfId="71">
      <pivotArea field="2" type="button" dataOnly="0" labelOnly="1" outline="0" axis="axisRow" fieldPosition="0"/>
    </format>
    <format dxfId="70">
      <pivotArea dataOnly="0" labelOnly="1" fieldPosition="0">
        <references count="1">
          <reference field="2" count="0"/>
        </references>
      </pivotArea>
    </format>
    <format dxfId="69">
      <pivotArea dataOnly="0" labelOnly="1" grandRow="1" outline="0" fieldPosition="0"/>
    </format>
    <format dxfId="68">
      <pivotArea dataOnly="0" labelOnly="1" outline="0" fieldPosition="0">
        <references count="1">
          <reference field="4294967294" count="2">
            <x v="0"/>
            <x v="1"/>
          </reference>
        </references>
      </pivotArea>
    </format>
    <format dxfId="67">
      <pivotArea dataOnly="0"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780C6C-C53F-4C81-B2EB-89111C9F8F5F}" name="PivotTable3" cacheId="1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X49" firstHeaderRow="0" firstDataRow="1" firstDataCol="1" rowPageCount="1" colPageCount="1"/>
  <pivotFields count="110">
    <pivotField axis="axisPage" showAll="0">
      <items count="4">
        <item x="0"/>
        <item x="1"/>
        <item x="2"/>
        <item t="default"/>
      </items>
    </pivotField>
    <pivotField showAll="0"/>
    <pivotField showAll="0"/>
    <pivotField showAll="0"/>
    <pivotField showAll="0"/>
    <pivotField axis="axisRow" showAll="0">
      <items count="41">
        <item x="0"/>
        <item x="13"/>
        <item x="8"/>
        <item x="1"/>
        <item x="14"/>
        <item x="26"/>
        <item x="6"/>
        <item x="3"/>
        <item x="21"/>
        <item x="23"/>
        <item x="29"/>
        <item x="17"/>
        <item x="28"/>
        <item x="7"/>
        <item x="25"/>
        <item x="4"/>
        <item x="16"/>
        <item x="5"/>
        <item x="15"/>
        <item x="12"/>
        <item x="18"/>
        <item x="11"/>
        <item x="19"/>
        <item x="10"/>
        <item x="9"/>
        <item x="2"/>
        <item x="27"/>
        <item x="24"/>
        <item x="22"/>
        <item x="20"/>
        <item x="39"/>
        <item x="30"/>
        <item x="31"/>
        <item x="32"/>
        <item x="33"/>
        <item x="34"/>
        <item x="35"/>
        <item x="36"/>
        <item x="37"/>
        <item x="38"/>
        <item t="default"/>
      </items>
    </pivotField>
    <pivotField axis="axisRow" showAll="0">
      <items count="8">
        <item x="4"/>
        <item x="1"/>
        <item x="0"/>
        <item x="3"/>
        <item x="2"/>
        <item h="1" x="5"/>
        <item h="1" x="6"/>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s>
  <rowFields count="2">
    <field x="6"/>
    <field x="5"/>
  </rowFields>
  <rowItems count="45">
    <i>
      <x/>
    </i>
    <i r="1">
      <x v="5"/>
    </i>
    <i r="1">
      <x v="10"/>
    </i>
    <i r="1">
      <x v="12"/>
    </i>
    <i r="1">
      <x v="26"/>
    </i>
    <i>
      <x v="1"/>
    </i>
    <i r="1">
      <x v="3"/>
    </i>
    <i r="1">
      <x v="9"/>
    </i>
    <i r="1">
      <x v="13"/>
    </i>
    <i r="1">
      <x v="15"/>
    </i>
    <i r="1">
      <x v="25"/>
    </i>
    <i r="1">
      <x v="28"/>
    </i>
    <i>
      <x v="2"/>
    </i>
    <i r="1">
      <x/>
    </i>
    <i r="1">
      <x v="17"/>
    </i>
    <i>
      <x v="3"/>
    </i>
    <i r="1">
      <x v="1"/>
    </i>
    <i r="1">
      <x v="11"/>
    </i>
    <i r="1">
      <x v="14"/>
    </i>
    <i r="1">
      <x v="16"/>
    </i>
    <i r="1">
      <x v="18"/>
    </i>
    <i r="1">
      <x v="19"/>
    </i>
    <i r="1">
      <x v="20"/>
    </i>
    <i r="1">
      <x v="21"/>
    </i>
    <i r="1">
      <x v="22"/>
    </i>
    <i r="1">
      <x v="23"/>
    </i>
    <i r="1">
      <x v="24"/>
    </i>
    <i r="1">
      <x v="27"/>
    </i>
    <i r="1">
      <x v="29"/>
    </i>
    <i r="1">
      <x v="31"/>
    </i>
    <i r="1">
      <x v="32"/>
    </i>
    <i r="1">
      <x v="33"/>
    </i>
    <i r="1">
      <x v="34"/>
    </i>
    <i r="1">
      <x v="38"/>
    </i>
    <i>
      <x v="4"/>
    </i>
    <i r="1">
      <x v="2"/>
    </i>
    <i r="1">
      <x v="4"/>
    </i>
    <i r="1">
      <x v="6"/>
    </i>
    <i r="1">
      <x v="7"/>
    </i>
    <i r="1">
      <x v="8"/>
    </i>
    <i r="1">
      <x v="35"/>
    </i>
    <i r="1">
      <x v="36"/>
    </i>
    <i r="1">
      <x v="37"/>
    </i>
    <i r="1">
      <x v="39"/>
    </i>
    <i t="grand">
      <x/>
    </i>
  </rowItems>
  <colFields count="1">
    <field x="-2"/>
  </colFields>
  <colItems count="23">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colItems>
  <pageFields count="1">
    <pageField fld="0" hier="-1"/>
  </pageFields>
  <dataFields count="23">
    <dataField name="Sum of Agent did not obtain Caller's Location, if not member (e.g., MDO, LTC, Hospice)." fld="16" baseField="0" baseItem="0"/>
    <dataField name="Sum of Agent did not obtain Caller's callback number." fld="17" baseField="0" baseItem="0"/>
    <dataField name="Sum of Agent did not ask for a third identifier if member ID is not available" fld="19" baseField="0" baseItem="0"/>
    <dataField name="Sum of Agent did not leverage the Identify Provider and Drug and/or Pharmacy from Member Claims to identify the provider, target drug, and pharmacy." fld="42" baseField="0" baseItem="0"/>
    <dataField name="Sum of Agent did not pull up the case history and provide the correct status of case for the target drug" fld="43" baseField="0" baseItem="0"/>
    <dataField name="Sum of Agent did not requests permission from the caller before placing them on hold." fld="92" baseField="0" baseItem="0"/>
    <dataField name="Sum of Agent did not thank the caller for holding upon returning to the caller." fld="94" baseField="0" baseItem="0"/>
    <dataField name="Sum of Agent placed the caller on hold at the start of the call." fld="95" baseField="0" baseItem="0"/>
    <dataField name="Sum of Exceeded Limit of five seconds before the greeting of the call." fld="97" baseField="0" baseItem="0"/>
    <dataField name="Sum of Exceeded Limit of twenty seconds of unannounced silence." fld="98" baseField="0" baseItem="0"/>
    <dataField name="Sum of Exceeded Limit of fifty seconds of announced silence." fld="99" baseField="0" baseItem="0"/>
    <dataField name="Sum of Explain the reason/need to transfer the caller." fld="100" baseField="0" baseItem="0"/>
    <dataField name="Sum of Gain permission from the caller to transfer." fld="101" baseField="0" baseItem="0"/>
    <dataField name="Sum of For internal transfers, agent did not provide the name and number (if available) of the department the caller is being transferred to, and for external Provide the name and number of the department caller is being transferred to." fld="102" baseField="0" baseItem="0"/>
    <dataField name="Sum of Agent did not warm and cold transfer according to current policy. " fld="103" baseField="0" baseItem="0"/>
    <dataField name="Sum of The agent will did not speak clearly without mumbling, using jargon, or slang." fld="104" baseField="0" baseItem="0"/>
    <dataField name="Sum of The agent did not adapt to the caller’s needs through the pace of their speech and the volume of their voice, as appropriate." fld="105" baseField="0" baseItem="0"/>
    <dataField name="Sum of The agent did not avoid using terms of endearment when addressing the caller (e.g., honey, dear)." fld="106" baseField="0" baseItem="0"/>
    <dataField name="Sum of The agent did not use appropriate and professional language." fld="107" baseField="0" baseItem="0"/>
    <dataField name="Sum of The agent did not correctly update the urgency on a pending case, if requested." fld="49" baseField="0" baseItem="0"/>
    <dataField name="Sum of False documentation" fld="61" baseField="0" baseItem="0"/>
    <dataField name="Sum of Agent changed the intent of the initial trial claim" fld="77" baseField="0" baseItem="0"/>
    <dataField name="Sum of Agent did not return to the caller from hold after the initial 2mins" fld="96" baseField="0" baseItem="0"/>
  </dataFields>
  <formats count="13">
    <format dxfId="32">
      <pivotArea field="5" type="button" dataOnly="0" labelOnly="1" outline="0" axis="axisRow" fieldPosition="1"/>
    </format>
    <format dxfId="31">
      <pivotArea dataOnly="0" labelOnly="1" outline="0" fieldPosition="0">
        <references count="1">
          <reference field="4294967294" count="5">
            <x v="0"/>
            <x v="1"/>
            <x v="2"/>
            <x v="3"/>
            <x v="4"/>
          </reference>
        </references>
      </pivotArea>
    </format>
    <format dxfId="30">
      <pivotArea dataOnly="0" labelOnly="1" outline="0" fieldPosition="0">
        <references count="1">
          <reference field="4294967294" count="14">
            <x v="5"/>
            <x v="6"/>
            <x v="7"/>
            <x v="8"/>
            <x v="9"/>
            <x v="10"/>
            <x v="11"/>
            <x v="12"/>
            <x v="13"/>
            <x v="14"/>
            <x v="15"/>
            <x v="16"/>
            <x v="17"/>
            <x v="18"/>
          </reference>
        </references>
      </pivotArea>
    </format>
    <format dxfId="29">
      <pivotArea type="all" dataOnly="0" outline="0" fieldPosition="0"/>
    </format>
    <format dxfId="28">
      <pivotArea outline="0" collapsedLevelsAreSubtotals="1" fieldPosition="0"/>
    </format>
    <format dxfId="27">
      <pivotArea field="5" type="button" dataOnly="0" labelOnly="1" outline="0" axis="axisRow" fieldPosition="1"/>
    </format>
    <format dxfId="26">
      <pivotArea dataOnly="0" labelOnly="1" fieldPosition="0">
        <references count="1">
          <reference field="5" count="0"/>
        </references>
      </pivotArea>
    </format>
    <format dxfId="25">
      <pivotArea dataOnly="0" labelOnly="1" grandRow="1" outline="0" fieldPosition="0"/>
    </format>
    <format dxfId="24">
      <pivotArea dataOnly="0" labelOnly="1" outline="0" fieldPosition="0">
        <references count="1">
          <reference field="4294967294" count="5">
            <x v="0"/>
            <x v="1"/>
            <x v="2"/>
            <x v="3"/>
            <x v="4"/>
          </reference>
        </references>
      </pivotArea>
    </format>
    <format dxfId="23">
      <pivotArea dataOnly="0" labelOnly="1" outline="0" fieldPosition="0">
        <references count="1">
          <reference field="4294967294" count="14">
            <x v="5"/>
            <x v="6"/>
            <x v="7"/>
            <x v="8"/>
            <x v="9"/>
            <x v="10"/>
            <x v="11"/>
            <x v="12"/>
            <x v="13"/>
            <x v="14"/>
            <x v="15"/>
            <x v="16"/>
            <x v="17"/>
            <x v="18"/>
          </reference>
        </references>
      </pivotArea>
    </format>
    <format dxfId="22">
      <pivotArea field="5" type="button" dataOnly="0" labelOnly="1" outline="0" axis="axisRow" fieldPosition="1"/>
    </format>
    <format dxfId="21">
      <pivotArea dataOnly="0" labelOnly="1" outline="0" fieldPosition="0">
        <references count="1">
          <reference field="4294967294" count="5">
            <x v="0"/>
            <x v="1"/>
            <x v="2"/>
            <x v="3"/>
            <x v="4"/>
          </reference>
        </references>
      </pivotArea>
    </format>
    <format dxfId="20">
      <pivotArea dataOnly="0" labelOnly="1" outline="0" fieldPosition="0">
        <references count="1">
          <reference field="4294967294" count="14">
            <x v="5"/>
            <x v="6"/>
            <x v="7"/>
            <x v="8"/>
            <x v="9"/>
            <x v="10"/>
            <x v="11"/>
            <x v="12"/>
            <x v="13"/>
            <x v="14"/>
            <x v="15"/>
            <x v="16"/>
            <x v="17"/>
            <x v="1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D4498-246C-4891-A6A8-E8DE4B6C8260}">
  <dimension ref="A1:I145"/>
  <sheetViews>
    <sheetView tabSelected="1" topLeftCell="A8" zoomScale="70" zoomScaleNormal="70" workbookViewId="0">
      <selection activeCell="C58" sqref="C58"/>
    </sheetView>
  </sheetViews>
  <sheetFormatPr defaultRowHeight="14.5" x14ac:dyDescent="0.35"/>
  <cols>
    <col min="1" max="1" width="32.26953125" style="3" customWidth="1"/>
    <col min="2" max="2" width="11.7265625" customWidth="1"/>
    <col min="3" max="3" width="100.08984375" style="33" customWidth="1"/>
    <col min="4" max="4" width="15.26953125" customWidth="1"/>
    <col min="5" max="5" width="14.453125" style="2" customWidth="1"/>
    <col min="6" max="6" width="7" style="2" customWidth="1"/>
    <col min="7" max="7" width="40.453125" style="3" customWidth="1"/>
    <col min="8" max="8" width="23.453125" customWidth="1"/>
    <col min="9" max="9" width="24.54296875" customWidth="1"/>
  </cols>
  <sheetData>
    <row r="1" spans="1:8" ht="25.5" customHeight="1" x14ac:dyDescent="0.35">
      <c r="A1" s="20" t="s">
        <v>105</v>
      </c>
      <c r="B1" s="253"/>
      <c r="C1" s="254"/>
    </row>
    <row r="2" spans="1:8" ht="29.5" customHeight="1" x14ac:dyDescent="0.35">
      <c r="A2" s="21" t="s">
        <v>226</v>
      </c>
      <c r="B2" s="255"/>
      <c r="C2" s="256"/>
    </row>
    <row r="3" spans="1:8" ht="25.5" customHeight="1" x14ac:dyDescent="0.35">
      <c r="A3" s="21" t="s">
        <v>106</v>
      </c>
      <c r="B3" s="257"/>
      <c r="C3" s="258"/>
    </row>
    <row r="4" spans="1:8" ht="29.15" customHeight="1" x14ac:dyDescent="0.35">
      <c r="A4" s="21" t="s">
        <v>107</v>
      </c>
      <c r="B4" s="255"/>
      <c r="C4" s="256"/>
    </row>
    <row r="5" spans="1:8" ht="28" customHeight="1" x14ac:dyDescent="0.35">
      <c r="A5" s="21" t="s">
        <v>108</v>
      </c>
      <c r="B5" s="255"/>
      <c r="C5" s="256"/>
    </row>
    <row r="6" spans="1:8" ht="25" customHeight="1" x14ac:dyDescent="0.35">
      <c r="A6" s="21" t="s">
        <v>109</v>
      </c>
      <c r="B6" s="259"/>
      <c r="C6" s="260"/>
    </row>
    <row r="7" spans="1:8" ht="26.5" thickBot="1" x14ac:dyDescent="0.4">
      <c r="A7" s="22" t="s">
        <v>208</v>
      </c>
      <c r="B7" s="261"/>
      <c r="C7" s="262"/>
      <c r="G7" s="31"/>
    </row>
    <row r="8" spans="1:8" ht="26.5" thickBot="1" x14ac:dyDescent="0.65">
      <c r="A8" s="265" t="s">
        <v>227</v>
      </c>
      <c r="B8" s="266"/>
      <c r="C8" s="266"/>
      <c r="D8" s="266"/>
      <c r="E8" s="266"/>
      <c r="F8" s="32"/>
      <c r="G8" s="228" t="s">
        <v>228</v>
      </c>
      <c r="H8" s="228"/>
    </row>
    <row r="9" spans="1:8" ht="19" thickBot="1" x14ac:dyDescent="0.4">
      <c r="A9" s="6" t="s">
        <v>214</v>
      </c>
      <c r="B9" s="263" t="s">
        <v>0</v>
      </c>
      <c r="C9" s="264"/>
      <c r="D9" s="9" t="s">
        <v>215</v>
      </c>
      <c r="E9" s="8" t="s">
        <v>216</v>
      </c>
      <c r="F9" s="78"/>
      <c r="G9" s="4" t="s">
        <v>0</v>
      </c>
      <c r="H9" s="9" t="s">
        <v>215</v>
      </c>
    </row>
    <row r="10" spans="1:8" ht="15.5" x14ac:dyDescent="0.35">
      <c r="A10" s="238" t="s">
        <v>1</v>
      </c>
      <c r="B10" s="166" t="s">
        <v>2</v>
      </c>
      <c r="C10" s="182" t="s">
        <v>3</v>
      </c>
      <c r="D10" s="10" t="s">
        <v>218</v>
      </c>
      <c r="E10" s="235">
        <v>1</v>
      </c>
      <c r="F10" s="79"/>
      <c r="G10" s="36" t="s">
        <v>229</v>
      </c>
      <c r="H10" s="10" t="s">
        <v>218</v>
      </c>
    </row>
    <row r="11" spans="1:8" ht="16" thickBot="1" x14ac:dyDescent="0.4">
      <c r="A11" s="240"/>
      <c r="B11" s="167" t="s">
        <v>4</v>
      </c>
      <c r="C11" s="183" t="s">
        <v>5</v>
      </c>
      <c r="D11" s="11" t="s">
        <v>218</v>
      </c>
      <c r="E11" s="237"/>
      <c r="F11" s="80"/>
      <c r="G11" s="37"/>
      <c r="H11" s="38"/>
    </row>
    <row r="12" spans="1:8" ht="15.5" customHeight="1" x14ac:dyDescent="0.35">
      <c r="A12" s="238" t="s">
        <v>6</v>
      </c>
      <c r="B12" s="166" t="s">
        <v>2</v>
      </c>
      <c r="C12" s="182" t="s">
        <v>7</v>
      </c>
      <c r="D12" s="10" t="s">
        <v>218</v>
      </c>
      <c r="E12" s="235">
        <v>2</v>
      </c>
      <c r="F12" s="79"/>
      <c r="G12" s="37"/>
      <c r="H12" s="38"/>
    </row>
    <row r="13" spans="1:8" ht="15.5" x14ac:dyDescent="0.35">
      <c r="A13" s="239"/>
      <c r="B13" s="168" t="s">
        <v>4</v>
      </c>
      <c r="C13" s="184" t="s">
        <v>8</v>
      </c>
      <c r="D13" s="12" t="s">
        <v>218</v>
      </c>
      <c r="E13" s="236"/>
      <c r="F13" s="81"/>
      <c r="G13" s="37"/>
      <c r="H13" s="38"/>
    </row>
    <row r="14" spans="1:8" ht="16" thickBot="1" x14ac:dyDescent="0.4">
      <c r="A14" s="267"/>
      <c r="B14" s="167" t="s">
        <v>9</v>
      </c>
      <c r="C14" s="183" t="s">
        <v>10</v>
      </c>
      <c r="D14" s="12" t="s">
        <v>218</v>
      </c>
      <c r="E14" s="268"/>
      <c r="F14" s="80"/>
      <c r="G14" s="37"/>
      <c r="H14" s="38"/>
    </row>
    <row r="15" spans="1:8" ht="16" customHeight="1" thickBot="1" x14ac:dyDescent="0.4">
      <c r="A15" s="240"/>
      <c r="B15" s="169" t="s">
        <v>15</v>
      </c>
      <c r="C15" s="185" t="s">
        <v>2428</v>
      </c>
      <c r="D15" s="12" t="s">
        <v>218</v>
      </c>
      <c r="E15" s="237"/>
      <c r="F15" s="80"/>
      <c r="G15" s="37"/>
      <c r="H15" s="38"/>
    </row>
    <row r="16" spans="1:8" ht="15.65" customHeight="1" thickBot="1" x14ac:dyDescent="0.4">
      <c r="A16" s="247" t="s">
        <v>11</v>
      </c>
      <c r="B16" s="166" t="s">
        <v>2</v>
      </c>
      <c r="C16" s="182" t="s">
        <v>12</v>
      </c>
      <c r="D16" s="10" t="s">
        <v>218</v>
      </c>
      <c r="E16" s="235">
        <v>7</v>
      </c>
      <c r="F16" s="79"/>
      <c r="G16" s="36" t="s">
        <v>230</v>
      </c>
      <c r="H16" s="10" t="s">
        <v>218</v>
      </c>
    </row>
    <row r="17" spans="1:8" ht="15.65" customHeight="1" thickBot="1" x14ac:dyDescent="0.4">
      <c r="A17" s="248"/>
      <c r="B17" s="168" t="s">
        <v>4</v>
      </c>
      <c r="C17" s="184" t="s">
        <v>13</v>
      </c>
      <c r="D17" s="12" t="s">
        <v>218</v>
      </c>
      <c r="E17" s="236"/>
      <c r="F17" s="81"/>
      <c r="G17" s="36" t="s">
        <v>231</v>
      </c>
      <c r="H17" s="10" t="s">
        <v>218</v>
      </c>
    </row>
    <row r="18" spans="1:8" ht="15.65" customHeight="1" x14ac:dyDescent="0.35">
      <c r="A18" s="248"/>
      <c r="B18" s="168" t="s">
        <v>9</v>
      </c>
      <c r="C18" s="184" t="s">
        <v>14</v>
      </c>
      <c r="D18" s="12" t="s">
        <v>218</v>
      </c>
      <c r="E18" s="236"/>
      <c r="F18" s="81"/>
      <c r="G18" s="36" t="s">
        <v>232</v>
      </c>
      <c r="H18" s="10" t="s">
        <v>218</v>
      </c>
    </row>
    <row r="19" spans="1:8" ht="15.65" customHeight="1" x14ac:dyDescent="0.35">
      <c r="A19" s="248"/>
      <c r="B19" s="168" t="s">
        <v>15</v>
      </c>
      <c r="C19" s="184" t="s">
        <v>16</v>
      </c>
      <c r="D19" s="12" t="s">
        <v>218</v>
      </c>
      <c r="E19" s="236"/>
      <c r="F19" s="81"/>
      <c r="G19" s="37"/>
      <c r="H19" s="38"/>
    </row>
    <row r="20" spans="1:8" ht="16" customHeight="1" thickBot="1" x14ac:dyDescent="0.4">
      <c r="A20" s="249"/>
      <c r="B20" s="167" t="s">
        <v>17</v>
      </c>
      <c r="C20" s="183" t="s">
        <v>18</v>
      </c>
      <c r="D20" s="11" t="s">
        <v>218</v>
      </c>
      <c r="E20" s="237"/>
      <c r="F20" s="80"/>
      <c r="G20" s="37"/>
      <c r="H20" s="38"/>
    </row>
    <row r="21" spans="1:8" ht="16" customHeight="1" x14ac:dyDescent="0.35">
      <c r="A21" s="247" t="s">
        <v>19</v>
      </c>
      <c r="B21" s="166" t="s">
        <v>2</v>
      </c>
      <c r="C21" s="186" t="s">
        <v>20</v>
      </c>
      <c r="D21" s="10" t="s">
        <v>218</v>
      </c>
      <c r="E21" s="229">
        <v>7</v>
      </c>
      <c r="F21" s="82"/>
      <c r="G21" s="37"/>
      <c r="H21" s="38"/>
    </row>
    <row r="22" spans="1:8" ht="15.5" customHeight="1" x14ac:dyDescent="0.35">
      <c r="A22" s="248"/>
      <c r="B22" s="168" t="s">
        <v>4</v>
      </c>
      <c r="C22" s="184" t="s">
        <v>21</v>
      </c>
      <c r="D22" s="12" t="s">
        <v>218</v>
      </c>
      <c r="E22" s="230"/>
      <c r="F22" s="82"/>
      <c r="G22" s="37"/>
      <c r="H22" s="38"/>
    </row>
    <row r="23" spans="1:8" ht="15.5" customHeight="1" x14ac:dyDescent="0.35">
      <c r="A23" s="248"/>
      <c r="B23" s="168" t="s">
        <v>9</v>
      </c>
      <c r="C23" s="187" t="s">
        <v>22</v>
      </c>
      <c r="D23" s="12" t="s">
        <v>218</v>
      </c>
      <c r="E23" s="230"/>
      <c r="F23" s="82"/>
      <c r="G23" s="37"/>
      <c r="H23" s="38"/>
    </row>
    <row r="24" spans="1:8" ht="15.5" customHeight="1" x14ac:dyDescent="0.35">
      <c r="A24" s="248"/>
      <c r="B24" s="168" t="s">
        <v>15</v>
      </c>
      <c r="C24" s="184" t="s">
        <v>23</v>
      </c>
      <c r="D24" s="12" t="s">
        <v>218</v>
      </c>
      <c r="E24" s="230"/>
      <c r="F24" s="82"/>
      <c r="G24" s="37"/>
      <c r="H24" s="38"/>
    </row>
    <row r="25" spans="1:8" ht="15.5" customHeight="1" x14ac:dyDescent="0.35">
      <c r="A25" s="248"/>
      <c r="B25" s="168" t="s">
        <v>17</v>
      </c>
      <c r="C25" s="184" t="s">
        <v>24</v>
      </c>
      <c r="D25" s="12" t="s">
        <v>218</v>
      </c>
      <c r="E25" s="230"/>
      <c r="F25" s="82"/>
      <c r="G25" s="37"/>
      <c r="H25" s="38"/>
    </row>
    <row r="26" spans="1:8" ht="15.5" customHeight="1" x14ac:dyDescent="0.35">
      <c r="A26" s="248"/>
      <c r="B26" s="168" t="s">
        <v>25</v>
      </c>
      <c r="C26" s="187" t="s">
        <v>26</v>
      </c>
      <c r="D26" s="12" t="s">
        <v>218</v>
      </c>
      <c r="E26" s="230"/>
      <c r="F26" s="82"/>
      <c r="G26" s="37"/>
      <c r="H26" s="38"/>
    </row>
    <row r="27" spans="1:8" ht="16" customHeight="1" thickBot="1" x14ac:dyDescent="0.4">
      <c r="A27" s="249"/>
      <c r="B27" s="167" t="s">
        <v>27</v>
      </c>
      <c r="C27" s="188" t="s">
        <v>18</v>
      </c>
      <c r="D27" s="11" t="s">
        <v>218</v>
      </c>
      <c r="E27" s="231"/>
      <c r="F27" s="82"/>
      <c r="G27" s="37"/>
      <c r="H27" s="38"/>
    </row>
    <row r="28" spans="1:8" ht="15.65" customHeight="1" x14ac:dyDescent="0.35">
      <c r="A28" s="247" t="s">
        <v>28</v>
      </c>
      <c r="B28" s="166" t="s">
        <v>2</v>
      </c>
      <c r="C28" s="189" t="s">
        <v>29</v>
      </c>
      <c r="D28" s="10" t="s">
        <v>218</v>
      </c>
      <c r="E28" s="235">
        <v>7</v>
      </c>
      <c r="F28" s="79"/>
      <c r="G28" s="37"/>
      <c r="H28" s="38"/>
    </row>
    <row r="29" spans="1:8" ht="15.65" customHeight="1" x14ac:dyDescent="0.35">
      <c r="A29" s="248"/>
      <c r="B29" s="168" t="s">
        <v>4</v>
      </c>
      <c r="C29" s="187" t="s">
        <v>30</v>
      </c>
      <c r="D29" s="12" t="s">
        <v>218</v>
      </c>
      <c r="E29" s="236"/>
      <c r="F29" s="81"/>
      <c r="G29" s="37"/>
      <c r="H29" s="38"/>
    </row>
    <row r="30" spans="1:8" ht="15.65" customHeight="1" x14ac:dyDescent="0.35">
      <c r="A30" s="248"/>
      <c r="B30" s="168" t="s">
        <v>9</v>
      </c>
      <c r="C30" s="187" t="s">
        <v>31</v>
      </c>
      <c r="D30" s="12" t="s">
        <v>218</v>
      </c>
      <c r="E30" s="236"/>
      <c r="F30" s="81"/>
      <c r="G30" s="37"/>
      <c r="H30" s="38"/>
    </row>
    <row r="31" spans="1:8" ht="16" customHeight="1" thickBot="1" x14ac:dyDescent="0.4">
      <c r="A31" s="249"/>
      <c r="B31" s="167" t="s">
        <v>15</v>
      </c>
      <c r="C31" s="188" t="s">
        <v>18</v>
      </c>
      <c r="D31" s="11" t="s">
        <v>218</v>
      </c>
      <c r="E31" s="237"/>
      <c r="F31" s="80"/>
      <c r="G31" s="37"/>
      <c r="H31" s="38"/>
    </row>
    <row r="32" spans="1:8" ht="19" customHeight="1" x14ac:dyDescent="0.35">
      <c r="A32" s="247" t="s">
        <v>32</v>
      </c>
      <c r="B32" s="166" t="s">
        <v>2</v>
      </c>
      <c r="C32" s="189" t="s">
        <v>33</v>
      </c>
      <c r="D32" s="10" t="s">
        <v>218</v>
      </c>
      <c r="E32" s="235">
        <v>6</v>
      </c>
      <c r="F32" s="79"/>
      <c r="G32" s="37"/>
      <c r="H32" s="38"/>
    </row>
    <row r="33" spans="1:8" ht="31.5" thickBot="1" x14ac:dyDescent="0.4">
      <c r="A33" s="249"/>
      <c r="B33" s="167" t="s">
        <v>4</v>
      </c>
      <c r="C33" s="188" t="s">
        <v>34</v>
      </c>
      <c r="D33" s="11" t="s">
        <v>218</v>
      </c>
      <c r="E33" s="237"/>
      <c r="F33" s="80"/>
      <c r="G33" s="37"/>
      <c r="H33" s="38"/>
    </row>
    <row r="34" spans="1:8" ht="15.5" x14ac:dyDescent="0.35">
      <c r="A34" s="238" t="s">
        <v>35</v>
      </c>
      <c r="B34" s="166" t="s">
        <v>2</v>
      </c>
      <c r="C34" s="182" t="s">
        <v>36</v>
      </c>
      <c r="D34" s="10" t="s">
        <v>218</v>
      </c>
      <c r="E34" s="235">
        <v>1</v>
      </c>
      <c r="F34" s="79"/>
      <c r="G34" s="37"/>
      <c r="H34" s="38"/>
    </row>
    <row r="35" spans="1:8" ht="31" x14ac:dyDescent="0.35">
      <c r="A35" s="239"/>
      <c r="B35" s="168" t="s">
        <v>4</v>
      </c>
      <c r="C35" s="184" t="s">
        <v>37</v>
      </c>
      <c r="D35" s="12" t="s">
        <v>218</v>
      </c>
      <c r="E35" s="236"/>
      <c r="F35" s="81"/>
      <c r="G35" s="37"/>
      <c r="H35" s="38"/>
    </row>
    <row r="36" spans="1:8" ht="16" thickBot="1" x14ac:dyDescent="0.4">
      <c r="A36" s="240"/>
      <c r="B36" s="167" t="s">
        <v>9</v>
      </c>
      <c r="C36" s="183" t="s">
        <v>38</v>
      </c>
      <c r="D36" s="11" t="s">
        <v>218</v>
      </c>
      <c r="E36" s="237"/>
      <c r="F36" s="80"/>
      <c r="G36" s="37"/>
      <c r="H36" s="38"/>
    </row>
    <row r="37" spans="1:8" ht="16" thickBot="1" x14ac:dyDescent="0.4">
      <c r="A37" s="241" t="s">
        <v>39</v>
      </c>
      <c r="B37" s="170" t="s">
        <v>2</v>
      </c>
      <c r="C37" s="190" t="s">
        <v>40</v>
      </c>
      <c r="D37" s="159" t="s">
        <v>218</v>
      </c>
      <c r="E37" s="244">
        <v>6</v>
      </c>
      <c r="F37" s="79"/>
      <c r="G37" s="36" t="s">
        <v>234</v>
      </c>
      <c r="H37" s="10" t="s">
        <v>218</v>
      </c>
    </row>
    <row r="38" spans="1:8" ht="19" customHeight="1" x14ac:dyDescent="0.35">
      <c r="A38" s="242"/>
      <c r="B38" s="171" t="s">
        <v>4</v>
      </c>
      <c r="C38" s="191" t="s">
        <v>41</v>
      </c>
      <c r="D38" s="160" t="s">
        <v>218</v>
      </c>
      <c r="E38" s="245"/>
      <c r="F38" s="81"/>
      <c r="G38" s="36" t="s">
        <v>235</v>
      </c>
      <c r="H38" s="10" t="s">
        <v>218</v>
      </c>
    </row>
    <row r="39" spans="1:8" ht="31" x14ac:dyDescent="0.35">
      <c r="A39" s="242"/>
      <c r="B39" s="171" t="s">
        <v>9</v>
      </c>
      <c r="C39" s="192" t="s">
        <v>42</v>
      </c>
      <c r="D39" s="160" t="s">
        <v>218</v>
      </c>
      <c r="E39" s="245"/>
      <c r="F39" s="81"/>
      <c r="G39" s="37"/>
      <c r="H39" s="38"/>
    </row>
    <row r="40" spans="1:8" ht="15.5" x14ac:dyDescent="0.35">
      <c r="A40" s="242"/>
      <c r="B40" s="171" t="s">
        <v>15</v>
      </c>
      <c r="C40" s="191" t="s">
        <v>43</v>
      </c>
      <c r="D40" s="160" t="s">
        <v>218</v>
      </c>
      <c r="E40" s="245"/>
      <c r="F40" s="81"/>
      <c r="G40" s="37"/>
      <c r="H40" s="38"/>
    </row>
    <row r="41" spans="1:8" ht="15.5" x14ac:dyDescent="0.35">
      <c r="A41" s="242"/>
      <c r="B41" s="171" t="s">
        <v>17</v>
      </c>
      <c r="C41" s="191" t="s">
        <v>44</v>
      </c>
      <c r="D41" s="160" t="s">
        <v>218</v>
      </c>
      <c r="E41" s="245"/>
      <c r="F41" s="81"/>
      <c r="G41" s="37"/>
      <c r="H41" s="38"/>
    </row>
    <row r="42" spans="1:8" ht="31" x14ac:dyDescent="0.35">
      <c r="A42" s="242"/>
      <c r="B42" s="171" t="s">
        <v>25</v>
      </c>
      <c r="C42" s="192" t="s">
        <v>45</v>
      </c>
      <c r="D42" s="160" t="s">
        <v>218</v>
      </c>
      <c r="E42" s="245"/>
      <c r="F42" s="81"/>
      <c r="G42" s="37"/>
      <c r="H42" s="38"/>
    </row>
    <row r="43" spans="1:8" ht="15.5" x14ac:dyDescent="0.35">
      <c r="A43" s="242"/>
      <c r="B43" s="171" t="s">
        <v>27</v>
      </c>
      <c r="C43" s="192" t="s">
        <v>2436</v>
      </c>
      <c r="D43" s="160" t="s">
        <v>218</v>
      </c>
      <c r="E43" s="245"/>
      <c r="F43" s="81"/>
      <c r="G43" s="37"/>
      <c r="H43" s="38"/>
    </row>
    <row r="44" spans="1:8" ht="15.5" x14ac:dyDescent="0.35">
      <c r="A44" s="242"/>
      <c r="B44" s="171" t="s">
        <v>46</v>
      </c>
      <c r="C44" s="192" t="s">
        <v>2437</v>
      </c>
      <c r="D44" s="160" t="s">
        <v>218</v>
      </c>
      <c r="E44" s="245"/>
      <c r="F44" s="81"/>
      <c r="G44" s="37"/>
      <c r="H44" s="38"/>
    </row>
    <row r="45" spans="1:8" ht="31" x14ac:dyDescent="0.35">
      <c r="A45" s="242"/>
      <c r="B45" s="171" t="s">
        <v>47</v>
      </c>
      <c r="C45" s="192" t="s">
        <v>2475</v>
      </c>
      <c r="D45" s="160" t="s">
        <v>218</v>
      </c>
      <c r="E45" s="245"/>
      <c r="F45" s="81"/>
      <c r="G45" s="37"/>
      <c r="H45" s="38"/>
    </row>
    <row r="46" spans="1:8" ht="15.5" x14ac:dyDescent="0.35">
      <c r="A46" s="242"/>
      <c r="B46" s="171" t="s">
        <v>2429</v>
      </c>
      <c r="C46" s="192" t="s">
        <v>2476</v>
      </c>
      <c r="D46" s="160" t="s">
        <v>218</v>
      </c>
      <c r="E46" s="245"/>
      <c r="F46" s="80"/>
      <c r="G46" s="37"/>
      <c r="H46" s="38"/>
    </row>
    <row r="47" spans="1:8" ht="18.5" customHeight="1" x14ac:dyDescent="0.35">
      <c r="A47" s="242"/>
      <c r="B47" s="171" t="s">
        <v>2477</v>
      </c>
      <c r="C47" s="192" t="s">
        <v>2439</v>
      </c>
      <c r="D47" s="160" t="s">
        <v>218</v>
      </c>
      <c r="E47" s="245"/>
      <c r="F47" s="80"/>
      <c r="G47" s="37"/>
      <c r="H47" s="38"/>
    </row>
    <row r="48" spans="1:8" ht="34" customHeight="1" x14ac:dyDescent="0.35">
      <c r="A48" s="242"/>
      <c r="B48" s="171" t="s">
        <v>2478</v>
      </c>
      <c r="C48" s="192" t="s">
        <v>2440</v>
      </c>
      <c r="D48" s="160" t="s">
        <v>218</v>
      </c>
      <c r="E48" s="245"/>
      <c r="F48" s="80"/>
      <c r="G48" s="37"/>
      <c r="H48" s="38"/>
    </row>
    <row r="49" spans="1:8" ht="18.5" customHeight="1" x14ac:dyDescent="0.35">
      <c r="A49" s="242"/>
      <c r="B49" s="171" t="s">
        <v>2479</v>
      </c>
      <c r="C49" s="192" t="s">
        <v>2441</v>
      </c>
      <c r="D49" s="160" t="s">
        <v>218</v>
      </c>
      <c r="E49" s="245"/>
      <c r="F49" s="80"/>
      <c r="G49" s="37"/>
      <c r="H49" s="38"/>
    </row>
    <row r="50" spans="1:8" ht="15" customHeight="1" x14ac:dyDescent="0.35">
      <c r="A50" s="242"/>
      <c r="B50" s="171" t="s">
        <v>2480</v>
      </c>
      <c r="C50" s="192" t="s">
        <v>2442</v>
      </c>
      <c r="D50" s="160" t="s">
        <v>218</v>
      </c>
      <c r="E50" s="245"/>
      <c r="F50" s="82"/>
      <c r="G50" s="37"/>
      <c r="H50" s="38"/>
    </row>
    <row r="51" spans="1:8" ht="15.5" x14ac:dyDescent="0.35">
      <c r="A51" s="242"/>
      <c r="B51" s="171" t="s">
        <v>2481</v>
      </c>
      <c r="C51" s="192" t="s">
        <v>2443</v>
      </c>
      <c r="D51" s="160" t="s">
        <v>218</v>
      </c>
      <c r="E51" s="245"/>
      <c r="F51" s="82"/>
      <c r="G51" s="37"/>
      <c r="H51" s="38"/>
    </row>
    <row r="52" spans="1:8" ht="15.5" x14ac:dyDescent="0.35">
      <c r="A52" s="242"/>
      <c r="B52" s="171" t="s">
        <v>2482</v>
      </c>
      <c r="C52" s="192" t="s">
        <v>2444</v>
      </c>
      <c r="D52" s="160" t="s">
        <v>218</v>
      </c>
      <c r="E52" s="245"/>
      <c r="F52" s="82"/>
      <c r="G52" s="37"/>
      <c r="H52" s="38"/>
    </row>
    <row r="53" spans="1:8" ht="17.5" customHeight="1" x14ac:dyDescent="0.35">
      <c r="A53" s="242"/>
      <c r="B53" s="171" t="s">
        <v>2483</v>
      </c>
      <c r="C53" s="192" t="s">
        <v>2445</v>
      </c>
      <c r="D53" s="160" t="s">
        <v>218</v>
      </c>
      <c r="E53" s="245"/>
      <c r="F53" s="82"/>
      <c r="G53" s="37"/>
      <c r="H53" s="38"/>
    </row>
    <row r="54" spans="1:8" ht="15.5" x14ac:dyDescent="0.35">
      <c r="A54" s="242"/>
      <c r="B54" s="171" t="s">
        <v>2484</v>
      </c>
      <c r="C54" s="192" t="s">
        <v>2446</v>
      </c>
      <c r="D54" s="160" t="s">
        <v>218</v>
      </c>
      <c r="E54" s="245"/>
      <c r="F54" s="82"/>
      <c r="G54" s="37"/>
      <c r="H54" s="38"/>
    </row>
    <row r="55" spans="1:8" ht="16.5" customHeight="1" thickBot="1" x14ac:dyDescent="0.4">
      <c r="A55" s="243"/>
      <c r="B55" s="172" t="s">
        <v>2485</v>
      </c>
      <c r="C55" s="193" t="s">
        <v>2447</v>
      </c>
      <c r="D55" s="161" t="s">
        <v>218</v>
      </c>
      <c r="E55" s="246"/>
      <c r="F55" s="82"/>
      <c r="G55" s="37"/>
      <c r="H55" s="38"/>
    </row>
    <row r="56" spans="1:8" ht="15.5" x14ac:dyDescent="0.35">
      <c r="A56" s="250" t="s">
        <v>2086</v>
      </c>
      <c r="B56" s="166" t="s">
        <v>2</v>
      </c>
      <c r="C56" s="194" t="s">
        <v>48</v>
      </c>
      <c r="D56" s="10" t="s">
        <v>218</v>
      </c>
      <c r="E56" s="244">
        <v>6</v>
      </c>
      <c r="F56" s="79"/>
      <c r="G56" s="37"/>
      <c r="H56" s="38"/>
    </row>
    <row r="57" spans="1:8" ht="46.5" x14ac:dyDescent="0.35">
      <c r="A57" s="251"/>
      <c r="B57" s="174" t="s">
        <v>4</v>
      </c>
      <c r="C57" s="195" t="s">
        <v>2430</v>
      </c>
      <c r="D57" s="12" t="s">
        <v>218</v>
      </c>
      <c r="E57" s="245"/>
      <c r="F57" s="82"/>
      <c r="G57" s="37"/>
      <c r="H57" s="38"/>
    </row>
    <row r="58" spans="1:8" ht="26" customHeight="1" thickBot="1" x14ac:dyDescent="0.4">
      <c r="A58" s="252"/>
      <c r="B58" s="172" t="s">
        <v>9</v>
      </c>
      <c r="C58" s="196" t="s">
        <v>2431</v>
      </c>
      <c r="D58" s="11" t="s">
        <v>218</v>
      </c>
      <c r="E58" s="246"/>
      <c r="F58" s="80"/>
      <c r="G58" s="37"/>
      <c r="H58" s="38"/>
    </row>
    <row r="59" spans="1:8" ht="16" thickBot="1" x14ac:dyDescent="0.4">
      <c r="A59" s="250" t="s">
        <v>49</v>
      </c>
      <c r="B59" s="170" t="s">
        <v>2</v>
      </c>
      <c r="C59" s="194" t="s">
        <v>2236</v>
      </c>
      <c r="D59" s="177" t="s">
        <v>218</v>
      </c>
      <c r="E59" s="244">
        <v>6</v>
      </c>
      <c r="F59" s="82"/>
      <c r="G59" s="37"/>
      <c r="H59" s="84"/>
    </row>
    <row r="60" spans="1:8" ht="31" x14ac:dyDescent="0.35">
      <c r="A60" s="251"/>
      <c r="B60" s="171" t="s">
        <v>4</v>
      </c>
      <c r="C60" s="191" t="s">
        <v>50</v>
      </c>
      <c r="D60" s="160" t="s">
        <v>218</v>
      </c>
      <c r="E60" s="245"/>
      <c r="F60" s="79"/>
      <c r="G60" s="36" t="s">
        <v>237</v>
      </c>
      <c r="H60" s="10" t="s">
        <v>218</v>
      </c>
    </row>
    <row r="61" spans="1:8" ht="15.5" x14ac:dyDescent="0.35">
      <c r="A61" s="251"/>
      <c r="B61" s="171" t="s">
        <v>9</v>
      </c>
      <c r="C61" s="192" t="s">
        <v>51</v>
      </c>
      <c r="D61" s="160" t="s">
        <v>218</v>
      </c>
      <c r="E61" s="245"/>
      <c r="F61" s="81"/>
      <c r="G61" s="37"/>
      <c r="H61" s="38"/>
    </row>
    <row r="62" spans="1:8" ht="15.5" x14ac:dyDescent="0.35">
      <c r="A62" s="251"/>
      <c r="B62" s="171" t="s">
        <v>15</v>
      </c>
      <c r="C62" s="192" t="s">
        <v>2448</v>
      </c>
      <c r="D62" s="160" t="s">
        <v>218</v>
      </c>
      <c r="E62" s="245"/>
      <c r="F62" s="81"/>
      <c r="G62" s="37"/>
      <c r="H62" s="38"/>
    </row>
    <row r="63" spans="1:8" ht="15.5" x14ac:dyDescent="0.35">
      <c r="A63" s="251"/>
      <c r="B63" s="171" t="s">
        <v>17</v>
      </c>
      <c r="C63" s="192" t="s">
        <v>2449</v>
      </c>
      <c r="D63" s="160" t="s">
        <v>218</v>
      </c>
      <c r="E63" s="245"/>
      <c r="F63" s="80"/>
      <c r="G63" s="37"/>
      <c r="H63" s="38"/>
    </row>
    <row r="64" spans="1:8" ht="31" x14ac:dyDescent="0.35">
      <c r="A64" s="251"/>
      <c r="B64" s="171" t="s">
        <v>25</v>
      </c>
      <c r="C64" s="192" t="s">
        <v>2450</v>
      </c>
      <c r="D64" s="160" t="s">
        <v>218</v>
      </c>
      <c r="E64" s="245"/>
      <c r="F64" s="80"/>
      <c r="G64" s="37"/>
      <c r="H64" s="38"/>
    </row>
    <row r="65" spans="1:8" ht="15.5" x14ac:dyDescent="0.35">
      <c r="A65" s="251"/>
      <c r="B65" s="176" t="s">
        <v>27</v>
      </c>
      <c r="C65" s="192" t="s">
        <v>52</v>
      </c>
      <c r="D65" s="160" t="s">
        <v>218</v>
      </c>
      <c r="E65" s="245"/>
      <c r="F65" s="80"/>
      <c r="G65" s="37"/>
      <c r="H65" s="38"/>
    </row>
    <row r="66" spans="1:8" ht="16" thickBot="1" x14ac:dyDescent="0.4">
      <c r="A66" s="252"/>
      <c r="B66" s="175" t="s">
        <v>46</v>
      </c>
      <c r="C66" s="197" t="s">
        <v>2432</v>
      </c>
      <c r="D66" s="161" t="s">
        <v>218</v>
      </c>
      <c r="E66" s="246"/>
      <c r="F66" s="80"/>
      <c r="G66" s="37"/>
      <c r="H66" s="38"/>
    </row>
    <row r="67" spans="1:8" ht="31.5" thickBot="1" x14ac:dyDescent="0.4">
      <c r="A67" s="269" t="s">
        <v>53</v>
      </c>
      <c r="B67" s="170" t="s">
        <v>2</v>
      </c>
      <c r="C67" s="194" t="s">
        <v>2433</v>
      </c>
      <c r="D67" s="159" t="s">
        <v>218</v>
      </c>
      <c r="E67" s="244">
        <v>6</v>
      </c>
      <c r="F67" s="79"/>
      <c r="G67" s="36" t="s">
        <v>233</v>
      </c>
      <c r="H67" s="10" t="s">
        <v>218</v>
      </c>
    </row>
    <row r="68" spans="1:8" ht="15.5" x14ac:dyDescent="0.35">
      <c r="A68" s="270"/>
      <c r="B68" s="171" t="s">
        <v>4</v>
      </c>
      <c r="C68" s="191" t="s">
        <v>2486</v>
      </c>
      <c r="D68" s="160" t="s">
        <v>218</v>
      </c>
      <c r="E68" s="245"/>
      <c r="F68" s="81"/>
      <c r="G68" s="36" t="s">
        <v>235</v>
      </c>
      <c r="H68" s="10" t="s">
        <v>218</v>
      </c>
    </row>
    <row r="69" spans="1:8" ht="16" thickBot="1" x14ac:dyDescent="0.4">
      <c r="A69" s="270"/>
      <c r="B69" s="171" t="s">
        <v>9</v>
      </c>
      <c r="C69" s="191" t="s">
        <v>2452</v>
      </c>
      <c r="D69" s="162" t="s">
        <v>218</v>
      </c>
      <c r="E69" s="245"/>
      <c r="F69" s="81"/>
      <c r="G69" s="37"/>
      <c r="H69" s="38"/>
    </row>
    <row r="70" spans="1:8" ht="47" thickBot="1" x14ac:dyDescent="0.4">
      <c r="A70" s="270"/>
      <c r="B70" s="171" t="s">
        <v>15</v>
      </c>
      <c r="C70" s="198" t="s">
        <v>2434</v>
      </c>
      <c r="D70" s="159" t="s">
        <v>218</v>
      </c>
      <c r="E70" s="245"/>
      <c r="F70" s="81"/>
      <c r="G70" s="37"/>
      <c r="H70" s="38"/>
    </row>
    <row r="71" spans="1:8" ht="31.5" thickBot="1" x14ac:dyDescent="0.4">
      <c r="A71" s="270"/>
      <c r="B71" s="171" t="s">
        <v>17</v>
      </c>
      <c r="C71" s="198" t="s">
        <v>2453</v>
      </c>
      <c r="D71" s="159" t="s">
        <v>218</v>
      </c>
      <c r="E71" s="245"/>
      <c r="F71" s="80"/>
      <c r="G71" s="37"/>
      <c r="H71" s="38"/>
    </row>
    <row r="72" spans="1:8" ht="16" thickBot="1" x14ac:dyDescent="0.4">
      <c r="A72" s="271"/>
      <c r="B72" s="175" t="s">
        <v>25</v>
      </c>
      <c r="C72" s="195" t="s">
        <v>2454</v>
      </c>
      <c r="D72" s="178" t="s">
        <v>218</v>
      </c>
      <c r="E72" s="246"/>
      <c r="F72" s="82"/>
      <c r="G72" s="37"/>
      <c r="H72" s="38"/>
    </row>
    <row r="73" spans="1:8" ht="16.5" customHeight="1" x14ac:dyDescent="0.35">
      <c r="A73" s="241" t="s">
        <v>54</v>
      </c>
      <c r="B73" s="179" t="s">
        <v>2</v>
      </c>
      <c r="C73" s="212" t="s">
        <v>2455</v>
      </c>
      <c r="D73" s="10" t="s">
        <v>218</v>
      </c>
      <c r="E73" s="229">
        <v>6</v>
      </c>
      <c r="F73" s="82"/>
      <c r="G73" s="37"/>
      <c r="H73" s="38"/>
    </row>
    <row r="74" spans="1:8" ht="15.5" x14ac:dyDescent="0.35">
      <c r="A74" s="242"/>
      <c r="B74" s="180" t="s">
        <v>4</v>
      </c>
      <c r="C74" s="200" t="s">
        <v>2456</v>
      </c>
      <c r="D74" s="12" t="s">
        <v>218</v>
      </c>
      <c r="E74" s="230"/>
      <c r="F74" s="82"/>
      <c r="G74" s="37"/>
      <c r="H74" s="84"/>
    </row>
    <row r="75" spans="1:8" ht="15.5" x14ac:dyDescent="0.35">
      <c r="A75" s="242"/>
      <c r="B75" s="180" t="s">
        <v>9</v>
      </c>
      <c r="C75" s="200" t="s">
        <v>2457</v>
      </c>
      <c r="D75" s="12" t="s">
        <v>218</v>
      </c>
      <c r="E75" s="230"/>
      <c r="F75" s="82"/>
      <c r="G75" s="37"/>
      <c r="H75" s="84"/>
    </row>
    <row r="76" spans="1:8" ht="20.5" customHeight="1" thickBot="1" x14ac:dyDescent="0.4">
      <c r="A76" s="243"/>
      <c r="B76" s="181" t="s">
        <v>15</v>
      </c>
      <c r="C76" s="201" t="s">
        <v>2458</v>
      </c>
      <c r="D76" s="11" t="s">
        <v>218</v>
      </c>
      <c r="E76" s="231"/>
      <c r="F76" s="82"/>
      <c r="G76" s="37"/>
      <c r="H76" s="84"/>
    </row>
    <row r="77" spans="1:8" ht="16" thickBot="1" x14ac:dyDescent="0.4">
      <c r="A77" s="272" t="s">
        <v>55</v>
      </c>
      <c r="B77" s="169" t="s">
        <v>2</v>
      </c>
      <c r="C77" s="185" t="s">
        <v>2487</v>
      </c>
      <c r="D77" s="165" t="s">
        <v>218</v>
      </c>
      <c r="E77" s="244">
        <v>6</v>
      </c>
      <c r="F77" s="79"/>
      <c r="G77" s="36" t="s">
        <v>236</v>
      </c>
      <c r="H77" s="10" t="s">
        <v>218</v>
      </c>
    </row>
    <row r="78" spans="1:8" ht="17" customHeight="1" x14ac:dyDescent="0.35">
      <c r="A78" s="242"/>
      <c r="B78" s="170" t="s">
        <v>4</v>
      </c>
      <c r="C78" s="182" t="s">
        <v>2459</v>
      </c>
      <c r="D78" s="10" t="s">
        <v>218</v>
      </c>
      <c r="E78" s="230"/>
      <c r="F78" s="79"/>
      <c r="G78" s="37"/>
      <c r="H78" s="38"/>
    </row>
    <row r="79" spans="1:8" ht="15.5" x14ac:dyDescent="0.35">
      <c r="A79" s="242"/>
      <c r="B79" s="171" t="s">
        <v>9</v>
      </c>
      <c r="C79" s="184" t="s">
        <v>2460</v>
      </c>
      <c r="D79" s="12" t="s">
        <v>218</v>
      </c>
      <c r="E79" s="230"/>
      <c r="F79" s="81"/>
      <c r="G79" s="37"/>
      <c r="H79" s="38"/>
    </row>
    <row r="80" spans="1:8" ht="15.5" x14ac:dyDescent="0.35">
      <c r="A80" s="242"/>
      <c r="B80" s="171" t="s">
        <v>15</v>
      </c>
      <c r="C80" s="184" t="s">
        <v>2461</v>
      </c>
      <c r="D80" s="12" t="s">
        <v>218</v>
      </c>
      <c r="E80" s="230"/>
      <c r="F80" s="81"/>
      <c r="G80" s="37"/>
      <c r="H80" s="38"/>
    </row>
    <row r="81" spans="1:8" ht="15.5" x14ac:dyDescent="0.35">
      <c r="A81" s="242"/>
      <c r="B81" s="171" t="s">
        <v>17</v>
      </c>
      <c r="C81" s="184" t="s">
        <v>2462</v>
      </c>
      <c r="D81" s="12" t="s">
        <v>218</v>
      </c>
      <c r="E81" s="230"/>
      <c r="F81" s="81"/>
      <c r="G81" s="37"/>
      <c r="H81" s="38"/>
    </row>
    <row r="82" spans="1:8" ht="15.5" x14ac:dyDescent="0.35">
      <c r="A82" s="242"/>
      <c r="B82" s="171" t="s">
        <v>25</v>
      </c>
      <c r="C82" s="200" t="s">
        <v>2488</v>
      </c>
      <c r="D82" s="12" t="s">
        <v>218</v>
      </c>
      <c r="E82" s="230"/>
      <c r="F82" s="81"/>
      <c r="G82" s="37"/>
      <c r="H82" s="38"/>
    </row>
    <row r="83" spans="1:8" ht="15.5" x14ac:dyDescent="0.35">
      <c r="A83" s="242"/>
      <c r="B83" s="175" t="s">
        <v>27</v>
      </c>
      <c r="C83" s="213" t="s">
        <v>2463</v>
      </c>
      <c r="D83" s="12" t="s">
        <v>218</v>
      </c>
      <c r="E83" s="230"/>
      <c r="F83" s="80"/>
      <c r="G83" s="37"/>
      <c r="H83" s="38"/>
    </row>
    <row r="84" spans="1:8" ht="31" x14ac:dyDescent="0.35">
      <c r="A84" s="242"/>
      <c r="B84" s="171" t="s">
        <v>46</v>
      </c>
      <c r="C84" s="200" t="s">
        <v>2464</v>
      </c>
      <c r="D84" s="12" t="s">
        <v>218</v>
      </c>
      <c r="E84" s="230"/>
      <c r="F84" s="80"/>
      <c r="G84" s="37"/>
      <c r="H84" s="38"/>
    </row>
    <row r="85" spans="1:8" ht="16" thickBot="1" x14ac:dyDescent="0.4">
      <c r="A85" s="243"/>
      <c r="B85" s="172" t="s">
        <v>47</v>
      </c>
      <c r="C85" s="201" t="s">
        <v>2451</v>
      </c>
      <c r="D85" s="164" t="s">
        <v>218</v>
      </c>
      <c r="E85" s="231"/>
      <c r="F85" s="82"/>
      <c r="G85" s="37"/>
      <c r="H85" s="84"/>
    </row>
    <row r="86" spans="1:8" ht="15.5" x14ac:dyDescent="0.35">
      <c r="A86" s="272" t="s">
        <v>102</v>
      </c>
      <c r="B86" s="173" t="s">
        <v>2</v>
      </c>
      <c r="C86" s="199" t="s">
        <v>103</v>
      </c>
      <c r="D86" s="10" t="s">
        <v>218</v>
      </c>
      <c r="E86" s="27">
        <v>3</v>
      </c>
      <c r="F86" s="79"/>
      <c r="G86" s="39" t="s">
        <v>245</v>
      </c>
      <c r="H86" s="10" t="s">
        <v>218</v>
      </c>
    </row>
    <row r="87" spans="1:8" ht="15.5" x14ac:dyDescent="0.35">
      <c r="A87" s="273"/>
      <c r="B87" s="168" t="s">
        <v>4</v>
      </c>
      <c r="C87" s="227" t="s">
        <v>104</v>
      </c>
      <c r="D87" s="12" t="s">
        <v>218</v>
      </c>
      <c r="E87" s="29"/>
      <c r="F87" s="81"/>
      <c r="G87" s="37"/>
      <c r="H87" s="38"/>
    </row>
    <row r="88" spans="1:8" ht="16" thickBot="1" x14ac:dyDescent="0.4">
      <c r="A88" s="274"/>
      <c r="B88" s="167" t="s">
        <v>9</v>
      </c>
      <c r="C88" s="201" t="s">
        <v>2489</v>
      </c>
      <c r="D88" s="164" t="s">
        <v>218</v>
      </c>
      <c r="E88" s="28">
        <v>1</v>
      </c>
      <c r="F88" s="80"/>
      <c r="G88" s="37"/>
      <c r="H88" s="38"/>
    </row>
    <row r="89" spans="1:8" ht="15.5" x14ac:dyDescent="0.35">
      <c r="A89" s="275" t="s">
        <v>56</v>
      </c>
      <c r="B89" s="151" t="s">
        <v>2</v>
      </c>
      <c r="C89" s="202" t="s">
        <v>57</v>
      </c>
      <c r="D89" s="10" t="s">
        <v>218</v>
      </c>
      <c r="E89" s="229">
        <v>1</v>
      </c>
      <c r="F89" s="82"/>
      <c r="G89" s="36" t="s">
        <v>235</v>
      </c>
      <c r="H89" s="10" t="s">
        <v>218</v>
      </c>
    </row>
    <row r="90" spans="1:8" ht="15.5" x14ac:dyDescent="0.35">
      <c r="A90" s="276"/>
      <c r="B90" s="152" t="s">
        <v>4</v>
      </c>
      <c r="C90" s="203" t="s">
        <v>58</v>
      </c>
      <c r="D90" s="12" t="s">
        <v>218</v>
      </c>
      <c r="E90" s="230"/>
      <c r="F90" s="82"/>
      <c r="G90" s="37"/>
      <c r="H90" s="38"/>
    </row>
    <row r="91" spans="1:8" ht="15.5" x14ac:dyDescent="0.35">
      <c r="A91" s="276"/>
      <c r="B91" s="152" t="s">
        <v>9</v>
      </c>
      <c r="C91" s="203" t="s">
        <v>59</v>
      </c>
      <c r="D91" s="12" t="s">
        <v>218</v>
      </c>
      <c r="E91" s="230"/>
      <c r="F91" s="82"/>
      <c r="G91" s="37"/>
      <c r="H91" s="38"/>
    </row>
    <row r="92" spans="1:8" ht="15.5" x14ac:dyDescent="0.35">
      <c r="A92" s="276"/>
      <c r="B92" s="152" t="s">
        <v>15</v>
      </c>
      <c r="C92" s="203" t="s">
        <v>60</v>
      </c>
      <c r="D92" s="12" t="s">
        <v>218</v>
      </c>
      <c r="E92" s="230"/>
      <c r="F92" s="82"/>
      <c r="G92" s="37"/>
      <c r="H92" s="38"/>
    </row>
    <row r="93" spans="1:8" ht="16" customHeight="1" thickBot="1" x14ac:dyDescent="0.4">
      <c r="A93" s="277"/>
      <c r="B93" s="153" t="s">
        <v>17</v>
      </c>
      <c r="C93" s="204" t="s">
        <v>2435</v>
      </c>
      <c r="D93" s="164" t="s">
        <v>218</v>
      </c>
      <c r="E93" s="231"/>
      <c r="F93" s="82"/>
      <c r="G93" s="37"/>
      <c r="H93" s="38"/>
    </row>
    <row r="94" spans="1:8" ht="16" customHeight="1" x14ac:dyDescent="0.35">
      <c r="A94" s="232" t="s">
        <v>61</v>
      </c>
      <c r="B94" s="13" t="s">
        <v>2</v>
      </c>
      <c r="C94" s="202" t="s">
        <v>62</v>
      </c>
      <c r="D94" s="10" t="s">
        <v>218</v>
      </c>
      <c r="E94" s="235">
        <v>1</v>
      </c>
      <c r="F94" s="79"/>
      <c r="G94" s="36" t="s">
        <v>238</v>
      </c>
      <c r="H94" s="10" t="s">
        <v>218</v>
      </c>
    </row>
    <row r="95" spans="1:8" ht="15.5" x14ac:dyDescent="0.35">
      <c r="A95" s="233"/>
      <c r="B95" s="14" t="s">
        <v>4</v>
      </c>
      <c r="C95" s="203" t="s">
        <v>63</v>
      </c>
      <c r="D95" s="12" t="s">
        <v>218</v>
      </c>
      <c r="E95" s="236"/>
      <c r="F95" s="81"/>
      <c r="G95" s="37"/>
      <c r="H95" s="38"/>
    </row>
    <row r="96" spans="1:8" ht="16" thickBot="1" x14ac:dyDescent="0.4">
      <c r="A96" s="234"/>
      <c r="B96" s="15" t="s">
        <v>9</v>
      </c>
      <c r="C96" s="204" t="s">
        <v>64</v>
      </c>
      <c r="D96" s="164" t="s">
        <v>218</v>
      </c>
      <c r="E96" s="237"/>
      <c r="F96" s="80"/>
      <c r="G96" s="37"/>
      <c r="H96" s="38"/>
    </row>
    <row r="97" spans="1:8" ht="16" thickBot="1" x14ac:dyDescent="0.4">
      <c r="A97" s="232" t="s">
        <v>65</v>
      </c>
      <c r="B97" s="13" t="s">
        <v>2</v>
      </c>
      <c r="C97" s="202" t="s">
        <v>66</v>
      </c>
      <c r="D97" s="10" t="s">
        <v>218</v>
      </c>
      <c r="E97" s="235">
        <v>5</v>
      </c>
      <c r="F97" s="79"/>
      <c r="G97" s="36" t="s">
        <v>239</v>
      </c>
      <c r="H97" s="10" t="s">
        <v>218</v>
      </c>
    </row>
    <row r="98" spans="1:8" ht="15.5" x14ac:dyDescent="0.35">
      <c r="A98" s="233"/>
      <c r="B98" s="14" t="s">
        <v>4</v>
      </c>
      <c r="C98" s="203" t="s">
        <v>67</v>
      </c>
      <c r="D98" s="12" t="s">
        <v>218</v>
      </c>
      <c r="E98" s="236"/>
      <c r="F98" s="81"/>
      <c r="G98" s="36" t="s">
        <v>240</v>
      </c>
      <c r="H98" s="10" t="s">
        <v>218</v>
      </c>
    </row>
    <row r="99" spans="1:8" ht="34.5" customHeight="1" x14ac:dyDescent="0.35">
      <c r="A99" s="233"/>
      <c r="B99" s="14" t="s">
        <v>9</v>
      </c>
      <c r="C99" s="203" t="s">
        <v>68</v>
      </c>
      <c r="D99" s="12" t="s">
        <v>218</v>
      </c>
      <c r="E99" s="236"/>
      <c r="F99" s="81"/>
      <c r="G99" s="37"/>
      <c r="H99" s="38"/>
    </row>
    <row r="100" spans="1:8" ht="16" thickBot="1" x14ac:dyDescent="0.4">
      <c r="A100" s="234"/>
      <c r="B100" s="15" t="s">
        <v>15</v>
      </c>
      <c r="C100" s="204" t="s">
        <v>69</v>
      </c>
      <c r="D100" s="11" t="s">
        <v>218</v>
      </c>
      <c r="E100" s="237"/>
      <c r="F100" s="80"/>
      <c r="G100" s="37"/>
      <c r="H100" s="38"/>
    </row>
    <row r="101" spans="1:8" ht="27.5" customHeight="1" thickBot="1" x14ac:dyDescent="0.4">
      <c r="A101" s="232" t="s">
        <v>70</v>
      </c>
      <c r="B101" s="13" t="s">
        <v>2</v>
      </c>
      <c r="C101" s="202" t="s">
        <v>3294</v>
      </c>
      <c r="D101" s="165" t="s">
        <v>218</v>
      </c>
      <c r="E101" s="235">
        <v>2</v>
      </c>
      <c r="F101" s="79"/>
      <c r="G101" s="37"/>
      <c r="H101" s="38"/>
    </row>
    <row r="102" spans="1:8" ht="32" customHeight="1" x14ac:dyDescent="0.35">
      <c r="A102" s="233"/>
      <c r="B102" s="14" t="s">
        <v>4</v>
      </c>
      <c r="C102" s="203" t="s">
        <v>72</v>
      </c>
      <c r="D102" s="10" t="s">
        <v>218</v>
      </c>
      <c r="E102" s="236"/>
      <c r="F102" s="81"/>
      <c r="G102" s="37"/>
      <c r="H102" s="38"/>
    </row>
    <row r="103" spans="1:8" ht="18.5" customHeight="1" x14ac:dyDescent="0.35">
      <c r="A103" s="233"/>
      <c r="B103" s="14" t="s">
        <v>9</v>
      </c>
      <c r="C103" s="203" t="s">
        <v>73</v>
      </c>
      <c r="D103" s="12" t="s">
        <v>218</v>
      </c>
      <c r="E103" s="236"/>
      <c r="F103" s="81"/>
      <c r="G103" s="37"/>
      <c r="H103" s="38"/>
    </row>
    <row r="104" spans="1:8" ht="21" customHeight="1" thickBot="1" x14ac:dyDescent="0.4">
      <c r="A104" s="234"/>
      <c r="B104" s="15" t="s">
        <v>15</v>
      </c>
      <c r="C104" s="204" t="s">
        <v>74</v>
      </c>
      <c r="D104" s="11" t="s">
        <v>218</v>
      </c>
      <c r="E104" s="237"/>
      <c r="F104" s="80"/>
      <c r="G104" s="37"/>
      <c r="H104" s="38"/>
    </row>
    <row r="105" spans="1:8" ht="31.5" thickBot="1" x14ac:dyDescent="0.4">
      <c r="A105" s="23" t="s">
        <v>75</v>
      </c>
      <c r="B105" s="16" t="s">
        <v>2</v>
      </c>
      <c r="C105" s="205" t="s">
        <v>76</v>
      </c>
      <c r="D105" s="165" t="s">
        <v>218</v>
      </c>
      <c r="E105" s="30">
        <v>2</v>
      </c>
      <c r="F105" s="82"/>
      <c r="G105" s="37"/>
      <c r="H105" s="38"/>
    </row>
    <row r="106" spans="1:8" ht="31" x14ac:dyDescent="0.35">
      <c r="A106" s="278" t="s">
        <v>77</v>
      </c>
      <c r="B106" s="13" t="s">
        <v>2</v>
      </c>
      <c r="C106" s="202" t="s">
        <v>78</v>
      </c>
      <c r="D106" s="10" t="s">
        <v>218</v>
      </c>
      <c r="E106" s="235">
        <v>10</v>
      </c>
      <c r="F106" s="79"/>
      <c r="G106" s="37"/>
      <c r="H106" s="38"/>
    </row>
    <row r="107" spans="1:8" ht="15.5" x14ac:dyDescent="0.35">
      <c r="A107" s="279"/>
      <c r="B107" s="14" t="s">
        <v>4</v>
      </c>
      <c r="C107" s="203" t="s">
        <v>79</v>
      </c>
      <c r="D107" s="12" t="s">
        <v>218</v>
      </c>
      <c r="E107" s="236"/>
      <c r="F107" s="81"/>
      <c r="G107" s="37"/>
      <c r="H107" s="38"/>
    </row>
    <row r="108" spans="1:8" s="44" customFormat="1" ht="18" customHeight="1" x14ac:dyDescent="0.7">
      <c r="A108" s="279"/>
      <c r="B108" s="14" t="s">
        <v>9</v>
      </c>
      <c r="C108" s="203" t="s">
        <v>80</v>
      </c>
      <c r="D108" s="12" t="s">
        <v>218</v>
      </c>
      <c r="E108" s="236"/>
      <c r="F108" s="81"/>
      <c r="G108" s="37"/>
      <c r="H108" s="38"/>
    </row>
    <row r="109" spans="1:8" s="44" customFormat="1" ht="31.5" thickBot="1" x14ac:dyDescent="0.75">
      <c r="A109" s="280"/>
      <c r="B109" s="15" t="s">
        <v>15</v>
      </c>
      <c r="C109" s="204" t="s">
        <v>81</v>
      </c>
      <c r="D109" s="164" t="s">
        <v>218</v>
      </c>
      <c r="E109" s="237"/>
      <c r="F109" s="80"/>
      <c r="G109" s="37"/>
      <c r="H109" s="38"/>
    </row>
    <row r="110" spans="1:8" s="44" customFormat="1" ht="16.5" customHeight="1" x14ac:dyDescent="0.7">
      <c r="A110" s="278" t="s">
        <v>82</v>
      </c>
      <c r="B110" s="13" t="s">
        <v>2</v>
      </c>
      <c r="C110" s="202" t="s">
        <v>83</v>
      </c>
      <c r="D110" s="10" t="s">
        <v>218</v>
      </c>
      <c r="E110" s="235">
        <v>1</v>
      </c>
      <c r="F110" s="79"/>
      <c r="G110" s="37"/>
      <c r="H110" s="38"/>
    </row>
    <row r="111" spans="1:8" s="44" customFormat="1" ht="24" customHeight="1" x14ac:dyDescent="0.7">
      <c r="A111" s="279"/>
      <c r="B111" s="14" t="s">
        <v>4</v>
      </c>
      <c r="C111" s="203" t="s">
        <v>84</v>
      </c>
      <c r="D111" s="12" t="s">
        <v>218</v>
      </c>
      <c r="E111" s="236"/>
      <c r="F111" s="81"/>
      <c r="G111" s="37"/>
      <c r="H111" s="38"/>
    </row>
    <row r="112" spans="1:8" ht="15.5" x14ac:dyDescent="0.35">
      <c r="A112" s="279"/>
      <c r="B112" s="14" t="s">
        <v>9</v>
      </c>
      <c r="C112" s="203" t="s">
        <v>85</v>
      </c>
      <c r="D112" s="12" t="s">
        <v>218</v>
      </c>
      <c r="E112" s="236"/>
      <c r="F112" s="81"/>
      <c r="G112" s="37"/>
      <c r="H112" s="38"/>
    </row>
    <row r="113" spans="1:9" ht="24.5" customHeight="1" thickBot="1" x14ac:dyDescent="0.4">
      <c r="A113" s="280"/>
      <c r="B113" s="15" t="s">
        <v>15</v>
      </c>
      <c r="C113" s="204" t="s">
        <v>86</v>
      </c>
      <c r="D113" s="11" t="s">
        <v>218</v>
      </c>
      <c r="E113" s="237"/>
      <c r="F113" s="80"/>
      <c r="G113" s="37"/>
      <c r="H113" s="38"/>
    </row>
    <row r="114" spans="1:9" ht="21" customHeight="1" thickBot="1" x14ac:dyDescent="0.4">
      <c r="A114" s="23" t="s">
        <v>87</v>
      </c>
      <c r="B114" s="16" t="s">
        <v>2</v>
      </c>
      <c r="C114" s="205" t="s">
        <v>88</v>
      </c>
      <c r="D114" s="165" t="s">
        <v>218</v>
      </c>
      <c r="E114" s="28">
        <v>1</v>
      </c>
      <c r="F114" s="82"/>
      <c r="G114" s="37"/>
      <c r="H114" s="38"/>
    </row>
    <row r="115" spans="1:9" ht="22.5" customHeight="1" thickBot="1" x14ac:dyDescent="0.4">
      <c r="A115" s="23" t="s">
        <v>89</v>
      </c>
      <c r="B115" s="16" t="s">
        <v>2</v>
      </c>
      <c r="C115" s="205" t="s">
        <v>90</v>
      </c>
      <c r="D115" s="163" t="s">
        <v>218</v>
      </c>
      <c r="E115" s="28">
        <v>1</v>
      </c>
      <c r="F115" s="82"/>
      <c r="G115" s="36" t="s">
        <v>244</v>
      </c>
      <c r="H115" s="10" t="s">
        <v>218</v>
      </c>
    </row>
    <row r="116" spans="1:9" ht="23.15" customHeight="1" x14ac:dyDescent="0.35">
      <c r="A116" s="278" t="s">
        <v>91</v>
      </c>
      <c r="B116" s="13" t="s">
        <v>2</v>
      </c>
      <c r="C116" s="202" t="s">
        <v>92</v>
      </c>
      <c r="D116" s="10" t="s">
        <v>218</v>
      </c>
      <c r="E116" s="235">
        <v>2</v>
      </c>
      <c r="F116" s="79"/>
      <c r="G116" s="36" t="s">
        <v>241</v>
      </c>
      <c r="H116" s="10" t="s">
        <v>218</v>
      </c>
      <c r="I116" s="33"/>
    </row>
    <row r="117" spans="1:9" ht="23.15" customHeight="1" thickBot="1" x14ac:dyDescent="0.4">
      <c r="A117" s="280"/>
      <c r="B117" s="15" t="s">
        <v>4</v>
      </c>
      <c r="C117" s="204" t="s">
        <v>93</v>
      </c>
      <c r="D117" s="164" t="s">
        <v>218</v>
      </c>
      <c r="E117" s="237"/>
      <c r="F117" s="80"/>
      <c r="G117" s="37"/>
      <c r="H117" s="38"/>
      <c r="I117" t="s">
        <v>2243</v>
      </c>
    </row>
    <row r="118" spans="1:9" ht="23.15" customHeight="1" x14ac:dyDescent="0.35">
      <c r="A118" s="232" t="s">
        <v>94</v>
      </c>
      <c r="B118" s="13" t="s">
        <v>2</v>
      </c>
      <c r="C118" s="202" t="s">
        <v>95</v>
      </c>
      <c r="D118" s="10" t="s">
        <v>218</v>
      </c>
      <c r="E118" s="235">
        <v>2</v>
      </c>
      <c r="F118" s="79"/>
      <c r="G118" s="37"/>
      <c r="H118" s="38"/>
    </row>
    <row r="119" spans="1:9" ht="24.65" customHeight="1" x14ac:dyDescent="0.35">
      <c r="A119" s="233"/>
      <c r="B119" s="14" t="s">
        <v>4</v>
      </c>
      <c r="C119" s="203" t="s">
        <v>96</v>
      </c>
      <c r="D119" s="12" t="s">
        <v>218</v>
      </c>
      <c r="E119" s="236"/>
      <c r="F119" s="81"/>
      <c r="G119" s="37"/>
      <c r="H119" s="38"/>
    </row>
    <row r="120" spans="1:9" ht="15.5" x14ac:dyDescent="0.35">
      <c r="A120" s="233"/>
      <c r="B120" s="14" t="s">
        <v>9</v>
      </c>
      <c r="C120" s="203" t="s">
        <v>97</v>
      </c>
      <c r="D120" s="12" t="s">
        <v>218</v>
      </c>
      <c r="E120" s="236"/>
      <c r="F120" s="81"/>
      <c r="G120" s="37"/>
      <c r="H120" s="38"/>
    </row>
    <row r="121" spans="1:9" ht="19" customHeight="1" thickBot="1" x14ac:dyDescent="0.4">
      <c r="A121" s="234"/>
      <c r="B121" s="15" t="s">
        <v>15</v>
      </c>
      <c r="C121" s="204" t="s">
        <v>98</v>
      </c>
      <c r="D121" s="164" t="s">
        <v>218</v>
      </c>
      <c r="E121" s="237"/>
      <c r="F121" s="80"/>
      <c r="G121" s="37"/>
      <c r="H121" s="38"/>
    </row>
    <row r="122" spans="1:9" ht="19.5" customHeight="1" thickBot="1" x14ac:dyDescent="0.4">
      <c r="A122" s="232" t="s">
        <v>99</v>
      </c>
      <c r="B122" s="13" t="s">
        <v>2</v>
      </c>
      <c r="C122" s="202" t="s">
        <v>100</v>
      </c>
      <c r="D122" s="10" t="s">
        <v>218</v>
      </c>
      <c r="E122" s="235">
        <v>1</v>
      </c>
      <c r="F122" s="79"/>
      <c r="G122" s="36" t="s">
        <v>242</v>
      </c>
      <c r="H122" s="10" t="s">
        <v>218</v>
      </c>
    </row>
    <row r="123" spans="1:9" ht="22.5" customHeight="1" thickBot="1" x14ac:dyDescent="0.4">
      <c r="A123" s="234"/>
      <c r="B123" s="15" t="s">
        <v>4</v>
      </c>
      <c r="C123" s="204" t="s">
        <v>101</v>
      </c>
      <c r="D123" s="164" t="s">
        <v>218</v>
      </c>
      <c r="E123" s="237"/>
      <c r="F123" s="80"/>
      <c r="G123" s="36" t="s">
        <v>243</v>
      </c>
      <c r="H123" s="10" t="s">
        <v>218</v>
      </c>
    </row>
    <row r="124" spans="1:9" ht="21" customHeight="1" x14ac:dyDescent="0.35">
      <c r="A124" s="281" t="s">
        <v>224</v>
      </c>
      <c r="B124" s="17" t="s">
        <v>2</v>
      </c>
      <c r="C124" s="206" t="s">
        <v>220</v>
      </c>
      <c r="D124" s="10" t="s">
        <v>218</v>
      </c>
      <c r="E124" s="235" t="s">
        <v>218</v>
      </c>
      <c r="F124" s="79"/>
      <c r="G124" s="37"/>
      <c r="H124" s="38"/>
    </row>
    <row r="125" spans="1:9" ht="15.5" x14ac:dyDescent="0.35">
      <c r="A125" s="282"/>
      <c r="B125" s="18" t="s">
        <v>4</v>
      </c>
      <c r="C125" s="207" t="s">
        <v>221</v>
      </c>
      <c r="D125" s="12" t="s">
        <v>218</v>
      </c>
      <c r="E125" s="236"/>
      <c r="F125" s="81"/>
      <c r="G125" s="37"/>
      <c r="H125" s="38"/>
    </row>
    <row r="126" spans="1:9" ht="31" x14ac:dyDescent="0.35">
      <c r="A126" s="282"/>
      <c r="B126" s="18" t="s">
        <v>9</v>
      </c>
      <c r="C126" s="207" t="s">
        <v>222</v>
      </c>
      <c r="D126" s="12" t="s">
        <v>218</v>
      </c>
      <c r="E126" s="236"/>
      <c r="F126" s="81"/>
      <c r="G126" s="37"/>
      <c r="H126" s="38"/>
    </row>
    <row r="127" spans="1:9" ht="31.5" thickBot="1" x14ac:dyDescent="0.4">
      <c r="A127" s="283"/>
      <c r="B127" s="19" t="s">
        <v>15</v>
      </c>
      <c r="C127" s="208" t="s">
        <v>299</v>
      </c>
      <c r="D127" s="11" t="s">
        <v>218</v>
      </c>
      <c r="E127" s="237"/>
      <c r="F127" s="80"/>
      <c r="G127" s="37"/>
      <c r="H127" s="38"/>
    </row>
    <row r="128" spans="1:9" ht="16.5" thickBot="1" x14ac:dyDescent="0.45">
      <c r="A128" s="24"/>
      <c r="B128" s="25"/>
      <c r="C128" s="209"/>
      <c r="D128" s="47"/>
      <c r="E128" s="26"/>
      <c r="F128" s="26"/>
      <c r="G128" s="26"/>
      <c r="H128" s="26"/>
    </row>
    <row r="129" spans="1:8" ht="31.5" thickBot="1" x14ac:dyDescent="0.75">
      <c r="A129" s="43"/>
      <c r="B129" s="44"/>
      <c r="C129" s="210"/>
      <c r="D129" s="45" t="s">
        <v>217</v>
      </c>
      <c r="E129" s="46">
        <f>SUM(E10:E123)</f>
        <v>100</v>
      </c>
      <c r="F129" s="44"/>
      <c r="G129" s="43"/>
      <c r="H129" s="44"/>
    </row>
    <row r="130" spans="1:8" ht="31.5" thickBot="1" x14ac:dyDescent="0.75">
      <c r="A130" s="43"/>
      <c r="B130" s="44"/>
      <c r="C130" s="210"/>
      <c r="D130" s="44"/>
      <c r="E130" s="44"/>
      <c r="F130" s="44"/>
      <c r="G130" s="43"/>
      <c r="H130" s="44"/>
    </row>
    <row r="131" spans="1:8" ht="108" customHeight="1" thickBot="1" x14ac:dyDescent="0.4">
      <c r="A131" s="284" t="s">
        <v>300</v>
      </c>
      <c r="B131" s="285"/>
      <c r="C131" s="286"/>
      <c r="D131" s="286"/>
      <c r="E131" s="286"/>
      <c r="F131" s="286"/>
      <c r="G131" s="286"/>
      <c r="H131" s="287"/>
    </row>
    <row r="132" spans="1:8" ht="31" x14ac:dyDescent="0.7">
      <c r="A132" s="43"/>
      <c r="B132" s="44"/>
      <c r="C132" s="210"/>
      <c r="D132" s="44"/>
      <c r="E132" s="44"/>
      <c r="F132" s="44"/>
      <c r="G132" s="43"/>
      <c r="H132" s="44"/>
    </row>
    <row r="133" spans="1:8" ht="15" thickBot="1" x14ac:dyDescent="0.4">
      <c r="D133" s="2"/>
    </row>
    <row r="134" spans="1:8" ht="26.5" thickBot="1" x14ac:dyDescent="0.4">
      <c r="A134" s="288" t="s">
        <v>249</v>
      </c>
      <c r="B134" s="289"/>
      <c r="C134" s="289"/>
      <c r="D134" s="289"/>
      <c r="E134" s="289"/>
      <c r="F134" s="289"/>
      <c r="G134" s="290"/>
    </row>
    <row r="135" spans="1:8" x14ac:dyDescent="0.35">
      <c r="A135" s="35" t="s">
        <v>250</v>
      </c>
      <c r="B135" s="34" t="s">
        <v>259</v>
      </c>
      <c r="C135" s="211" t="s">
        <v>251</v>
      </c>
      <c r="D135" s="291" t="s">
        <v>215</v>
      </c>
      <c r="E135" s="292"/>
      <c r="F135" s="292"/>
      <c r="G135" s="293"/>
    </row>
    <row r="136" spans="1:8" x14ac:dyDescent="0.35">
      <c r="A136" s="40" t="s">
        <v>246</v>
      </c>
      <c r="B136" s="5" t="s">
        <v>298</v>
      </c>
      <c r="C136" s="49"/>
      <c r="D136" s="294"/>
      <c r="E136" s="295"/>
      <c r="F136" s="295"/>
      <c r="G136" s="296"/>
    </row>
    <row r="137" spans="1:8" x14ac:dyDescent="0.35">
      <c r="A137" s="40" t="s">
        <v>247</v>
      </c>
      <c r="B137" s="5" t="s">
        <v>298</v>
      </c>
      <c r="C137" s="49"/>
      <c r="D137" s="294"/>
      <c r="E137" s="295"/>
      <c r="F137" s="295"/>
      <c r="G137" s="296"/>
    </row>
    <row r="138" spans="1:8" x14ac:dyDescent="0.35">
      <c r="A138" s="40" t="s">
        <v>248</v>
      </c>
      <c r="B138" s="5" t="s">
        <v>298</v>
      </c>
      <c r="C138" s="49"/>
      <c r="D138" s="294"/>
      <c r="E138" s="295"/>
      <c r="F138" s="295"/>
      <c r="G138" s="296"/>
    </row>
    <row r="139" spans="1:8" x14ac:dyDescent="0.35">
      <c r="A139" s="41" t="s">
        <v>70</v>
      </c>
      <c r="B139" s="5" t="s">
        <v>298</v>
      </c>
      <c r="C139" s="49"/>
      <c r="D139" s="294"/>
      <c r="E139" s="295"/>
      <c r="F139" s="295"/>
      <c r="G139" s="296"/>
    </row>
    <row r="140" spans="1:8" ht="15" thickBot="1" x14ac:dyDescent="0.4">
      <c r="A140" s="42" t="s">
        <v>289</v>
      </c>
      <c r="B140" s="7" t="s">
        <v>298</v>
      </c>
      <c r="C140" s="50"/>
      <c r="D140" s="305"/>
      <c r="E140" s="306"/>
      <c r="F140" s="306"/>
      <c r="G140" s="307"/>
    </row>
    <row r="141" spans="1:8" ht="15" thickBot="1" x14ac:dyDescent="0.4"/>
    <row r="142" spans="1:8" ht="26" x14ac:dyDescent="0.35">
      <c r="A142" s="288" t="s">
        <v>301</v>
      </c>
      <c r="B142" s="289"/>
      <c r="C142" s="289"/>
      <c r="D142" s="289"/>
      <c r="E142" s="289"/>
      <c r="F142" s="289"/>
      <c r="G142" s="290"/>
    </row>
    <row r="143" spans="1:8" x14ac:dyDescent="0.35">
      <c r="A143" s="40" t="s">
        <v>302</v>
      </c>
      <c r="B143" s="297"/>
      <c r="C143" s="297"/>
      <c r="D143" s="297"/>
      <c r="E143" s="297"/>
      <c r="F143" s="294"/>
      <c r="G143" s="298"/>
    </row>
    <row r="144" spans="1:8" x14ac:dyDescent="0.35">
      <c r="A144" s="40" t="s">
        <v>303</v>
      </c>
      <c r="B144" s="299"/>
      <c r="C144" s="299"/>
      <c r="D144" s="299"/>
      <c r="E144" s="299"/>
      <c r="F144" s="300"/>
      <c r="G144" s="301"/>
    </row>
    <row r="145" spans="1:7" ht="15" thickBot="1" x14ac:dyDescent="0.4">
      <c r="A145" s="42" t="s">
        <v>304</v>
      </c>
      <c r="B145" s="302"/>
      <c r="C145" s="302"/>
      <c r="D145" s="302"/>
      <c r="E145" s="302"/>
      <c r="F145" s="303"/>
      <c r="G145" s="304"/>
    </row>
  </sheetData>
  <mergeCells count="70">
    <mergeCell ref="D135:G135"/>
    <mergeCell ref="D136:G136"/>
    <mergeCell ref="B143:G143"/>
    <mergeCell ref="B144:G144"/>
    <mergeCell ref="B145:G145"/>
    <mergeCell ref="D137:G137"/>
    <mergeCell ref="D138:G138"/>
    <mergeCell ref="D139:G139"/>
    <mergeCell ref="D140:G140"/>
    <mergeCell ref="A142:G142"/>
    <mergeCell ref="A124:A127"/>
    <mergeCell ref="E124:E127"/>
    <mergeCell ref="A131:B131"/>
    <mergeCell ref="C131:H131"/>
    <mergeCell ref="A134:G134"/>
    <mergeCell ref="A116:A117"/>
    <mergeCell ref="E116:E117"/>
    <mergeCell ref="A118:A121"/>
    <mergeCell ref="E118:E121"/>
    <mergeCell ref="A122:A123"/>
    <mergeCell ref="E122:E123"/>
    <mergeCell ref="A101:A104"/>
    <mergeCell ref="E101:E104"/>
    <mergeCell ref="A106:A109"/>
    <mergeCell ref="E106:E109"/>
    <mergeCell ref="A110:A113"/>
    <mergeCell ref="E110:E113"/>
    <mergeCell ref="A86:A88"/>
    <mergeCell ref="A89:A93"/>
    <mergeCell ref="E89:E93"/>
    <mergeCell ref="A94:A96"/>
    <mergeCell ref="E94:E96"/>
    <mergeCell ref="A67:A72"/>
    <mergeCell ref="E67:E72"/>
    <mergeCell ref="A73:A76"/>
    <mergeCell ref="E73:E76"/>
    <mergeCell ref="A77:A85"/>
    <mergeCell ref="E77:E85"/>
    <mergeCell ref="B6:C6"/>
    <mergeCell ref="B7:C7"/>
    <mergeCell ref="B9:C9"/>
    <mergeCell ref="A8:E8"/>
    <mergeCell ref="A21:A27"/>
    <mergeCell ref="A10:A11"/>
    <mergeCell ref="E10:E11"/>
    <mergeCell ref="A12:A15"/>
    <mergeCell ref="E12:E15"/>
    <mergeCell ref="A16:A20"/>
    <mergeCell ref="E16:E20"/>
    <mergeCell ref="B1:C1"/>
    <mergeCell ref="B2:C2"/>
    <mergeCell ref="B3:C3"/>
    <mergeCell ref="B4:C4"/>
    <mergeCell ref="B5:C5"/>
    <mergeCell ref="G8:H8"/>
    <mergeCell ref="E21:E27"/>
    <mergeCell ref="A97:A100"/>
    <mergeCell ref="E97:E100"/>
    <mergeCell ref="A34:A36"/>
    <mergeCell ref="E34:E36"/>
    <mergeCell ref="A37:A55"/>
    <mergeCell ref="E37:E55"/>
    <mergeCell ref="A28:A31"/>
    <mergeCell ref="E28:E31"/>
    <mergeCell ref="A32:A33"/>
    <mergeCell ref="E32:E33"/>
    <mergeCell ref="A56:A58"/>
    <mergeCell ref="E56:E58"/>
    <mergeCell ref="A59:A66"/>
    <mergeCell ref="E59:E66"/>
  </mergeCells>
  <conditionalFormatting sqref="B136:B140">
    <cfRule type="cellIs" dxfId="19" priority="8" operator="equal">
      <formula>"Yes"</formula>
    </cfRule>
  </conditionalFormatting>
  <conditionalFormatting sqref="B143:G143">
    <cfRule type="cellIs" dxfId="18" priority="7" operator="equal">
      <formula>"Yes"</formula>
    </cfRule>
  </conditionalFormatting>
  <conditionalFormatting sqref="D10:D127">
    <cfRule type="cellIs" dxfId="17" priority="5" operator="equal">
      <formula>"Pass"</formula>
    </cfRule>
    <cfRule type="cellIs" dxfId="16" priority="6" operator="equal">
      <formula>"Fail"</formula>
    </cfRule>
    <cfRule type="containsText" dxfId="15" priority="9" operator="containsText" text="Done">
      <formula>NOT(ISERROR(SEARCH("Done",D10)))</formula>
    </cfRule>
    <cfRule type="containsText" dxfId="14" priority="10" operator="containsText" text="Missed">
      <formula>NOT(ISERROR(SEARCH("Missed",D10)))</formula>
    </cfRule>
  </conditionalFormatting>
  <conditionalFormatting sqref="D129">
    <cfRule type="containsText" dxfId="13" priority="13" operator="containsText" text="Done">
      <formula>NOT(ISERROR(SEARCH("Done",D129)))</formula>
    </cfRule>
    <cfRule type="containsText" dxfId="12" priority="14" operator="containsText" text="Missed">
      <formula>NOT(ISERROR(SEARCH("Missed",D129)))</formula>
    </cfRule>
  </conditionalFormatting>
  <conditionalFormatting sqref="E10 E12 E16 E21 E34">
    <cfRule type="containsText" dxfId="11" priority="17" operator="containsText" text="Done">
      <formula>NOT(ISERROR(SEARCH("Done",E10)))</formula>
    </cfRule>
    <cfRule type="containsText" dxfId="10" priority="18" operator="containsText" text="Missed">
      <formula>NOT(ISERROR(SEARCH("Missed",E10)))</formula>
    </cfRule>
  </conditionalFormatting>
  <conditionalFormatting sqref="E10:E37 E56 E59 E67 E73 E77 E86:E89 E94:E123">
    <cfRule type="cellIs" dxfId="9" priority="11" operator="greaterThan">
      <formula>0</formula>
    </cfRule>
    <cfRule type="cellIs" dxfId="8" priority="12" operator="equal">
      <formula>0</formula>
    </cfRule>
  </conditionalFormatting>
  <conditionalFormatting sqref="E37">
    <cfRule type="containsText" dxfId="7" priority="15" operator="containsText" text="Done">
      <formula>NOT(ISERROR(SEARCH("Done",E37)))</formula>
    </cfRule>
    <cfRule type="containsText" dxfId="6" priority="16" operator="containsText" text="Missed">
      <formula>NOT(ISERROR(SEARCH("Missed",E37)))</formula>
    </cfRule>
  </conditionalFormatting>
  <conditionalFormatting sqref="E124:E127">
    <cfRule type="cellIs" dxfId="5" priority="3" operator="equal">
      <formula>"Autofail"</formula>
    </cfRule>
    <cfRule type="cellIs" dxfId="4" priority="4" operator="equal">
      <formula>"Pass"</formula>
    </cfRule>
  </conditionalFormatting>
  <conditionalFormatting sqref="H10 H16:H18 H37:H38 H60 H67:H68 H77 H86 H89 H94 H97:H98 H115:H116 H122:H123">
    <cfRule type="cellIs" dxfId="3" priority="1" operator="equal">
      <formula>"Pass"</formula>
    </cfRule>
    <cfRule type="cellIs" dxfId="2" priority="2" operator="equal">
      <formula>"Fail"</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2">
        <x14:dataValidation type="list" allowBlank="1" showInputMessage="1" showErrorMessage="1" xr:uid="{48A440E6-BE2D-443A-AA61-C34A3D5CDDAF}">
          <x14:formula1>
            <xm:f>'Validation List'!$B$1:$B$77</xm:f>
          </x14:formula1>
          <xm:sqref>B1:C1</xm:sqref>
        </x14:dataValidation>
        <x14:dataValidation type="list" allowBlank="1" showInputMessage="1" showErrorMessage="1" xr:uid="{6AEAE1BD-4E13-40C5-AC54-B681108E1575}">
          <x14:formula1>
            <xm:f>'Validation List'!$F$1:$F$396</xm:f>
          </x14:formula1>
          <xm:sqref>B3:C3</xm:sqref>
        </x14:dataValidation>
        <x14:dataValidation type="list" allowBlank="1" showInputMessage="1" showErrorMessage="1" xr:uid="{FAE60132-E71C-4FC0-B855-71F826D35F24}">
          <x14:formula1>
            <xm:f>ML!$C$2:$C$600</xm:f>
          </x14:formula1>
          <xm:sqref>B4:C4</xm:sqref>
        </x14:dataValidation>
        <x14:dataValidation type="list" allowBlank="1" showInputMessage="1" showErrorMessage="1" xr:uid="{313A83EB-391C-434F-B063-CDD34C285A26}">
          <x14:formula1>
            <xm:f>'Validation List'!$E$1:$E$24</xm:f>
          </x14:formula1>
          <xm:sqref>B5:C5</xm:sqref>
        </x14:dataValidation>
        <x14:dataValidation type="list" allowBlank="1" showInputMessage="1" showErrorMessage="1" xr:uid="{216BF341-DC52-4875-9BDC-A7C7AFE129AA}">
          <x14:formula1>
            <xm:f>'Validation List'!$C$1:$C$17</xm:f>
          </x14:formula1>
          <xm:sqref>B6:C6</xm:sqref>
        </x14:dataValidation>
        <x14:dataValidation type="list" allowBlank="1" showInputMessage="1" showErrorMessage="1" xr:uid="{C7D404FE-BB04-44A7-9AF3-BD4885B28982}">
          <x14:formula1>
            <xm:f>'Validation List'!$H$1:$H$5</xm:f>
          </x14:formula1>
          <xm:sqref>B7:C7</xm:sqref>
        </x14:dataValidation>
        <x14:dataValidation type="list" allowBlank="1" showInputMessage="1" showErrorMessage="1" xr:uid="{1C01BAB5-D1A0-4154-B7FF-CD817122B486}">
          <x14:formula1>
            <xm:f>'Validation List'!$J$1:$J$2</xm:f>
          </x14:formula1>
          <xm:sqref>E12:F15 F80:F84 E116:E121 F95:F100 E95:E96 E101:E105</xm:sqref>
        </x14:dataValidation>
        <x14:dataValidation type="list" allowBlank="1" showInputMessage="1" showErrorMessage="1" xr:uid="{56E17536-0A98-4557-AE6D-5B84B7A120EC}">
          <x14:formula1>
            <xm:f>'Validation List'!$I$1:$I$2</xm:f>
          </x14:formula1>
          <xm:sqref>E34:F36 E10:F11 F67:F68 E122:E123 E89:F94 E88 F73:F75 F101:F102 E110:E115</xm:sqref>
        </x14:dataValidation>
        <x14:dataValidation type="list" allowBlank="1" showInputMessage="1" showErrorMessage="1" xr:uid="{FBA75F1B-D40F-4F4B-9EF3-9F5CE349048F}">
          <x14:formula1>
            <xm:f>'Validation List'!$O$1:$O$2</xm:f>
          </x14:formula1>
          <xm:sqref>F103 E124:E127</xm:sqref>
        </x14:dataValidation>
        <x14:dataValidation type="list" allowBlank="1" showInputMessage="1" showErrorMessage="1" xr:uid="{BCD8BC58-E58E-4952-A200-696B1C2DA812}">
          <x14:formula1>
            <xm:f>'Validation List'!$M$1:$M$2</xm:f>
          </x14:formula1>
          <xm:sqref>E67:E85 F37:F64 E37:E50 E56:E64 F16:F33 E32:E33</xm:sqref>
        </x14:dataValidation>
        <x14:dataValidation type="list" allowBlank="1" showInputMessage="1" showErrorMessage="1" xr:uid="{87D4DA8F-C1B8-49AA-ADB4-040232FEC8EE}">
          <x14:formula1>
            <xm:f>'Validation List'!$L$1:$L$2</xm:f>
          </x14:formula1>
          <xm:sqref>F76:F79 E97:E100</xm:sqref>
        </x14:dataValidation>
        <x14:dataValidation type="list" allowBlank="1" showInputMessage="1" showErrorMessage="1" xr:uid="{136A16EB-718A-4F31-BFAC-0D7D99A5878B}">
          <x14:formula1>
            <xm:f>'Validation List'!$N$1:$N$2</xm:f>
          </x14:formula1>
          <xm:sqref>F85:F88 E106:E109</xm:sqref>
        </x14:dataValidation>
        <x14:dataValidation type="list" allowBlank="1" showInputMessage="1" showErrorMessage="1" xr:uid="{D0D40265-FC8C-46BF-B1EE-AFB6FE3BB2B5}">
          <x14:formula1>
            <xm:f>'Validation List'!$K$1:$K$2</xm:f>
          </x14:formula1>
          <xm:sqref>E65:F66 E86:E87</xm:sqref>
        </x14:dataValidation>
        <x14:dataValidation type="list" allowBlank="1" showInputMessage="1" showErrorMessage="1" xr:uid="{B740BF2B-BC9F-45B3-BFAD-CC2969D5B51F}">
          <x14:formula1>
            <xm:f>'Validation List'!$A$1:$A$2</xm:f>
          </x14:formula1>
          <xm:sqref>H65 H10 D10:D127 H122:H123 H51 H56:H57 H60:H61 H37:H38 H73 H76:H77 H89 H101:H102 H67:H68 H86 H94:H95 H97:H98 H115:H116 H16:H18</xm:sqref>
        </x14:dataValidation>
        <x14:dataValidation type="list" allowBlank="1" showInputMessage="1" showErrorMessage="1" xr:uid="{7E1E6C79-70FA-4832-8F08-67E8C92C27F8}">
          <x14:formula1>
            <xm:f>'Validation List'!$P$1:$P$7</xm:f>
          </x14:formula1>
          <xm:sqref>C136</xm:sqref>
        </x14:dataValidation>
        <x14:dataValidation type="list" allowBlank="1" showInputMessage="1" showErrorMessage="1" xr:uid="{14B6F7A1-FE03-4CD9-A29B-4F2DD6B4FB1D}">
          <x14:formula1>
            <xm:f>'Validation List'!$Q$1:$Q$14</xm:f>
          </x14:formula1>
          <xm:sqref>C137</xm:sqref>
        </x14:dataValidation>
        <x14:dataValidation type="list" allowBlank="1" showInputMessage="1" showErrorMessage="1" xr:uid="{0A07B6F5-FCC5-4127-AA7E-68B5A421DEBC}">
          <x14:formula1>
            <xm:f>'Validation List'!$S$1:$S$11</xm:f>
          </x14:formula1>
          <xm:sqref>C139</xm:sqref>
        </x14:dataValidation>
        <x14:dataValidation type="list" allowBlank="1" showInputMessage="1" showErrorMessage="1" xr:uid="{C88AF7DC-37B0-4D83-9133-85EFFB71EB30}">
          <x14:formula1>
            <xm:f>'Validation List'!$T$1:$T$7</xm:f>
          </x14:formula1>
          <xm:sqref>C140</xm:sqref>
        </x14:dataValidation>
        <x14:dataValidation type="list" allowBlank="1" showInputMessage="1" showErrorMessage="1" xr:uid="{BADDE2D1-911F-4C1C-8AB9-3C1401CD719B}">
          <x14:formula1>
            <xm:f>'Validation List'!$U$1:$U$2</xm:f>
          </x14:formula1>
          <xm:sqref>B115:B119 B122 B143:G143</xm:sqref>
        </x14:dataValidation>
        <x14:dataValidation type="list" allowBlank="1" showInputMessage="1" showErrorMessage="1" xr:uid="{0DE1368D-A51A-475A-B1E4-0A32204DBD9B}">
          <x14:formula1>
            <xm:f>'Validation List'!$V$1:$V$3</xm:f>
          </x14:formula1>
          <xm:sqref>B123 B144:G144</xm:sqref>
        </x14:dataValidation>
        <x14:dataValidation type="list" allowBlank="1" showInputMessage="1" showErrorMessage="1" xr:uid="{43FD45FC-F0F7-4612-9096-AB8EB8B35267}">
          <x14:formula1>
            <xm:f>'Validation List'!$W$1:$W$4</xm:f>
          </x14:formula1>
          <xm:sqref>B124 B145:G145</xm:sqref>
        </x14:dataValidation>
        <x14:dataValidation type="list" allowBlank="1" showInputMessage="1" showErrorMessage="1" xr:uid="{6E9BD376-E17B-4D99-B905-AB64C39E55A9}">
          <x14:formula1>
            <xm:f>'Validation List'!$R$1:$R$4</xm:f>
          </x14:formula1>
          <xm:sqref>C138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43AD6-AF0E-423D-AF85-028647846D8C}">
  <dimension ref="A1:I8"/>
  <sheetViews>
    <sheetView zoomScaleNormal="100" workbookViewId="0">
      <selection activeCell="E8" sqref="E8"/>
    </sheetView>
  </sheetViews>
  <sheetFormatPr defaultRowHeight="14.5" x14ac:dyDescent="0.35"/>
  <cols>
    <col min="1" max="1" width="17.36328125" bestFit="1" customWidth="1"/>
    <col min="2" max="2" width="17.90625" bestFit="1" customWidth="1"/>
    <col min="3" max="3" width="9.36328125" bestFit="1" customWidth="1"/>
    <col min="4" max="4" width="10.36328125" bestFit="1" customWidth="1"/>
    <col min="5" max="5" width="50" bestFit="1" customWidth="1"/>
    <col min="6" max="6" width="16.36328125" bestFit="1" customWidth="1"/>
    <col min="7" max="7" width="17.90625" bestFit="1" customWidth="1"/>
    <col min="8" max="8" width="9.90625" bestFit="1" customWidth="1"/>
    <col min="9" max="9" width="10.36328125" bestFit="1" customWidth="1"/>
    <col min="10" max="10" width="58" bestFit="1" customWidth="1"/>
    <col min="11" max="11" width="45.453125" bestFit="1" customWidth="1"/>
    <col min="12" max="12" width="39.7265625" bestFit="1" customWidth="1"/>
    <col min="13" max="13" width="88.54296875" bestFit="1" customWidth="1"/>
    <col min="14" max="14" width="52.1796875" bestFit="1" customWidth="1"/>
    <col min="15" max="15" width="49" bestFit="1" customWidth="1"/>
    <col min="16" max="16" width="55.453125" bestFit="1" customWidth="1"/>
    <col min="17" max="17" width="59.1796875" bestFit="1" customWidth="1"/>
    <col min="18" max="18" width="41.26953125" bestFit="1" customWidth="1"/>
    <col min="19" max="19" width="55" bestFit="1" customWidth="1"/>
    <col min="20" max="20" width="61.1796875" bestFit="1" customWidth="1"/>
    <col min="21" max="21" width="59.1796875" bestFit="1" customWidth="1"/>
    <col min="22" max="22" width="103.453125" bestFit="1" customWidth="1"/>
    <col min="23" max="23" width="132.54296875" bestFit="1" customWidth="1"/>
    <col min="24" max="24" width="82.54296875" bestFit="1" customWidth="1"/>
    <col min="25" max="25" width="126.453125" bestFit="1" customWidth="1"/>
    <col min="26" max="26" width="66.1796875" bestFit="1" customWidth="1"/>
    <col min="27" max="27" width="93" bestFit="1" customWidth="1"/>
    <col min="28" max="28" width="110.7265625" bestFit="1" customWidth="1"/>
    <col min="29" max="29" width="140" bestFit="1" customWidth="1"/>
    <col min="30" max="30" width="94.453125" bestFit="1" customWidth="1"/>
    <col min="31" max="31" width="117.81640625" bestFit="1" customWidth="1"/>
    <col min="32" max="32" width="167.1796875" bestFit="1" customWidth="1"/>
    <col min="33" max="33" width="149.26953125" bestFit="1" customWidth="1"/>
    <col min="34" max="34" width="226.453125" bestFit="1" customWidth="1"/>
    <col min="35" max="35" width="223.1796875" bestFit="1" customWidth="1"/>
    <col min="36" max="36" width="122.54296875" bestFit="1" customWidth="1"/>
    <col min="37" max="37" width="55" bestFit="1" customWidth="1"/>
    <col min="38" max="38" width="117.81640625" bestFit="1" customWidth="1"/>
    <col min="39" max="39" width="217.54296875" bestFit="1" customWidth="1"/>
    <col min="40" max="40" width="104.7265625" bestFit="1" customWidth="1"/>
    <col min="41" max="41" width="248.1796875" bestFit="1" customWidth="1"/>
    <col min="42" max="42" width="94.26953125" bestFit="1" customWidth="1"/>
    <col min="43" max="43" width="168.81640625" bestFit="1" customWidth="1"/>
    <col min="44" max="45" width="255.7265625" bestFit="1" customWidth="1"/>
    <col min="46" max="46" width="253.1796875" bestFit="1" customWidth="1"/>
    <col min="47" max="47" width="118.26953125" bestFit="1" customWidth="1"/>
    <col min="48" max="48" width="255.7265625" bestFit="1" customWidth="1"/>
    <col min="49" max="49" width="181" bestFit="1" customWidth="1"/>
    <col min="50" max="50" width="238.26953125" bestFit="1" customWidth="1"/>
    <col min="51" max="51" width="101" bestFit="1" customWidth="1"/>
    <col min="52" max="52" width="88.1796875" bestFit="1" customWidth="1"/>
    <col min="53" max="53" width="48.26953125" bestFit="1" customWidth="1"/>
    <col min="54" max="54" width="59.453125" bestFit="1" customWidth="1"/>
    <col min="55" max="55" width="80.7265625" bestFit="1" customWidth="1"/>
    <col min="56" max="56" width="71.54296875" bestFit="1" customWidth="1"/>
    <col min="57" max="57" width="74.1796875" bestFit="1" customWidth="1"/>
    <col min="58" max="58" width="56.81640625" bestFit="1" customWidth="1"/>
    <col min="59" max="59" width="65.1796875" bestFit="1" customWidth="1"/>
    <col min="60" max="60" width="62.81640625" bestFit="1" customWidth="1"/>
    <col min="61" max="61" width="57.81640625" bestFit="1" customWidth="1"/>
    <col min="62" max="62" width="50.1796875" bestFit="1" customWidth="1"/>
    <col min="63" max="63" width="67.7265625" bestFit="1" customWidth="1"/>
    <col min="64" max="64" width="47.7265625" bestFit="1" customWidth="1"/>
    <col min="65" max="65" width="216.54296875" bestFit="1" customWidth="1"/>
    <col min="66" max="66" width="78.26953125" bestFit="1" customWidth="1"/>
    <col min="67" max="67" width="121.7265625" bestFit="1" customWidth="1"/>
    <col min="68" max="68" width="97.81640625" bestFit="1" customWidth="1"/>
    <col min="69" max="69" width="64" bestFit="1" customWidth="1"/>
    <col min="70" max="70" width="142" bestFit="1" customWidth="1"/>
    <col min="71" max="71" width="193.7265625" bestFit="1" customWidth="1"/>
    <col min="72" max="72" width="55.81640625" bestFit="1" customWidth="1"/>
    <col min="73" max="73" width="104.54296875" bestFit="1" customWidth="1"/>
    <col min="74" max="74" width="142.1796875" bestFit="1" customWidth="1"/>
    <col min="75" max="75" width="125.54296875" bestFit="1" customWidth="1"/>
    <col min="76" max="76" width="112.1796875" bestFit="1" customWidth="1"/>
    <col min="77" max="77" width="56.453125" bestFit="1" customWidth="1"/>
    <col min="78" max="78" width="118.54296875" bestFit="1" customWidth="1"/>
    <col min="79" max="79" width="55.453125" bestFit="1" customWidth="1"/>
    <col min="80" max="80" width="49.81640625" bestFit="1" customWidth="1"/>
    <col min="81" max="81" width="68.26953125" bestFit="1" customWidth="1"/>
    <col min="82" max="82" width="75.54296875" bestFit="1" customWidth="1"/>
    <col min="83" max="83" width="86" bestFit="1" customWidth="1"/>
    <col min="84" max="84" width="92" bestFit="1" customWidth="1"/>
    <col min="85" max="85" width="90.81640625" bestFit="1" customWidth="1"/>
    <col min="86" max="86" width="74.26953125" bestFit="1" customWidth="1"/>
    <col min="87" max="87" width="102.1796875" bestFit="1" customWidth="1"/>
    <col min="88" max="88" width="85.54296875" bestFit="1" customWidth="1"/>
    <col min="89" max="89" width="28.453125" bestFit="1" customWidth="1"/>
    <col min="90" max="90" width="99.81640625" bestFit="1" customWidth="1"/>
    <col min="91" max="91" width="127.7265625" bestFit="1" customWidth="1"/>
    <col min="92" max="92" width="133.453125" bestFit="1" customWidth="1"/>
  </cols>
  <sheetData>
    <row r="1" spans="1:9" x14ac:dyDescent="0.35">
      <c r="A1" s="149" t="s">
        <v>2376</v>
      </c>
      <c r="B1" s="138" t="s">
        <v>2378</v>
      </c>
    </row>
    <row r="3" spans="1:9" x14ac:dyDescent="0.35">
      <c r="A3" s="149" t="s">
        <v>2207</v>
      </c>
      <c r="B3" s="149" t="s">
        <v>2427</v>
      </c>
      <c r="C3" s="138"/>
      <c r="D3" s="138"/>
      <c r="F3" s="102" t="s">
        <v>2084</v>
      </c>
      <c r="G3" s="102" t="s">
        <v>2427</v>
      </c>
      <c r="H3" s="48"/>
      <c r="I3" s="48"/>
    </row>
    <row r="4" spans="1:9" x14ac:dyDescent="0.35">
      <c r="A4" s="149" t="s">
        <v>2083</v>
      </c>
      <c r="B4" s="138" t="s">
        <v>2375</v>
      </c>
      <c r="C4" s="138" t="s">
        <v>2313</v>
      </c>
      <c r="D4" s="138" t="s">
        <v>2082</v>
      </c>
      <c r="F4" s="102" t="s">
        <v>2083</v>
      </c>
      <c r="G4" s="48" t="s">
        <v>2304</v>
      </c>
      <c r="H4" s="48" t="s">
        <v>2305</v>
      </c>
      <c r="I4" s="48" t="s">
        <v>2082</v>
      </c>
    </row>
    <row r="5" spans="1:9" x14ac:dyDescent="0.35">
      <c r="A5" s="138" t="s">
        <v>2304</v>
      </c>
      <c r="B5" s="148">
        <v>0.9563636363636363</v>
      </c>
      <c r="C5" s="148">
        <v>0.95200000000000007</v>
      </c>
      <c r="D5" s="148">
        <v>0.95384615384615346</v>
      </c>
      <c r="F5" s="48" t="s">
        <v>2378</v>
      </c>
      <c r="G5" s="48">
        <v>26</v>
      </c>
      <c r="H5" s="48">
        <v>30</v>
      </c>
      <c r="I5" s="48">
        <v>56</v>
      </c>
    </row>
    <row r="6" spans="1:9" x14ac:dyDescent="0.35">
      <c r="A6" s="138" t="s">
        <v>2305</v>
      </c>
      <c r="B6" s="148">
        <v>0.97</v>
      </c>
      <c r="C6" s="148">
        <v>0.96607142857142858</v>
      </c>
      <c r="D6" s="148">
        <v>0.96633333333333338</v>
      </c>
      <c r="F6" s="48" t="s">
        <v>2375</v>
      </c>
      <c r="G6" s="48">
        <v>11</v>
      </c>
      <c r="H6" s="48">
        <v>2</v>
      </c>
      <c r="I6" s="48">
        <v>13</v>
      </c>
    </row>
    <row r="7" spans="1:9" x14ac:dyDescent="0.35">
      <c r="A7" s="138" t="s">
        <v>2082</v>
      </c>
      <c r="B7" s="150">
        <v>0.95846153846153848</v>
      </c>
      <c r="C7" s="150">
        <v>0.96116279069767441</v>
      </c>
      <c r="D7" s="150">
        <v>0.96053571428571416</v>
      </c>
      <c r="F7" s="48" t="s">
        <v>2313</v>
      </c>
      <c r="G7" s="48">
        <v>15</v>
      </c>
      <c r="H7" s="48">
        <v>28</v>
      </c>
      <c r="I7" s="48">
        <v>43</v>
      </c>
    </row>
    <row r="8" spans="1:9" x14ac:dyDescent="0.35">
      <c r="F8" s="48" t="s">
        <v>2082</v>
      </c>
      <c r="G8" s="48">
        <v>26</v>
      </c>
      <c r="H8" s="48">
        <v>30</v>
      </c>
      <c r="I8" s="48">
        <v>56</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FE6A4-3417-4D15-9644-90451868A542}">
  <dimension ref="A1:EA1308"/>
  <sheetViews>
    <sheetView zoomScale="85" zoomScaleNormal="85" workbookViewId="0">
      <pane ySplit="1" topLeftCell="A64" activePane="bottomLeft" state="frozen"/>
      <selection activeCell="F1" sqref="F1"/>
      <selection pane="bottomLeft" activeCell="DU16" sqref="DU16"/>
    </sheetView>
  </sheetViews>
  <sheetFormatPr defaultColWidth="9.1796875" defaultRowHeight="14.5" x14ac:dyDescent="0.35"/>
  <cols>
    <col min="1" max="4" width="8.54296875" style="56" customWidth="1"/>
    <col min="5" max="5" width="18.1796875" style="89" customWidth="1"/>
    <col min="6" max="6" width="22.453125" style="56" customWidth="1"/>
    <col min="7" max="7" width="22.81640625" style="56" customWidth="1"/>
    <col min="8" max="8" width="7.453125" style="56" customWidth="1"/>
    <col min="9" max="9" width="24.7265625" style="83" customWidth="1"/>
    <col min="10" max="10" width="14.1796875" style="56" customWidth="1"/>
    <col min="11" max="11" width="28.54296875" style="56" bestFit="1" customWidth="1"/>
    <col min="12" max="12" width="11.81640625" style="56" customWidth="1"/>
    <col min="13" max="13" width="9.54296875" style="91" customWidth="1"/>
    <col min="14" max="18" width="8.7265625" style="1"/>
    <col min="19" max="19" width="9.1796875" style="1"/>
    <col min="20" max="49" width="8.7265625" style="1"/>
    <col min="50" max="50" width="9.1796875" style="1"/>
    <col min="51" max="52" width="8.7265625" style="1"/>
    <col min="53" max="53" width="9.1796875" style="1"/>
    <col min="54" max="58" width="8.7265625" style="1"/>
    <col min="59" max="59" width="9.1796875" style="1"/>
    <col min="60" max="60" width="8.7265625" style="1"/>
    <col min="61" max="62" width="9.1796875" style="1"/>
    <col min="63" max="65" width="8.7265625" style="1"/>
    <col min="66" max="66" width="9.1796875" style="1"/>
    <col min="67" max="75" width="8.7265625" style="1"/>
    <col min="76" max="76" width="9.1796875" style="1"/>
    <col min="77" max="110" width="8.7265625" style="1" customWidth="1"/>
    <col min="111" max="16384" width="9.1796875" style="137"/>
  </cols>
  <sheetData>
    <row r="1" spans="1:131" s="145" customFormat="1" ht="95.15" customHeight="1" x14ac:dyDescent="0.35">
      <c r="A1" s="132" t="s">
        <v>2068</v>
      </c>
      <c r="B1" s="132" t="s">
        <v>2376</v>
      </c>
      <c r="C1" s="132" t="s">
        <v>2312</v>
      </c>
      <c r="D1" s="132" t="s">
        <v>2303</v>
      </c>
      <c r="E1" s="139" t="s">
        <v>2063</v>
      </c>
      <c r="F1" s="139" t="s">
        <v>107</v>
      </c>
      <c r="G1" s="132" t="s">
        <v>108</v>
      </c>
      <c r="H1" s="132" t="s">
        <v>311</v>
      </c>
      <c r="I1" s="139" t="s">
        <v>2064</v>
      </c>
      <c r="J1" s="139" t="s">
        <v>208</v>
      </c>
      <c r="K1" s="139" t="s">
        <v>109</v>
      </c>
      <c r="L1" s="139" t="s">
        <v>2065</v>
      </c>
      <c r="M1" s="139" t="s">
        <v>2066</v>
      </c>
      <c r="N1" s="140" t="s">
        <v>2512</v>
      </c>
      <c r="O1" s="140" t="s">
        <v>2513</v>
      </c>
      <c r="P1" s="140" t="s">
        <v>2514</v>
      </c>
      <c r="Q1" s="140" t="s">
        <v>8</v>
      </c>
      <c r="R1" s="140" t="s">
        <v>10</v>
      </c>
      <c r="S1" s="140" t="s">
        <v>2515</v>
      </c>
      <c r="T1" s="140" t="s">
        <v>12</v>
      </c>
      <c r="U1" s="140" t="s">
        <v>2516</v>
      </c>
      <c r="V1" s="140" t="s">
        <v>2517</v>
      </c>
      <c r="W1" s="140" t="s">
        <v>2518</v>
      </c>
      <c r="X1" s="140" t="s">
        <v>2519</v>
      </c>
      <c r="Y1" s="141" t="s">
        <v>2520</v>
      </c>
      <c r="Z1" s="140" t="s">
        <v>2521</v>
      </c>
      <c r="AA1" s="142" t="s">
        <v>2522</v>
      </c>
      <c r="AB1" s="140" t="s">
        <v>2523</v>
      </c>
      <c r="AC1" s="140" t="s">
        <v>2524</v>
      </c>
      <c r="AD1" s="142" t="s">
        <v>2525</v>
      </c>
      <c r="AE1" s="142" t="s">
        <v>2519</v>
      </c>
      <c r="AF1" s="142" t="s">
        <v>2526</v>
      </c>
      <c r="AG1" s="142" t="s">
        <v>2527</v>
      </c>
      <c r="AH1" s="142" t="s">
        <v>2528</v>
      </c>
      <c r="AI1" s="142" t="s">
        <v>2519</v>
      </c>
      <c r="AJ1" s="142" t="s">
        <v>2529</v>
      </c>
      <c r="AK1" s="142" t="s">
        <v>2530</v>
      </c>
      <c r="AL1" s="140" t="s">
        <v>2531</v>
      </c>
      <c r="AM1" s="140" t="s">
        <v>2532</v>
      </c>
      <c r="AN1" s="140" t="s">
        <v>2533</v>
      </c>
      <c r="AO1" s="141" t="s">
        <v>2534</v>
      </c>
      <c r="AP1" s="140" t="s">
        <v>2535</v>
      </c>
      <c r="AQ1" s="142" t="s">
        <v>42</v>
      </c>
      <c r="AR1" s="140" t="s">
        <v>43</v>
      </c>
      <c r="AS1" s="140" t="s">
        <v>2536</v>
      </c>
      <c r="AT1" s="142" t="s">
        <v>2537</v>
      </c>
      <c r="AU1" s="142" t="s">
        <v>2538</v>
      </c>
      <c r="AV1" s="142" t="s">
        <v>2539</v>
      </c>
      <c r="AW1" s="142" t="s">
        <v>2540</v>
      </c>
      <c r="AX1" s="142" t="s">
        <v>2438</v>
      </c>
      <c r="AY1" s="143" t="s">
        <v>2541</v>
      </c>
      <c r="AZ1" s="143" t="s">
        <v>2542</v>
      </c>
      <c r="BA1" s="143" t="s">
        <v>2543</v>
      </c>
      <c r="BB1" s="143" t="s">
        <v>2544</v>
      </c>
      <c r="BC1" s="143" t="s">
        <v>2545</v>
      </c>
      <c r="BD1" s="143" t="s">
        <v>2546</v>
      </c>
      <c r="BE1" s="143" t="s">
        <v>2547</v>
      </c>
      <c r="BF1" s="143" t="s">
        <v>2548</v>
      </c>
      <c r="BG1" s="143" t="s">
        <v>2549</v>
      </c>
      <c r="BH1" s="143" t="s">
        <v>2550</v>
      </c>
      <c r="BI1" s="143" t="s">
        <v>2551</v>
      </c>
      <c r="BJ1" s="143" t="s">
        <v>2431</v>
      </c>
      <c r="BK1" s="143" t="s">
        <v>2552</v>
      </c>
      <c r="BL1" s="143" t="s">
        <v>2511</v>
      </c>
      <c r="BM1" s="143" t="s">
        <v>2510</v>
      </c>
      <c r="BN1" s="143" t="s">
        <v>2509</v>
      </c>
      <c r="BO1" s="143" t="s">
        <v>2508</v>
      </c>
      <c r="BP1" s="143" t="s">
        <v>2507</v>
      </c>
      <c r="BQ1" s="143" t="s">
        <v>2506</v>
      </c>
      <c r="BR1" s="143" t="s">
        <v>2505</v>
      </c>
      <c r="BS1" s="143" t="s">
        <v>2504</v>
      </c>
      <c r="BT1" s="143" t="s">
        <v>2502</v>
      </c>
      <c r="BU1" s="143" t="s">
        <v>2503</v>
      </c>
      <c r="BV1" s="143" t="s">
        <v>2500</v>
      </c>
      <c r="BW1" s="143" t="s">
        <v>2501</v>
      </c>
      <c r="BX1" s="143" t="s">
        <v>2499</v>
      </c>
      <c r="BY1" s="143" t="s">
        <v>2498</v>
      </c>
      <c r="BZ1" s="143" t="s">
        <v>2456</v>
      </c>
      <c r="CA1" s="143" t="s">
        <v>2496</v>
      </c>
      <c r="CB1" s="143" t="s">
        <v>2497</v>
      </c>
      <c r="CC1" s="143" t="s">
        <v>2495</v>
      </c>
      <c r="CD1" s="143" t="s">
        <v>2494</v>
      </c>
      <c r="CE1" s="143" t="s">
        <v>2493</v>
      </c>
      <c r="CF1" s="143" t="s">
        <v>2492</v>
      </c>
      <c r="CG1" s="143" t="s">
        <v>2491</v>
      </c>
      <c r="CH1" s="143" t="s">
        <v>2490</v>
      </c>
      <c r="CI1" s="143" t="s">
        <v>2553</v>
      </c>
      <c r="CJ1" s="143" t="s">
        <v>2554</v>
      </c>
      <c r="CK1" s="143" t="s">
        <v>2502</v>
      </c>
      <c r="CL1" s="143" t="s">
        <v>2555</v>
      </c>
      <c r="CM1" s="143" t="s">
        <v>2556</v>
      </c>
      <c r="CN1" s="143" t="s">
        <v>2557</v>
      </c>
      <c r="CO1" s="144" t="s">
        <v>57</v>
      </c>
      <c r="CP1" s="144" t="s">
        <v>2558</v>
      </c>
      <c r="CQ1" s="144" t="s">
        <v>59</v>
      </c>
      <c r="CR1" s="144" t="s">
        <v>60</v>
      </c>
      <c r="CS1" s="144" t="s">
        <v>2435</v>
      </c>
      <c r="CT1" s="144" t="s">
        <v>62</v>
      </c>
      <c r="CU1" s="144" t="s">
        <v>63</v>
      </c>
      <c r="CV1" s="144" t="s">
        <v>64</v>
      </c>
      <c r="CW1" s="144" t="s">
        <v>66</v>
      </c>
      <c r="CX1" s="144" t="s">
        <v>67</v>
      </c>
      <c r="CY1" s="144" t="s">
        <v>68</v>
      </c>
      <c r="CZ1" s="144" t="s">
        <v>69</v>
      </c>
      <c r="DA1" s="144" t="s">
        <v>71</v>
      </c>
      <c r="DB1" s="144" t="s">
        <v>72</v>
      </c>
      <c r="DC1" s="215" t="s">
        <v>73</v>
      </c>
      <c r="DD1" s="215" t="s">
        <v>74</v>
      </c>
      <c r="DE1" s="215" t="s">
        <v>2559</v>
      </c>
      <c r="DF1" s="215" t="s">
        <v>2560</v>
      </c>
      <c r="DG1" s="216" t="s">
        <v>79</v>
      </c>
      <c r="DH1" s="216" t="s">
        <v>2562</v>
      </c>
      <c r="DI1" s="216" t="s">
        <v>2561</v>
      </c>
      <c r="DJ1" s="216" t="s">
        <v>83</v>
      </c>
      <c r="DK1" s="216" t="s">
        <v>84</v>
      </c>
      <c r="DL1" s="216" t="s">
        <v>85</v>
      </c>
      <c r="DM1" s="216" t="s">
        <v>86</v>
      </c>
      <c r="DN1" s="216" t="s">
        <v>88</v>
      </c>
      <c r="DO1" s="216" t="s">
        <v>90</v>
      </c>
      <c r="DP1" s="216" t="s">
        <v>92</v>
      </c>
      <c r="DQ1" s="216" t="s">
        <v>93</v>
      </c>
      <c r="DR1" s="216" t="s">
        <v>95</v>
      </c>
      <c r="DS1" s="216" t="s">
        <v>96</v>
      </c>
      <c r="DT1" s="216" t="s">
        <v>97</v>
      </c>
      <c r="DU1" s="216" t="s">
        <v>98</v>
      </c>
      <c r="DV1" s="216" t="s">
        <v>100</v>
      </c>
      <c r="DW1" s="216" t="s">
        <v>101</v>
      </c>
      <c r="DX1" s="214" t="s">
        <v>2563</v>
      </c>
      <c r="DY1" s="214" t="s">
        <v>2564</v>
      </c>
      <c r="DZ1" s="214" t="s">
        <v>2565</v>
      </c>
      <c r="EA1" s="214" t="s">
        <v>2566</v>
      </c>
    </row>
    <row r="2" spans="1:131" s="146" customFormat="1" ht="19" customHeight="1" x14ac:dyDescent="0.3">
      <c r="A2" s="90" t="str">
        <f>VLOOKUP(E2,'Validation List'!F1:G396,2,FALSE)</f>
        <v>January</v>
      </c>
      <c r="B2" s="90" t="str">
        <f>INDEX('NEW HIRE ROSTER'!$G:$G,MATCH(RAW!F2,'NEW HIRE ROSTER'!$A:$A,0))</f>
        <v>RAMP</v>
      </c>
      <c r="C2" s="90" t="str">
        <f>INDEX('NEW HIRE ROSTER'!$F:$F,MATCH(RAW!F2,'NEW HIRE ROSTER'!$A:$A,0))</f>
        <v>Class 9.1</v>
      </c>
      <c r="D2" s="90" t="str">
        <f>INDEX('Validation List'!$H:$H,MATCH(RAW!E2,'Validation List'!$F:$F,0))</f>
        <v>Jan Week 1</v>
      </c>
      <c r="E2" s="89">
        <v>45660</v>
      </c>
      <c r="F2" s="56" t="s">
        <v>1891</v>
      </c>
      <c r="G2" s="90" t="str">
        <f>VLOOKUP(F2,ML!C2:D588,2,FALSE)</f>
        <v>John Earl Melitado Lagare</v>
      </c>
      <c r="H2" s="90" t="str">
        <f>VLOOKUP(F2,ML!C2:E588,3,FALSE)</f>
        <v>QC</v>
      </c>
      <c r="I2" s="83" t="s">
        <v>190</v>
      </c>
      <c r="J2" s="56" t="s">
        <v>209</v>
      </c>
      <c r="K2" s="56" t="s">
        <v>163</v>
      </c>
      <c r="L2" s="56" t="s">
        <v>2235</v>
      </c>
      <c r="M2" s="91">
        <v>0.97</v>
      </c>
      <c r="N2" s="57">
        <v>0</v>
      </c>
      <c r="O2" s="57">
        <v>0</v>
      </c>
      <c r="P2" s="57">
        <v>0</v>
      </c>
      <c r="Q2" s="57">
        <v>0</v>
      </c>
      <c r="R2" s="57">
        <v>0</v>
      </c>
      <c r="S2" s="57">
        <v>0</v>
      </c>
      <c r="T2" s="57">
        <v>0</v>
      </c>
      <c r="U2" s="57">
        <v>0</v>
      </c>
      <c r="V2" s="57">
        <v>0</v>
      </c>
      <c r="W2" s="57">
        <v>0</v>
      </c>
      <c r="X2" s="57">
        <v>0</v>
      </c>
      <c r="Y2" s="57">
        <v>0</v>
      </c>
      <c r="Z2" s="57">
        <v>0</v>
      </c>
      <c r="AA2" s="57">
        <v>0</v>
      </c>
      <c r="AB2" s="57">
        <v>0</v>
      </c>
      <c r="AC2" s="57">
        <v>0</v>
      </c>
      <c r="AD2" s="57">
        <v>0</v>
      </c>
      <c r="AE2" s="57">
        <v>0</v>
      </c>
      <c r="AF2" s="57">
        <v>0</v>
      </c>
      <c r="AG2" s="57">
        <v>0</v>
      </c>
      <c r="AH2" s="57">
        <v>0</v>
      </c>
      <c r="AI2" s="57">
        <v>0</v>
      </c>
      <c r="AJ2" s="57">
        <v>0</v>
      </c>
      <c r="AK2" s="57">
        <v>0</v>
      </c>
      <c r="AL2" s="57">
        <v>0</v>
      </c>
      <c r="AM2" s="57">
        <v>0</v>
      </c>
      <c r="AN2" s="57">
        <v>0</v>
      </c>
      <c r="AO2" s="57">
        <v>0</v>
      </c>
      <c r="AP2" s="57">
        <v>0</v>
      </c>
      <c r="AQ2" s="57">
        <v>0</v>
      </c>
      <c r="AR2" s="57">
        <v>0</v>
      </c>
      <c r="AS2" s="57">
        <v>0</v>
      </c>
      <c r="AT2" s="57">
        <v>0</v>
      </c>
      <c r="AU2" s="57">
        <v>0</v>
      </c>
      <c r="AV2" s="57">
        <v>0</v>
      </c>
      <c r="AW2" s="57">
        <v>0</v>
      </c>
      <c r="AX2" s="57">
        <v>0</v>
      </c>
      <c r="AY2" s="57">
        <v>0</v>
      </c>
      <c r="AZ2" s="57">
        <v>0</v>
      </c>
      <c r="BA2" s="57">
        <v>0</v>
      </c>
      <c r="BB2" s="57">
        <v>0</v>
      </c>
      <c r="BC2" s="57">
        <v>0</v>
      </c>
      <c r="BD2" s="57">
        <v>0</v>
      </c>
      <c r="BE2" s="57">
        <v>0</v>
      </c>
      <c r="BF2" s="57">
        <v>0</v>
      </c>
      <c r="BG2" s="57">
        <v>0</v>
      </c>
      <c r="BH2" s="57">
        <v>0</v>
      </c>
      <c r="BI2" s="57">
        <v>0</v>
      </c>
      <c r="BJ2" s="57">
        <v>0</v>
      </c>
      <c r="BK2" s="57">
        <v>0</v>
      </c>
      <c r="BL2" s="57">
        <v>0</v>
      </c>
      <c r="BM2" s="57">
        <v>0</v>
      </c>
      <c r="BN2" s="57">
        <v>0</v>
      </c>
      <c r="BO2" s="57">
        <v>0</v>
      </c>
      <c r="BP2" s="57">
        <v>0</v>
      </c>
      <c r="BQ2" s="57">
        <v>0</v>
      </c>
      <c r="BR2" s="57">
        <v>0</v>
      </c>
      <c r="BS2" s="57">
        <v>0</v>
      </c>
      <c r="BT2" s="57">
        <v>0</v>
      </c>
      <c r="BU2" s="57">
        <v>0</v>
      </c>
      <c r="BV2" s="57">
        <v>0</v>
      </c>
      <c r="BW2" s="57">
        <v>0</v>
      </c>
      <c r="BX2" s="57">
        <v>0</v>
      </c>
      <c r="BY2" s="57">
        <v>0</v>
      </c>
      <c r="BZ2" s="57">
        <v>0</v>
      </c>
      <c r="CA2" s="57">
        <v>0</v>
      </c>
      <c r="CB2" s="57">
        <v>0</v>
      </c>
      <c r="CC2" s="57">
        <v>0</v>
      </c>
      <c r="CD2" s="57">
        <v>0</v>
      </c>
      <c r="CE2" s="57">
        <v>0</v>
      </c>
      <c r="CF2" s="57">
        <v>0</v>
      </c>
      <c r="CG2" s="57">
        <v>0</v>
      </c>
      <c r="CH2" s="57">
        <v>0</v>
      </c>
      <c r="CI2" s="57">
        <v>0</v>
      </c>
      <c r="CJ2" s="57">
        <v>0</v>
      </c>
      <c r="CK2" s="57">
        <v>0</v>
      </c>
      <c r="CL2" s="57">
        <v>1</v>
      </c>
      <c r="CM2" s="57">
        <v>0</v>
      </c>
      <c r="CN2" s="57">
        <v>0</v>
      </c>
      <c r="CO2" s="57">
        <v>0</v>
      </c>
      <c r="CP2" s="57">
        <v>0</v>
      </c>
      <c r="CQ2" s="57">
        <v>0</v>
      </c>
      <c r="CR2" s="57">
        <v>0</v>
      </c>
      <c r="CS2" s="57">
        <v>0</v>
      </c>
      <c r="CT2" s="57">
        <v>0</v>
      </c>
      <c r="CU2" s="57">
        <v>0</v>
      </c>
      <c r="CV2" s="57">
        <v>0</v>
      </c>
      <c r="CW2" s="57">
        <v>0</v>
      </c>
      <c r="CX2" s="57">
        <v>0</v>
      </c>
      <c r="CY2" s="57">
        <v>0</v>
      </c>
      <c r="CZ2" s="57">
        <v>0</v>
      </c>
      <c r="DA2" s="57">
        <v>0</v>
      </c>
      <c r="DB2" s="57">
        <v>0</v>
      </c>
      <c r="DC2" s="57">
        <v>0</v>
      </c>
      <c r="DD2" s="57">
        <v>0</v>
      </c>
      <c r="DE2" s="57">
        <v>0</v>
      </c>
      <c r="DF2" s="57">
        <v>0</v>
      </c>
      <c r="DG2" s="146">
        <v>0</v>
      </c>
      <c r="DH2" s="146">
        <v>0</v>
      </c>
      <c r="DI2" s="146">
        <v>0</v>
      </c>
      <c r="DJ2" s="146">
        <v>0</v>
      </c>
      <c r="DK2" s="146">
        <v>0</v>
      </c>
      <c r="DL2" s="146">
        <v>0</v>
      </c>
      <c r="DM2" s="146">
        <v>0</v>
      </c>
      <c r="DN2" s="146">
        <v>0</v>
      </c>
      <c r="DO2" s="146">
        <v>0</v>
      </c>
      <c r="DP2" s="146">
        <v>0</v>
      </c>
      <c r="DQ2" s="146">
        <v>0</v>
      </c>
      <c r="DR2" s="146">
        <v>0</v>
      </c>
      <c r="DS2" s="146">
        <v>0</v>
      </c>
      <c r="DT2" s="146">
        <v>0</v>
      </c>
      <c r="DU2" s="146">
        <v>0</v>
      </c>
      <c r="DV2" s="146">
        <v>0</v>
      </c>
      <c r="DW2" s="146">
        <v>0</v>
      </c>
      <c r="DX2" s="146">
        <v>0</v>
      </c>
      <c r="DY2" s="146">
        <v>0</v>
      </c>
      <c r="DZ2" s="146">
        <v>0</v>
      </c>
      <c r="EA2" s="146">
        <v>0</v>
      </c>
    </row>
    <row r="3" spans="1:131" s="146" customFormat="1" ht="21.65" customHeight="1" x14ac:dyDescent="0.3">
      <c r="A3" s="90" t="str">
        <f>VLOOKUP(E3,'Validation List'!F2:G397,2,FALSE)</f>
        <v>January</v>
      </c>
      <c r="B3" s="90" t="str">
        <f>INDEX('NEW HIRE ROSTER'!$G:$G,MATCH(RAW!F3,'NEW HIRE ROSTER'!$A:$A,0))</f>
        <v>RAMP</v>
      </c>
      <c r="C3" s="90" t="str">
        <f>INDEX('NEW HIRE ROSTER'!$F:$F,MATCH(RAW!F3,'NEW HIRE ROSTER'!$A:$A,0))</f>
        <v>Class 10</v>
      </c>
      <c r="D3" s="90" t="str">
        <f>INDEX('Validation List'!$H:$H,MATCH(RAW!E3,'Validation List'!$F:$F,0))</f>
        <v>Jan Week 1</v>
      </c>
      <c r="E3" s="89">
        <v>45663</v>
      </c>
      <c r="F3" s="56" t="s">
        <v>1909</v>
      </c>
      <c r="G3" s="90" t="str">
        <f>VLOOKUP(F3,ML!C3:D589,2,FALSE)</f>
        <v>Jeric Amazona Mansibang</v>
      </c>
      <c r="H3" s="90" t="str">
        <f>VLOOKUP(F3,ML!C3:E589,3,FALSE)</f>
        <v>QC</v>
      </c>
      <c r="I3" s="83" t="s">
        <v>203</v>
      </c>
      <c r="J3" s="56" t="s">
        <v>209</v>
      </c>
      <c r="K3" s="56" t="s">
        <v>158</v>
      </c>
      <c r="L3" s="56" t="s">
        <v>2238</v>
      </c>
      <c r="M3" s="91">
        <v>0.97</v>
      </c>
      <c r="N3" s="57">
        <v>0</v>
      </c>
      <c r="O3" s="57">
        <v>0</v>
      </c>
      <c r="P3" s="57">
        <v>0</v>
      </c>
      <c r="Q3" s="57">
        <v>0</v>
      </c>
      <c r="R3" s="57">
        <v>0</v>
      </c>
      <c r="S3" s="57">
        <v>0</v>
      </c>
      <c r="T3" s="57">
        <v>0</v>
      </c>
      <c r="U3" s="57">
        <v>0</v>
      </c>
      <c r="V3" s="57">
        <v>0</v>
      </c>
      <c r="W3" s="57">
        <v>0</v>
      </c>
      <c r="X3" s="57">
        <v>0</v>
      </c>
      <c r="Y3" s="57">
        <v>0</v>
      </c>
      <c r="Z3" s="57">
        <v>0</v>
      </c>
      <c r="AA3" s="57">
        <v>0</v>
      </c>
      <c r="AB3" s="57">
        <v>0</v>
      </c>
      <c r="AC3" s="57">
        <v>0</v>
      </c>
      <c r="AD3" s="57">
        <v>0</v>
      </c>
      <c r="AE3" s="57">
        <v>0</v>
      </c>
      <c r="AF3" s="57">
        <v>0</v>
      </c>
      <c r="AG3" s="57">
        <v>0</v>
      </c>
      <c r="AH3" s="57">
        <v>0</v>
      </c>
      <c r="AI3" s="57">
        <v>0</v>
      </c>
      <c r="AJ3" s="57">
        <v>0</v>
      </c>
      <c r="AK3" s="57">
        <v>0</v>
      </c>
      <c r="AL3" s="57">
        <v>0</v>
      </c>
      <c r="AM3" s="57">
        <v>0</v>
      </c>
      <c r="AN3" s="57">
        <v>0</v>
      </c>
      <c r="AO3" s="57">
        <v>0</v>
      </c>
      <c r="AP3" s="57">
        <v>0</v>
      </c>
      <c r="AQ3" s="57">
        <v>0</v>
      </c>
      <c r="AR3" s="57">
        <v>0</v>
      </c>
      <c r="AS3" s="57">
        <v>0</v>
      </c>
      <c r="AT3" s="57">
        <v>0</v>
      </c>
      <c r="AU3" s="57">
        <v>0</v>
      </c>
      <c r="AV3" s="57">
        <v>0</v>
      </c>
      <c r="AW3" s="57">
        <v>0</v>
      </c>
      <c r="AX3" s="57">
        <v>0</v>
      </c>
      <c r="AY3" s="57">
        <v>0</v>
      </c>
      <c r="AZ3" s="57">
        <v>0</v>
      </c>
      <c r="BA3" s="57">
        <v>0</v>
      </c>
      <c r="BB3" s="57">
        <v>0</v>
      </c>
      <c r="BC3" s="57">
        <v>0</v>
      </c>
      <c r="BD3" s="57">
        <v>0</v>
      </c>
      <c r="BE3" s="57">
        <v>0</v>
      </c>
      <c r="BF3" s="57">
        <v>0</v>
      </c>
      <c r="BG3" s="57">
        <v>0</v>
      </c>
      <c r="BH3" s="57">
        <v>0</v>
      </c>
      <c r="BI3" s="57">
        <v>0</v>
      </c>
      <c r="BJ3" s="57">
        <v>0</v>
      </c>
      <c r="BK3" s="57">
        <v>0</v>
      </c>
      <c r="BL3" s="57">
        <v>0</v>
      </c>
      <c r="BM3" s="57">
        <v>0</v>
      </c>
      <c r="BN3" s="57">
        <v>0</v>
      </c>
      <c r="BO3" s="57">
        <v>0</v>
      </c>
      <c r="BP3" s="57">
        <v>0</v>
      </c>
      <c r="BQ3" s="57">
        <v>0</v>
      </c>
      <c r="BR3" s="57">
        <v>0</v>
      </c>
      <c r="BS3" s="57">
        <v>0</v>
      </c>
      <c r="BT3" s="57">
        <v>0</v>
      </c>
      <c r="BU3" s="57">
        <v>0</v>
      </c>
      <c r="BV3" s="57">
        <v>0</v>
      </c>
      <c r="BW3" s="57">
        <v>0</v>
      </c>
      <c r="BX3" s="57">
        <v>0</v>
      </c>
      <c r="BY3" s="57">
        <v>0</v>
      </c>
      <c r="BZ3" s="57">
        <v>0</v>
      </c>
      <c r="CA3" s="57">
        <v>0</v>
      </c>
      <c r="CB3" s="57">
        <v>0</v>
      </c>
      <c r="CC3" s="57">
        <v>0</v>
      </c>
      <c r="CD3" s="57">
        <v>0</v>
      </c>
      <c r="CE3" s="57">
        <v>0</v>
      </c>
      <c r="CF3" s="57">
        <v>0</v>
      </c>
      <c r="CG3" s="57">
        <v>0</v>
      </c>
      <c r="CH3" s="57">
        <v>0</v>
      </c>
      <c r="CI3" s="57">
        <v>0</v>
      </c>
      <c r="CJ3" s="57">
        <v>0</v>
      </c>
      <c r="CK3" s="57">
        <v>0</v>
      </c>
      <c r="CL3" s="57">
        <v>1</v>
      </c>
      <c r="CM3" s="57">
        <v>0</v>
      </c>
      <c r="CN3" s="57">
        <v>0</v>
      </c>
      <c r="CO3" s="57">
        <v>0</v>
      </c>
      <c r="CP3" s="57">
        <v>0</v>
      </c>
      <c r="CQ3" s="57">
        <v>0</v>
      </c>
      <c r="CR3" s="57">
        <v>0</v>
      </c>
      <c r="CS3" s="57">
        <v>0</v>
      </c>
      <c r="CT3" s="57">
        <v>0</v>
      </c>
      <c r="CU3" s="57">
        <v>0</v>
      </c>
      <c r="CV3" s="57">
        <v>0</v>
      </c>
      <c r="CW3" s="57">
        <v>0</v>
      </c>
      <c r="CX3" s="57">
        <v>0</v>
      </c>
      <c r="CY3" s="57">
        <v>0</v>
      </c>
      <c r="CZ3" s="57">
        <v>0</v>
      </c>
      <c r="DA3" s="57">
        <v>0</v>
      </c>
      <c r="DB3" s="57">
        <v>0</v>
      </c>
      <c r="DC3" s="57">
        <v>0</v>
      </c>
      <c r="DD3" s="57">
        <v>0</v>
      </c>
      <c r="DE3" s="57">
        <v>0</v>
      </c>
      <c r="DF3" s="57">
        <v>0</v>
      </c>
      <c r="DG3" s="146">
        <v>0</v>
      </c>
      <c r="DH3" s="146">
        <v>0</v>
      </c>
      <c r="DI3" s="146">
        <v>0</v>
      </c>
      <c r="DJ3" s="146">
        <v>0</v>
      </c>
      <c r="DK3" s="146">
        <v>0</v>
      </c>
      <c r="DL3" s="146">
        <v>0</v>
      </c>
      <c r="DM3" s="146">
        <v>0</v>
      </c>
      <c r="DN3" s="146">
        <v>0</v>
      </c>
      <c r="DO3" s="146">
        <v>0</v>
      </c>
      <c r="DP3" s="146">
        <v>0</v>
      </c>
      <c r="DQ3" s="146">
        <v>0</v>
      </c>
      <c r="DR3" s="146">
        <v>0</v>
      </c>
      <c r="DS3" s="146">
        <v>0</v>
      </c>
      <c r="DT3" s="146">
        <v>0</v>
      </c>
      <c r="DU3" s="146">
        <v>0</v>
      </c>
      <c r="DV3" s="146">
        <v>0</v>
      </c>
      <c r="DW3" s="146">
        <v>0</v>
      </c>
      <c r="DX3" s="146">
        <v>0</v>
      </c>
      <c r="DY3" s="146">
        <v>0</v>
      </c>
      <c r="DZ3" s="146">
        <v>0</v>
      </c>
      <c r="EA3" s="146">
        <v>0</v>
      </c>
    </row>
    <row r="4" spans="1:131" s="146" customFormat="1" ht="17.149999999999999" customHeight="1" x14ac:dyDescent="0.3">
      <c r="A4" s="90" t="str">
        <f>VLOOKUP(E4,'Validation List'!F3:G398,2,FALSE)</f>
        <v>January</v>
      </c>
      <c r="B4" s="90" t="str">
        <f>INDEX('NEW HIRE ROSTER'!$G:$G,MATCH(RAW!F4,'NEW HIRE ROSTER'!$A:$A,0))</f>
        <v>RAMP</v>
      </c>
      <c r="C4" s="90" t="str">
        <f>INDEX('NEW HIRE ROSTER'!$F:$F,MATCH(RAW!F4,'NEW HIRE ROSTER'!$A:$A,0))</f>
        <v>Class 10</v>
      </c>
      <c r="D4" s="90" t="str">
        <f>INDEX('Validation List'!$H:$H,MATCH(RAW!E4,'Validation List'!$F:$F,0))</f>
        <v>Jan Week 1</v>
      </c>
      <c r="E4" s="89">
        <v>45664</v>
      </c>
      <c r="F4" s="56" t="s">
        <v>1912</v>
      </c>
      <c r="G4" s="90" t="str">
        <f>VLOOKUP(F4,ML!C4:D590,2,FALSE)</f>
        <v>Jeric Amazona Mansibang</v>
      </c>
      <c r="H4" s="90" t="str">
        <f>VLOOKUP(F4,ML!C4:E590,3,FALSE)</f>
        <v>QC</v>
      </c>
      <c r="I4" s="83" t="s">
        <v>203</v>
      </c>
      <c r="J4" s="56" t="s">
        <v>209</v>
      </c>
      <c r="K4" s="56" t="s">
        <v>163</v>
      </c>
      <c r="L4" s="56" t="s">
        <v>2239</v>
      </c>
      <c r="M4" s="91">
        <v>0.84</v>
      </c>
      <c r="N4" s="57">
        <v>0</v>
      </c>
      <c r="O4" s="57">
        <v>0</v>
      </c>
      <c r="P4" s="57">
        <v>0</v>
      </c>
      <c r="Q4" s="57">
        <v>0</v>
      </c>
      <c r="R4" s="57">
        <v>0</v>
      </c>
      <c r="S4" s="57">
        <v>0</v>
      </c>
      <c r="T4" s="57">
        <v>0</v>
      </c>
      <c r="U4" s="57">
        <v>0</v>
      </c>
      <c r="V4" s="57">
        <v>0</v>
      </c>
      <c r="W4" s="57">
        <v>0</v>
      </c>
      <c r="X4" s="57">
        <v>0</v>
      </c>
      <c r="Y4" s="57">
        <v>0</v>
      </c>
      <c r="Z4" s="57">
        <v>0</v>
      </c>
      <c r="AA4" s="57">
        <v>0</v>
      </c>
      <c r="AB4" s="57">
        <v>0</v>
      </c>
      <c r="AC4" s="57">
        <v>0</v>
      </c>
      <c r="AD4" s="57">
        <v>0</v>
      </c>
      <c r="AE4" s="57">
        <v>0</v>
      </c>
      <c r="AF4" s="57">
        <v>0</v>
      </c>
      <c r="AG4" s="57">
        <v>0</v>
      </c>
      <c r="AH4" s="57">
        <v>0</v>
      </c>
      <c r="AI4" s="57">
        <v>0</v>
      </c>
      <c r="AJ4" s="57">
        <v>0</v>
      </c>
      <c r="AK4" s="57">
        <v>0</v>
      </c>
      <c r="AL4" s="57">
        <v>0</v>
      </c>
      <c r="AM4" s="57">
        <v>0</v>
      </c>
      <c r="AN4" s="57">
        <v>0</v>
      </c>
      <c r="AO4" s="57">
        <v>0</v>
      </c>
      <c r="AP4" s="57">
        <v>0</v>
      </c>
      <c r="AQ4" s="57">
        <v>0</v>
      </c>
      <c r="AR4" s="57">
        <v>0</v>
      </c>
      <c r="AS4" s="57">
        <v>0</v>
      </c>
      <c r="AT4" s="57">
        <v>0</v>
      </c>
      <c r="AU4" s="57">
        <v>0</v>
      </c>
      <c r="AV4" s="57">
        <v>0</v>
      </c>
      <c r="AW4" s="57">
        <v>0</v>
      </c>
      <c r="AX4" s="57">
        <v>0</v>
      </c>
      <c r="AY4" s="57">
        <v>0</v>
      </c>
      <c r="AZ4" s="57">
        <v>0</v>
      </c>
      <c r="BA4" s="57">
        <v>0</v>
      </c>
      <c r="BB4" s="57">
        <v>0</v>
      </c>
      <c r="BC4" s="57">
        <v>0</v>
      </c>
      <c r="BD4" s="57">
        <v>0</v>
      </c>
      <c r="BE4" s="57">
        <v>0</v>
      </c>
      <c r="BF4" s="57">
        <v>0</v>
      </c>
      <c r="BG4" s="57">
        <v>0</v>
      </c>
      <c r="BH4" s="57">
        <v>0</v>
      </c>
      <c r="BI4" s="57">
        <v>0</v>
      </c>
      <c r="BJ4" s="57">
        <v>0</v>
      </c>
      <c r="BK4" s="57">
        <v>1</v>
      </c>
      <c r="BL4" s="57">
        <v>0</v>
      </c>
      <c r="BM4" s="57">
        <v>0</v>
      </c>
      <c r="BN4" s="57">
        <v>0</v>
      </c>
      <c r="BO4" s="57">
        <v>0</v>
      </c>
      <c r="BP4" s="57">
        <v>0</v>
      </c>
      <c r="BQ4" s="57">
        <v>0</v>
      </c>
      <c r="BR4" s="57">
        <v>0</v>
      </c>
      <c r="BS4" s="57">
        <v>0</v>
      </c>
      <c r="BT4" s="57">
        <v>0</v>
      </c>
      <c r="BU4" s="57">
        <v>0</v>
      </c>
      <c r="BV4" s="57">
        <v>0</v>
      </c>
      <c r="BW4" s="57">
        <v>0</v>
      </c>
      <c r="BX4" s="57">
        <v>0</v>
      </c>
      <c r="BY4" s="57">
        <v>0</v>
      </c>
      <c r="BZ4" s="57">
        <v>0</v>
      </c>
      <c r="CA4" s="57">
        <v>0</v>
      </c>
      <c r="CB4" s="57">
        <v>0</v>
      </c>
      <c r="CC4" s="57">
        <v>0</v>
      </c>
      <c r="CD4" s="57">
        <v>0</v>
      </c>
      <c r="CE4" s="57">
        <v>0</v>
      </c>
      <c r="CF4" s="57">
        <v>0</v>
      </c>
      <c r="CG4" s="57">
        <v>0</v>
      </c>
      <c r="CH4" s="57">
        <v>0</v>
      </c>
      <c r="CI4" s="57">
        <v>0</v>
      </c>
      <c r="CJ4" s="57">
        <v>0</v>
      </c>
      <c r="CK4" s="57">
        <v>0</v>
      </c>
      <c r="CL4" s="57">
        <v>0</v>
      </c>
      <c r="CM4" s="57">
        <v>0</v>
      </c>
      <c r="CN4" s="57">
        <v>0</v>
      </c>
      <c r="CO4" s="57">
        <v>0</v>
      </c>
      <c r="CP4" s="57">
        <v>0</v>
      </c>
      <c r="CQ4" s="57">
        <v>0</v>
      </c>
      <c r="CR4" s="57">
        <v>0</v>
      </c>
      <c r="CS4" s="57">
        <v>0</v>
      </c>
      <c r="CT4" s="57">
        <v>0</v>
      </c>
      <c r="CU4" s="57">
        <v>0</v>
      </c>
      <c r="CV4" s="57">
        <v>0</v>
      </c>
      <c r="CW4" s="57">
        <v>0</v>
      </c>
      <c r="CX4" s="57">
        <v>0</v>
      </c>
      <c r="CY4" s="57">
        <v>0</v>
      </c>
      <c r="CZ4" s="57">
        <v>0</v>
      </c>
      <c r="DA4" s="57">
        <v>0</v>
      </c>
      <c r="DB4" s="57">
        <v>0</v>
      </c>
      <c r="DC4" s="57">
        <v>0</v>
      </c>
      <c r="DD4" s="57">
        <v>0</v>
      </c>
      <c r="DE4" s="57">
        <v>0</v>
      </c>
      <c r="DF4" s="57">
        <v>1</v>
      </c>
      <c r="DG4" s="146">
        <v>0</v>
      </c>
      <c r="DH4" s="146">
        <v>0</v>
      </c>
      <c r="DI4" s="146">
        <v>0</v>
      </c>
      <c r="DJ4" s="146">
        <v>0</v>
      </c>
      <c r="DK4" s="146">
        <v>0</v>
      </c>
      <c r="DL4" s="146">
        <v>0</v>
      </c>
      <c r="DM4" s="146">
        <v>0</v>
      </c>
      <c r="DN4" s="146">
        <v>0</v>
      </c>
      <c r="DO4" s="146">
        <v>0</v>
      </c>
      <c r="DP4" s="146">
        <v>0</v>
      </c>
      <c r="DQ4" s="146">
        <v>0</v>
      </c>
      <c r="DR4" s="146">
        <v>0</v>
      </c>
      <c r="DS4" s="146">
        <v>0</v>
      </c>
      <c r="DT4" s="146">
        <v>0</v>
      </c>
      <c r="DU4" s="146">
        <v>0</v>
      </c>
      <c r="DV4" s="146">
        <v>0</v>
      </c>
      <c r="DW4" s="146">
        <v>0</v>
      </c>
      <c r="DX4" s="146">
        <v>0</v>
      </c>
      <c r="DY4" s="146">
        <v>0</v>
      </c>
      <c r="DZ4" s="146">
        <v>0</v>
      </c>
      <c r="EA4" s="146">
        <v>0</v>
      </c>
    </row>
    <row r="5" spans="1:131" s="146" customFormat="1" ht="12" x14ac:dyDescent="0.3">
      <c r="A5" s="90" t="str">
        <f>VLOOKUP(E5,'Validation List'!F4:G399,2,FALSE)</f>
        <v>January</v>
      </c>
      <c r="B5" s="90" t="str">
        <f>INDEX('NEW HIRE ROSTER'!$G:$G,MATCH(RAW!F5,'NEW HIRE ROSTER'!$A:$A,0))</f>
        <v>Nesting</v>
      </c>
      <c r="C5" s="90" t="str">
        <f>INDEX('NEW HIRE ROSTER'!$F:$F,MATCH(RAW!F5,'NEW HIRE ROSTER'!$A:$A,0))</f>
        <v>Class 11.1</v>
      </c>
      <c r="D5" s="90" t="str">
        <f>INDEX('Validation List'!$H:$H,MATCH(RAW!E5,'Validation List'!$F:$F,0))</f>
        <v>Jan Week 1</v>
      </c>
      <c r="E5" s="89">
        <v>45665</v>
      </c>
      <c r="F5" s="56" t="s">
        <v>2017</v>
      </c>
      <c r="G5" s="90" t="str">
        <f>VLOOKUP(F5,ML!C5:D591,2,FALSE)</f>
        <v>Robin Antolihao Llamido</v>
      </c>
      <c r="H5" s="90" t="str">
        <f>VLOOKUP(F5,ML!C5:E591,3,FALSE)</f>
        <v>QC</v>
      </c>
      <c r="I5" s="83" t="s">
        <v>200</v>
      </c>
      <c r="J5" s="56" t="s">
        <v>209</v>
      </c>
      <c r="K5" s="56" t="s">
        <v>161</v>
      </c>
      <c r="L5" s="56" t="s">
        <v>2240</v>
      </c>
      <c r="M5" s="91">
        <v>1</v>
      </c>
      <c r="N5" s="57">
        <v>0</v>
      </c>
      <c r="O5" s="57">
        <v>0</v>
      </c>
      <c r="P5" s="57">
        <v>0</v>
      </c>
      <c r="Q5" s="57">
        <v>0</v>
      </c>
      <c r="R5" s="57">
        <v>0</v>
      </c>
      <c r="S5" s="57">
        <v>0</v>
      </c>
      <c r="T5" s="57">
        <v>0</v>
      </c>
      <c r="U5" s="57">
        <v>0</v>
      </c>
      <c r="V5" s="57">
        <v>0</v>
      </c>
      <c r="W5" s="57">
        <v>0</v>
      </c>
      <c r="X5" s="57">
        <v>0</v>
      </c>
      <c r="Y5" s="57">
        <v>0</v>
      </c>
      <c r="Z5" s="57">
        <v>0</v>
      </c>
      <c r="AA5" s="57">
        <v>0</v>
      </c>
      <c r="AB5" s="57">
        <v>0</v>
      </c>
      <c r="AC5" s="57">
        <v>0</v>
      </c>
      <c r="AD5" s="57">
        <v>0</v>
      </c>
      <c r="AE5" s="57">
        <v>0</v>
      </c>
      <c r="AF5" s="57">
        <v>0</v>
      </c>
      <c r="AG5" s="57">
        <v>0</v>
      </c>
      <c r="AH5" s="57">
        <v>0</v>
      </c>
      <c r="AI5" s="57">
        <v>0</v>
      </c>
      <c r="AJ5" s="57">
        <v>0</v>
      </c>
      <c r="AK5" s="57">
        <v>0</v>
      </c>
      <c r="AL5" s="57">
        <v>0</v>
      </c>
      <c r="AM5" s="57">
        <v>0</v>
      </c>
      <c r="AN5" s="57">
        <v>0</v>
      </c>
      <c r="AO5" s="57">
        <v>0</v>
      </c>
      <c r="AP5" s="57">
        <v>0</v>
      </c>
      <c r="AQ5" s="57">
        <v>0</v>
      </c>
      <c r="AR5" s="57">
        <v>0</v>
      </c>
      <c r="AS5" s="57">
        <v>0</v>
      </c>
      <c r="AT5" s="57">
        <v>0</v>
      </c>
      <c r="AU5" s="57">
        <v>0</v>
      </c>
      <c r="AV5" s="57">
        <v>0</v>
      </c>
      <c r="AW5" s="57">
        <v>0</v>
      </c>
      <c r="AX5" s="57">
        <v>0</v>
      </c>
      <c r="AY5" s="57">
        <v>0</v>
      </c>
      <c r="AZ5" s="57">
        <v>0</v>
      </c>
      <c r="BA5" s="57">
        <v>0</v>
      </c>
      <c r="BB5" s="57">
        <v>0</v>
      </c>
      <c r="BC5" s="57">
        <v>0</v>
      </c>
      <c r="BD5" s="57">
        <v>0</v>
      </c>
      <c r="BE5" s="57">
        <v>0</v>
      </c>
      <c r="BF5" s="57">
        <v>0</v>
      </c>
      <c r="BG5" s="57">
        <v>0</v>
      </c>
      <c r="BH5" s="57">
        <v>0</v>
      </c>
      <c r="BI5" s="57">
        <v>0</v>
      </c>
      <c r="BJ5" s="57">
        <v>0</v>
      </c>
      <c r="BK5" s="57">
        <v>0</v>
      </c>
      <c r="BL5" s="57">
        <v>0</v>
      </c>
      <c r="BM5" s="57">
        <v>0</v>
      </c>
      <c r="BN5" s="57">
        <v>0</v>
      </c>
      <c r="BO5" s="57">
        <v>0</v>
      </c>
      <c r="BP5" s="57">
        <v>0</v>
      </c>
      <c r="BQ5" s="57">
        <v>0</v>
      </c>
      <c r="BR5" s="57">
        <v>0</v>
      </c>
      <c r="BS5" s="57">
        <v>0</v>
      </c>
      <c r="BT5" s="57">
        <v>0</v>
      </c>
      <c r="BU5" s="57">
        <v>0</v>
      </c>
      <c r="BV5" s="57">
        <v>0</v>
      </c>
      <c r="BW5" s="57">
        <v>0</v>
      </c>
      <c r="BX5" s="57">
        <v>0</v>
      </c>
      <c r="BY5" s="57">
        <v>0</v>
      </c>
      <c r="BZ5" s="57">
        <v>0</v>
      </c>
      <c r="CA5" s="57">
        <v>0</v>
      </c>
      <c r="CB5" s="57">
        <v>0</v>
      </c>
      <c r="CC5" s="57">
        <v>0</v>
      </c>
      <c r="CD5" s="57">
        <v>0</v>
      </c>
      <c r="CE5" s="57">
        <v>0</v>
      </c>
      <c r="CF5" s="57">
        <v>0</v>
      </c>
      <c r="CG5" s="57">
        <v>0</v>
      </c>
      <c r="CH5" s="57">
        <v>0</v>
      </c>
      <c r="CI5" s="57">
        <v>0</v>
      </c>
      <c r="CJ5" s="57">
        <v>0</v>
      </c>
      <c r="CK5" s="57">
        <v>0</v>
      </c>
      <c r="CL5" s="57">
        <v>0</v>
      </c>
      <c r="CM5" s="57">
        <v>0</v>
      </c>
      <c r="CN5" s="57">
        <v>0</v>
      </c>
      <c r="CO5" s="57">
        <v>0</v>
      </c>
      <c r="CP5" s="57">
        <v>0</v>
      </c>
      <c r="CQ5" s="57">
        <v>0</v>
      </c>
      <c r="CR5" s="57">
        <v>0</v>
      </c>
      <c r="CS5" s="57">
        <v>0</v>
      </c>
      <c r="CT5" s="57">
        <v>0</v>
      </c>
      <c r="CU5" s="57">
        <v>0</v>
      </c>
      <c r="CV5" s="57">
        <v>0</v>
      </c>
      <c r="CW5" s="57">
        <v>0</v>
      </c>
      <c r="CX5" s="57">
        <v>0</v>
      </c>
      <c r="CY5" s="57">
        <v>0</v>
      </c>
      <c r="CZ5" s="57">
        <v>0</v>
      </c>
      <c r="DA5" s="57">
        <v>0</v>
      </c>
      <c r="DB5" s="57">
        <v>0</v>
      </c>
      <c r="DC5" s="57">
        <v>0</v>
      </c>
      <c r="DD5" s="57">
        <v>0</v>
      </c>
      <c r="DE5" s="57">
        <v>0</v>
      </c>
      <c r="DF5" s="57">
        <v>0</v>
      </c>
      <c r="DG5" s="146">
        <v>0</v>
      </c>
      <c r="DH5" s="146">
        <v>0</v>
      </c>
      <c r="DI5" s="146">
        <v>0</v>
      </c>
      <c r="DJ5" s="146">
        <v>0</v>
      </c>
      <c r="DK5" s="146">
        <v>0</v>
      </c>
      <c r="DL5" s="146">
        <v>0</v>
      </c>
      <c r="DM5" s="146">
        <v>0</v>
      </c>
      <c r="DN5" s="146">
        <v>0</v>
      </c>
      <c r="DO5" s="146">
        <v>0</v>
      </c>
      <c r="DP5" s="146">
        <v>0</v>
      </c>
      <c r="DQ5" s="146">
        <v>0</v>
      </c>
      <c r="DR5" s="146">
        <v>0</v>
      </c>
      <c r="DS5" s="146">
        <v>0</v>
      </c>
      <c r="DT5" s="146">
        <v>0</v>
      </c>
      <c r="DU5" s="146">
        <v>0</v>
      </c>
      <c r="DV5" s="146">
        <v>0</v>
      </c>
      <c r="DW5" s="146">
        <v>0</v>
      </c>
      <c r="DX5" s="146">
        <v>0</v>
      </c>
      <c r="DY5" s="146">
        <v>0</v>
      </c>
      <c r="DZ5" s="146">
        <v>0</v>
      </c>
      <c r="EA5" s="146">
        <v>0</v>
      </c>
    </row>
    <row r="6" spans="1:131" s="146" customFormat="1" ht="12" x14ac:dyDescent="0.3">
      <c r="A6" s="90" t="str">
        <f>VLOOKUP(E6,'Validation List'!F5:G400,2,FALSE)</f>
        <v>January</v>
      </c>
      <c r="B6" s="90" t="str">
        <f>INDEX('NEW HIRE ROSTER'!$G:$G,MATCH(RAW!F6,'NEW HIRE ROSTER'!$A:$A,0))</f>
        <v>RAMP</v>
      </c>
      <c r="C6" s="90" t="str">
        <f>INDEX('NEW HIRE ROSTER'!$F:$F,MATCH(RAW!F6,'NEW HIRE ROSTER'!$A:$A,0))</f>
        <v>Class 10</v>
      </c>
      <c r="D6" s="90" t="str">
        <f>INDEX('Validation List'!$H:$H,MATCH(RAW!E6,'Validation List'!$F:$F,0))</f>
        <v>Jan Week 1</v>
      </c>
      <c r="E6" s="89">
        <v>45665</v>
      </c>
      <c r="F6" s="56" t="s">
        <v>1942</v>
      </c>
      <c r="G6" s="90" t="str">
        <f>VLOOKUP(F6,ML!C6:D592,2,FALSE)</f>
        <v>Jeric Amazona Mansibang</v>
      </c>
      <c r="H6" s="90" t="str">
        <f>VLOOKUP(F6,ML!C6:E592,3,FALSE)</f>
        <v>QC</v>
      </c>
      <c r="I6" s="83" t="s">
        <v>203</v>
      </c>
      <c r="J6" s="56" t="s">
        <v>209</v>
      </c>
      <c r="K6" s="56" t="s">
        <v>158</v>
      </c>
      <c r="L6" s="56" t="s">
        <v>2241</v>
      </c>
      <c r="M6" s="91">
        <v>0.84</v>
      </c>
      <c r="N6" s="57">
        <v>0</v>
      </c>
      <c r="O6" s="57">
        <v>0</v>
      </c>
      <c r="P6" s="57">
        <v>0</v>
      </c>
      <c r="Q6" s="57">
        <v>0</v>
      </c>
      <c r="R6" s="57">
        <v>0</v>
      </c>
      <c r="S6" s="57">
        <v>0</v>
      </c>
      <c r="T6" s="57">
        <v>0</v>
      </c>
      <c r="U6" s="57">
        <v>1</v>
      </c>
      <c r="V6" s="57">
        <v>0</v>
      </c>
      <c r="W6" s="57">
        <v>0</v>
      </c>
      <c r="X6" s="57">
        <v>0</v>
      </c>
      <c r="Y6" s="57">
        <v>0</v>
      </c>
      <c r="Z6" s="57">
        <v>0</v>
      </c>
      <c r="AA6" s="57">
        <v>0</v>
      </c>
      <c r="AB6" s="57">
        <v>0</v>
      </c>
      <c r="AC6" s="57">
        <v>0</v>
      </c>
      <c r="AD6" s="57">
        <v>0</v>
      </c>
      <c r="AE6" s="57">
        <v>0</v>
      </c>
      <c r="AF6" s="57">
        <v>0</v>
      </c>
      <c r="AG6" s="57">
        <v>0</v>
      </c>
      <c r="AH6" s="57">
        <v>0</v>
      </c>
      <c r="AI6" s="57">
        <v>0</v>
      </c>
      <c r="AJ6" s="57">
        <v>0</v>
      </c>
      <c r="AK6" s="57">
        <v>0</v>
      </c>
      <c r="AL6" s="57">
        <v>0</v>
      </c>
      <c r="AM6" s="57">
        <v>0</v>
      </c>
      <c r="AN6" s="57">
        <v>0</v>
      </c>
      <c r="AO6" s="57">
        <v>0</v>
      </c>
      <c r="AP6" s="57">
        <v>0</v>
      </c>
      <c r="AQ6" s="57">
        <v>0</v>
      </c>
      <c r="AR6" s="57">
        <v>0</v>
      </c>
      <c r="AS6" s="57">
        <v>0</v>
      </c>
      <c r="AT6" s="57">
        <v>0</v>
      </c>
      <c r="AU6" s="57">
        <v>0</v>
      </c>
      <c r="AV6" s="57">
        <v>0</v>
      </c>
      <c r="AW6" s="57">
        <v>0</v>
      </c>
      <c r="AX6" s="57">
        <v>0</v>
      </c>
      <c r="AY6" s="57">
        <v>0</v>
      </c>
      <c r="AZ6" s="57">
        <v>0</v>
      </c>
      <c r="BA6" s="57">
        <v>0</v>
      </c>
      <c r="BB6" s="57">
        <v>0</v>
      </c>
      <c r="BC6" s="57">
        <v>0</v>
      </c>
      <c r="BD6" s="57">
        <v>0</v>
      </c>
      <c r="BE6" s="57">
        <v>0</v>
      </c>
      <c r="BF6" s="57">
        <v>0</v>
      </c>
      <c r="BG6" s="57">
        <v>0</v>
      </c>
      <c r="BH6" s="57">
        <v>0</v>
      </c>
      <c r="BI6" s="57">
        <v>0</v>
      </c>
      <c r="BJ6" s="57">
        <v>0</v>
      </c>
      <c r="BK6" s="57">
        <v>0</v>
      </c>
      <c r="BL6" s="57">
        <v>0</v>
      </c>
      <c r="BM6" s="57">
        <v>0</v>
      </c>
      <c r="BN6" s="57">
        <v>0</v>
      </c>
      <c r="BO6" s="57">
        <v>0</v>
      </c>
      <c r="BP6" s="57">
        <v>0</v>
      </c>
      <c r="BQ6" s="57">
        <v>0</v>
      </c>
      <c r="BR6" s="57">
        <v>0</v>
      </c>
      <c r="BS6" s="57">
        <v>0</v>
      </c>
      <c r="BT6" s="57">
        <v>0</v>
      </c>
      <c r="BU6" s="57">
        <v>0</v>
      </c>
      <c r="BV6" s="57">
        <v>0</v>
      </c>
      <c r="BW6" s="57">
        <v>0</v>
      </c>
      <c r="BX6" s="57">
        <v>0</v>
      </c>
      <c r="BY6" s="57">
        <v>0</v>
      </c>
      <c r="BZ6" s="57">
        <v>0</v>
      </c>
      <c r="CA6" s="57">
        <v>0</v>
      </c>
      <c r="CB6" s="57">
        <v>0</v>
      </c>
      <c r="CC6" s="57">
        <v>0</v>
      </c>
      <c r="CD6" s="57">
        <v>0</v>
      </c>
      <c r="CE6" s="57">
        <v>0</v>
      </c>
      <c r="CF6" s="57">
        <v>0</v>
      </c>
      <c r="CG6" s="57">
        <v>0</v>
      </c>
      <c r="CH6" s="57">
        <v>0</v>
      </c>
      <c r="CI6" s="57">
        <v>0</v>
      </c>
      <c r="CJ6" s="57">
        <v>0</v>
      </c>
      <c r="CK6" s="57">
        <v>0</v>
      </c>
      <c r="CL6" s="57"/>
      <c r="CM6" s="57">
        <v>0</v>
      </c>
      <c r="CN6" s="57">
        <v>0</v>
      </c>
      <c r="CO6" s="57">
        <v>0</v>
      </c>
      <c r="CP6" s="57">
        <v>0</v>
      </c>
      <c r="CQ6" s="57">
        <v>0</v>
      </c>
      <c r="CR6" s="57">
        <v>0</v>
      </c>
      <c r="CS6" s="57">
        <v>0</v>
      </c>
      <c r="CT6" s="57">
        <v>0</v>
      </c>
      <c r="CU6" s="57">
        <v>0</v>
      </c>
      <c r="CV6" s="57">
        <v>0</v>
      </c>
      <c r="CW6" s="57">
        <v>0</v>
      </c>
      <c r="CX6" s="57">
        <v>0</v>
      </c>
      <c r="CY6" s="57">
        <v>0</v>
      </c>
      <c r="CZ6" s="57">
        <v>0</v>
      </c>
      <c r="DA6" s="57">
        <v>0</v>
      </c>
      <c r="DB6" s="57">
        <v>0</v>
      </c>
      <c r="DC6" s="57">
        <v>0</v>
      </c>
      <c r="DD6" s="57">
        <v>0</v>
      </c>
      <c r="DE6" s="57">
        <v>0</v>
      </c>
      <c r="DF6" s="57">
        <v>1</v>
      </c>
      <c r="DG6" s="146">
        <v>0</v>
      </c>
      <c r="DH6" s="146">
        <v>0</v>
      </c>
      <c r="DI6" s="146">
        <v>0</v>
      </c>
      <c r="DJ6" s="146">
        <v>0</v>
      </c>
      <c r="DK6" s="146">
        <v>0</v>
      </c>
      <c r="DL6" s="146">
        <v>0</v>
      </c>
      <c r="DM6" s="146">
        <v>0</v>
      </c>
      <c r="DN6" s="146">
        <v>0</v>
      </c>
      <c r="DO6" s="146">
        <v>0</v>
      </c>
      <c r="DP6" s="146">
        <v>0</v>
      </c>
      <c r="DQ6" s="146">
        <v>0</v>
      </c>
      <c r="DR6" s="146">
        <v>0</v>
      </c>
      <c r="DS6" s="146">
        <v>0</v>
      </c>
      <c r="DT6" s="146">
        <v>0</v>
      </c>
      <c r="DU6" s="146">
        <v>0</v>
      </c>
      <c r="DV6" s="146">
        <v>0</v>
      </c>
      <c r="DW6" s="146">
        <v>0</v>
      </c>
      <c r="DX6" s="146">
        <v>0</v>
      </c>
      <c r="DY6" s="146">
        <v>0</v>
      </c>
      <c r="DZ6" s="146">
        <v>0</v>
      </c>
      <c r="EA6" s="146">
        <v>0</v>
      </c>
    </row>
    <row r="7" spans="1:131" s="146" customFormat="1" ht="12" x14ac:dyDescent="0.3">
      <c r="A7" s="90" t="str">
        <f>VLOOKUP(E7,'Validation List'!F7:G402,2,FALSE)</f>
        <v>January</v>
      </c>
      <c r="B7" s="90" t="str">
        <f>INDEX('NEW HIRE ROSTER'!$G:$G,MATCH(RAW!F7,'NEW HIRE ROSTER'!$A:$A,0))</f>
        <v>RAMP</v>
      </c>
      <c r="C7" s="90" t="str">
        <f>INDEX('NEW HIRE ROSTER'!$F:$F,MATCH(RAW!F7,'NEW HIRE ROSTER'!$A:$A,0))</f>
        <v>Class 10</v>
      </c>
      <c r="D7" s="90" t="str">
        <f>INDEX('Validation List'!$H:$H,MATCH(RAW!E7,'Validation List'!$F:$F,0))</f>
        <v>Jan Week 1</v>
      </c>
      <c r="E7" s="89">
        <v>45663</v>
      </c>
      <c r="F7" s="56" t="s">
        <v>1909</v>
      </c>
      <c r="G7" s="90" t="str">
        <f>VLOOKUP(F7,ML!C7:D593,2,FALSE)</f>
        <v>Jeric Amazona Mansibang</v>
      </c>
      <c r="H7" s="90" t="str">
        <f>VLOOKUP(F7,ML!C8:E594,3,FALSE)</f>
        <v>QC</v>
      </c>
      <c r="I7" s="83" t="s">
        <v>203</v>
      </c>
      <c r="J7" s="56" t="s">
        <v>209</v>
      </c>
      <c r="K7" s="56" t="s">
        <v>158</v>
      </c>
      <c r="L7" s="56" t="s">
        <v>2244</v>
      </c>
      <c r="M7" s="91">
        <v>1</v>
      </c>
      <c r="N7" s="57">
        <v>0</v>
      </c>
      <c r="O7" s="57">
        <v>0</v>
      </c>
      <c r="P7" s="57">
        <v>0</v>
      </c>
      <c r="Q7" s="57">
        <v>0</v>
      </c>
      <c r="R7" s="57">
        <v>0</v>
      </c>
      <c r="S7" s="57">
        <v>0</v>
      </c>
      <c r="T7" s="57">
        <v>0</v>
      </c>
      <c r="U7" s="57">
        <v>0</v>
      </c>
      <c r="V7" s="57">
        <v>0</v>
      </c>
      <c r="W7" s="57">
        <v>0</v>
      </c>
      <c r="X7" s="57">
        <v>0</v>
      </c>
      <c r="Y7" s="57">
        <v>0</v>
      </c>
      <c r="Z7" s="57">
        <v>0</v>
      </c>
      <c r="AA7" s="57">
        <v>0</v>
      </c>
      <c r="AB7" s="57">
        <v>0</v>
      </c>
      <c r="AC7" s="57">
        <v>0</v>
      </c>
      <c r="AD7" s="57">
        <v>0</v>
      </c>
      <c r="AE7" s="57">
        <v>0</v>
      </c>
      <c r="AF7" s="57">
        <v>0</v>
      </c>
      <c r="AG7" s="57">
        <v>0</v>
      </c>
      <c r="AH7" s="57">
        <v>0</v>
      </c>
      <c r="AI7" s="57">
        <v>0</v>
      </c>
      <c r="AJ7" s="57">
        <v>0</v>
      </c>
      <c r="AK7" s="57">
        <v>0</v>
      </c>
      <c r="AL7" s="57">
        <v>0</v>
      </c>
      <c r="AM7" s="57">
        <v>0</v>
      </c>
      <c r="AN7" s="57">
        <v>0</v>
      </c>
      <c r="AO7" s="57">
        <v>0</v>
      </c>
      <c r="AP7" s="57">
        <v>0</v>
      </c>
      <c r="AQ7" s="57">
        <v>0</v>
      </c>
      <c r="AR7" s="57">
        <v>0</v>
      </c>
      <c r="AS7" s="57">
        <v>0</v>
      </c>
      <c r="AT7" s="57">
        <v>0</v>
      </c>
      <c r="AU7" s="57">
        <v>0</v>
      </c>
      <c r="AV7" s="57">
        <v>0</v>
      </c>
      <c r="AW7" s="57">
        <v>0</v>
      </c>
      <c r="AX7" s="57">
        <v>0</v>
      </c>
      <c r="AY7" s="57">
        <v>0</v>
      </c>
      <c r="AZ7" s="57">
        <v>0</v>
      </c>
      <c r="BA7" s="57">
        <v>0</v>
      </c>
      <c r="BB7" s="57">
        <v>0</v>
      </c>
      <c r="BC7" s="57">
        <v>0</v>
      </c>
      <c r="BD7" s="57">
        <v>0</v>
      </c>
      <c r="BE7" s="57">
        <v>0</v>
      </c>
      <c r="BF7" s="57">
        <v>0</v>
      </c>
      <c r="BG7" s="57">
        <v>0</v>
      </c>
      <c r="BH7" s="57">
        <v>0</v>
      </c>
      <c r="BI7" s="57">
        <v>0</v>
      </c>
      <c r="BJ7" s="57">
        <v>0</v>
      </c>
      <c r="BK7" s="57">
        <v>0</v>
      </c>
      <c r="BL7" s="57">
        <v>0</v>
      </c>
      <c r="BM7" s="57">
        <v>0</v>
      </c>
      <c r="BN7" s="57">
        <v>0</v>
      </c>
      <c r="BO7" s="57">
        <v>0</v>
      </c>
      <c r="BP7" s="57">
        <v>0</v>
      </c>
      <c r="BQ7" s="57">
        <v>0</v>
      </c>
      <c r="BR7" s="57">
        <v>0</v>
      </c>
      <c r="BS7" s="57">
        <v>0</v>
      </c>
      <c r="BT7" s="57">
        <v>0</v>
      </c>
      <c r="BU7" s="57">
        <v>0</v>
      </c>
      <c r="BV7" s="57">
        <v>0</v>
      </c>
      <c r="BW7" s="57">
        <v>0</v>
      </c>
      <c r="BX7" s="57">
        <v>0</v>
      </c>
      <c r="BY7" s="57">
        <v>0</v>
      </c>
      <c r="BZ7" s="57">
        <v>0</v>
      </c>
      <c r="CA7" s="57">
        <v>0</v>
      </c>
      <c r="CB7" s="57">
        <v>0</v>
      </c>
      <c r="CC7" s="57">
        <v>0</v>
      </c>
      <c r="CD7" s="57">
        <v>0</v>
      </c>
      <c r="CE7" s="57">
        <v>0</v>
      </c>
      <c r="CF7" s="57">
        <v>0</v>
      </c>
      <c r="CG7" s="57">
        <v>0</v>
      </c>
      <c r="CH7" s="57">
        <v>0</v>
      </c>
      <c r="CI7" s="57">
        <v>0</v>
      </c>
      <c r="CJ7" s="57">
        <v>0</v>
      </c>
      <c r="CK7" s="57">
        <v>0</v>
      </c>
      <c r="CL7" s="57">
        <v>0</v>
      </c>
      <c r="CM7" s="57">
        <v>0</v>
      </c>
      <c r="CN7" s="57">
        <v>0</v>
      </c>
      <c r="CO7" s="57">
        <v>0</v>
      </c>
      <c r="CP7" s="57">
        <v>0</v>
      </c>
      <c r="CQ7" s="57">
        <v>0</v>
      </c>
      <c r="CR7" s="57">
        <v>0</v>
      </c>
      <c r="CS7" s="57">
        <v>0</v>
      </c>
      <c r="CT7" s="57">
        <v>0</v>
      </c>
      <c r="CU7" s="57">
        <v>0</v>
      </c>
      <c r="CV7" s="57">
        <v>0</v>
      </c>
      <c r="CW7" s="57">
        <v>0</v>
      </c>
      <c r="CX7" s="57">
        <v>0</v>
      </c>
      <c r="CY7" s="57">
        <v>0</v>
      </c>
      <c r="CZ7" s="57">
        <v>0</v>
      </c>
      <c r="DA7" s="57">
        <v>0</v>
      </c>
      <c r="DB7" s="57">
        <v>0</v>
      </c>
      <c r="DC7" s="57">
        <v>0</v>
      </c>
      <c r="DD7" s="57">
        <v>0</v>
      </c>
      <c r="DE7" s="57">
        <v>0</v>
      </c>
      <c r="DF7" s="57">
        <v>0</v>
      </c>
      <c r="DG7" s="146">
        <v>0</v>
      </c>
      <c r="DH7" s="146">
        <v>0</v>
      </c>
      <c r="DI7" s="146">
        <v>0</v>
      </c>
      <c r="DJ7" s="146">
        <v>0</v>
      </c>
      <c r="DK7" s="146">
        <v>0</v>
      </c>
      <c r="DL7" s="146">
        <v>0</v>
      </c>
      <c r="DM7" s="146">
        <v>0</v>
      </c>
      <c r="DN7" s="146">
        <v>0</v>
      </c>
      <c r="DO7" s="146">
        <v>0</v>
      </c>
      <c r="DP7" s="146">
        <v>0</v>
      </c>
      <c r="DQ7" s="146">
        <v>0</v>
      </c>
      <c r="DR7" s="146">
        <v>0</v>
      </c>
      <c r="DS7" s="146">
        <v>0</v>
      </c>
      <c r="DT7" s="146">
        <v>0</v>
      </c>
      <c r="DU7" s="146">
        <v>0</v>
      </c>
      <c r="DV7" s="146">
        <v>0</v>
      </c>
      <c r="DW7" s="146">
        <v>0</v>
      </c>
      <c r="DX7" s="146">
        <v>0</v>
      </c>
      <c r="DY7" s="146">
        <v>0</v>
      </c>
      <c r="DZ7" s="146">
        <v>0</v>
      </c>
      <c r="EA7" s="146">
        <v>0</v>
      </c>
    </row>
    <row r="8" spans="1:131" s="146" customFormat="1" ht="12" x14ac:dyDescent="0.3">
      <c r="A8" s="90" t="str">
        <f>VLOOKUP(E8,'Validation List'!F8:G403,2,FALSE)</f>
        <v>January</v>
      </c>
      <c r="B8" s="90" t="str">
        <f>INDEX('NEW HIRE ROSTER'!$G:$G,MATCH(RAW!F8,'NEW HIRE ROSTER'!$A:$A,0))</f>
        <v>RAMP</v>
      </c>
      <c r="C8" s="90" t="str">
        <f>INDEX('NEW HIRE ROSTER'!$F:$F,MATCH(RAW!F8,'NEW HIRE ROSTER'!$A:$A,0))</f>
        <v>Class 10</v>
      </c>
      <c r="D8" s="90" t="str">
        <f>INDEX('Validation List'!$H:$H,MATCH(RAW!E8,'Validation List'!$F:$F,0))</f>
        <v>Jan Week 1</v>
      </c>
      <c r="E8" s="89">
        <v>45663</v>
      </c>
      <c r="F8" s="56" t="s">
        <v>1909</v>
      </c>
      <c r="G8" s="90" t="str">
        <f>VLOOKUP(F8,ML!C8:D594,2,FALSE)</f>
        <v>Jeric Amazona Mansibang</v>
      </c>
      <c r="H8" s="90" t="str">
        <f>VLOOKUP(F8,ML!C9:E595,3,FALSE)</f>
        <v>QC</v>
      </c>
      <c r="I8" s="83" t="s">
        <v>203</v>
      </c>
      <c r="J8" s="56" t="s">
        <v>209</v>
      </c>
      <c r="K8" s="56" t="s">
        <v>158</v>
      </c>
      <c r="L8" s="56" t="s">
        <v>2245</v>
      </c>
      <c r="M8" s="91">
        <v>1</v>
      </c>
      <c r="N8" s="57">
        <v>0</v>
      </c>
      <c r="O8" s="57">
        <v>0</v>
      </c>
      <c r="P8" s="57">
        <v>0</v>
      </c>
      <c r="Q8" s="57">
        <v>0</v>
      </c>
      <c r="R8" s="57">
        <v>0</v>
      </c>
      <c r="S8" s="57">
        <v>0</v>
      </c>
      <c r="T8" s="57">
        <v>0</v>
      </c>
      <c r="U8" s="57">
        <v>0</v>
      </c>
      <c r="V8" s="57">
        <v>0</v>
      </c>
      <c r="W8" s="57">
        <v>0</v>
      </c>
      <c r="X8" s="57">
        <v>0</v>
      </c>
      <c r="Y8" s="57">
        <v>0</v>
      </c>
      <c r="Z8" s="57">
        <v>0</v>
      </c>
      <c r="AA8" s="57">
        <v>0</v>
      </c>
      <c r="AB8" s="57">
        <v>0</v>
      </c>
      <c r="AC8" s="57">
        <v>0</v>
      </c>
      <c r="AD8" s="57">
        <v>0</v>
      </c>
      <c r="AE8" s="57">
        <v>0</v>
      </c>
      <c r="AF8" s="57">
        <v>0</v>
      </c>
      <c r="AG8" s="57">
        <v>0</v>
      </c>
      <c r="AH8" s="57">
        <v>0</v>
      </c>
      <c r="AI8" s="57">
        <v>0</v>
      </c>
      <c r="AJ8" s="57">
        <v>0</v>
      </c>
      <c r="AK8" s="57">
        <v>0</v>
      </c>
      <c r="AL8" s="57">
        <v>0</v>
      </c>
      <c r="AM8" s="57">
        <v>0</v>
      </c>
      <c r="AN8" s="57">
        <v>0</v>
      </c>
      <c r="AO8" s="57">
        <v>0</v>
      </c>
      <c r="AP8" s="57">
        <v>0</v>
      </c>
      <c r="AQ8" s="57">
        <v>0</v>
      </c>
      <c r="AR8" s="57">
        <v>0</v>
      </c>
      <c r="AS8" s="57">
        <v>0</v>
      </c>
      <c r="AT8" s="57">
        <v>0</v>
      </c>
      <c r="AU8" s="57">
        <v>0</v>
      </c>
      <c r="AV8" s="57">
        <v>0</v>
      </c>
      <c r="AW8" s="57">
        <v>0</v>
      </c>
      <c r="AX8" s="57">
        <v>0</v>
      </c>
      <c r="AY8" s="57">
        <v>0</v>
      </c>
      <c r="AZ8" s="57">
        <v>0</v>
      </c>
      <c r="BA8" s="57">
        <v>0</v>
      </c>
      <c r="BB8" s="57">
        <v>0</v>
      </c>
      <c r="BC8" s="57">
        <v>0</v>
      </c>
      <c r="BD8" s="57">
        <v>0</v>
      </c>
      <c r="BE8" s="57">
        <v>0</v>
      </c>
      <c r="BF8" s="57">
        <v>0</v>
      </c>
      <c r="BG8" s="57">
        <v>0</v>
      </c>
      <c r="BH8" s="57">
        <v>0</v>
      </c>
      <c r="BI8" s="57">
        <v>0</v>
      </c>
      <c r="BJ8" s="57">
        <v>0</v>
      </c>
      <c r="BK8" s="57">
        <v>0</v>
      </c>
      <c r="BL8" s="57">
        <v>0</v>
      </c>
      <c r="BM8" s="57">
        <v>0</v>
      </c>
      <c r="BN8" s="57">
        <v>0</v>
      </c>
      <c r="BO8" s="57">
        <v>0</v>
      </c>
      <c r="BP8" s="57">
        <v>0</v>
      </c>
      <c r="BQ8" s="57">
        <v>0</v>
      </c>
      <c r="BR8" s="57">
        <v>0</v>
      </c>
      <c r="BS8" s="57">
        <v>0</v>
      </c>
      <c r="BT8" s="57">
        <v>0</v>
      </c>
      <c r="BU8" s="57">
        <v>0</v>
      </c>
      <c r="BV8" s="57">
        <v>0</v>
      </c>
      <c r="BW8" s="57">
        <v>0</v>
      </c>
      <c r="BX8" s="57">
        <v>0</v>
      </c>
      <c r="BY8" s="57">
        <v>0</v>
      </c>
      <c r="BZ8" s="57">
        <v>0</v>
      </c>
      <c r="CA8" s="57">
        <v>0</v>
      </c>
      <c r="CB8" s="57">
        <v>0</v>
      </c>
      <c r="CC8" s="57">
        <v>0</v>
      </c>
      <c r="CD8" s="57">
        <v>0</v>
      </c>
      <c r="CE8" s="57">
        <v>0</v>
      </c>
      <c r="CF8" s="57">
        <v>0</v>
      </c>
      <c r="CG8" s="57">
        <v>0</v>
      </c>
      <c r="CH8" s="57">
        <v>0</v>
      </c>
      <c r="CI8" s="57">
        <v>0</v>
      </c>
      <c r="CJ8" s="57">
        <v>0</v>
      </c>
      <c r="CK8" s="57">
        <v>0</v>
      </c>
      <c r="CL8" s="57">
        <v>0</v>
      </c>
      <c r="CM8" s="57">
        <v>0</v>
      </c>
      <c r="CN8" s="57">
        <v>0</v>
      </c>
      <c r="CO8" s="57">
        <v>0</v>
      </c>
      <c r="CP8" s="57">
        <v>0</v>
      </c>
      <c r="CQ8" s="57">
        <v>0</v>
      </c>
      <c r="CR8" s="57">
        <v>0</v>
      </c>
      <c r="CS8" s="57">
        <v>0</v>
      </c>
      <c r="CT8" s="57">
        <v>0</v>
      </c>
      <c r="CU8" s="57">
        <v>0</v>
      </c>
      <c r="CV8" s="57">
        <v>0</v>
      </c>
      <c r="CW8" s="57">
        <v>0</v>
      </c>
      <c r="CX8" s="57">
        <v>0</v>
      </c>
      <c r="CY8" s="57">
        <v>0</v>
      </c>
      <c r="CZ8" s="57">
        <v>0</v>
      </c>
      <c r="DA8" s="57">
        <v>0</v>
      </c>
      <c r="DB8" s="57">
        <v>0</v>
      </c>
      <c r="DC8" s="57">
        <v>0</v>
      </c>
      <c r="DD8" s="57">
        <v>0</v>
      </c>
      <c r="DE8" s="57">
        <v>0</v>
      </c>
      <c r="DF8" s="57">
        <v>0</v>
      </c>
      <c r="DG8" s="146">
        <v>0</v>
      </c>
      <c r="DH8" s="146">
        <v>0</v>
      </c>
      <c r="DI8" s="146">
        <v>0</v>
      </c>
      <c r="DJ8" s="146">
        <v>0</v>
      </c>
      <c r="DK8" s="146">
        <v>0</v>
      </c>
      <c r="DL8" s="146">
        <v>0</v>
      </c>
      <c r="DM8" s="146">
        <v>0</v>
      </c>
      <c r="DN8" s="146">
        <v>0</v>
      </c>
      <c r="DO8" s="146">
        <v>0</v>
      </c>
      <c r="DP8" s="146">
        <v>0</v>
      </c>
      <c r="DQ8" s="146">
        <v>0</v>
      </c>
      <c r="DR8" s="146">
        <v>0</v>
      </c>
      <c r="DS8" s="146">
        <v>0</v>
      </c>
      <c r="DT8" s="146">
        <v>0</v>
      </c>
      <c r="DU8" s="146">
        <v>0</v>
      </c>
      <c r="DV8" s="146">
        <v>0</v>
      </c>
      <c r="DW8" s="146">
        <v>0</v>
      </c>
      <c r="DX8" s="146">
        <v>0</v>
      </c>
      <c r="DY8" s="146">
        <v>0</v>
      </c>
      <c r="DZ8" s="146">
        <v>0</v>
      </c>
      <c r="EA8" s="146">
        <v>0</v>
      </c>
    </row>
    <row r="9" spans="1:131" x14ac:dyDescent="0.35">
      <c r="A9" s="90" t="str">
        <f>VLOOKUP(E9,'Validation List'!F9:G404,2,FALSE)</f>
        <v>January</v>
      </c>
      <c r="B9" s="90" t="str">
        <f>INDEX('NEW HIRE ROSTER'!$G:$G,MATCH(RAW!F9,'NEW HIRE ROSTER'!$A:$A,0))</f>
        <v>RAMP</v>
      </c>
      <c r="C9" s="90" t="str">
        <f>INDEX('NEW HIRE ROSTER'!$F:$F,MATCH(RAW!F9,'NEW HIRE ROSTER'!$A:$A,0))</f>
        <v>Class 9.1</v>
      </c>
      <c r="D9" s="90" t="str">
        <f>INDEX('Validation List'!$H:$H,MATCH(RAW!E9,'Validation List'!$F:$F,0))</f>
        <v>Jan Week 1</v>
      </c>
      <c r="E9" s="89">
        <v>45664</v>
      </c>
      <c r="F9" s="56" t="s">
        <v>1873</v>
      </c>
      <c r="G9" s="90" t="str">
        <f>VLOOKUP(F9,ML!C9:D595,2,FALSE)</f>
        <v>John Earl Melitado Lagare</v>
      </c>
      <c r="H9" s="90" t="str">
        <f>VLOOKUP(F9,ML!C10:E596,3,FALSE)</f>
        <v>QC</v>
      </c>
      <c r="I9" s="83" t="s">
        <v>190</v>
      </c>
      <c r="J9" s="56" t="s">
        <v>209</v>
      </c>
      <c r="K9" s="56" t="s">
        <v>155</v>
      </c>
      <c r="L9" s="56" t="s">
        <v>2246</v>
      </c>
      <c r="M9" s="91">
        <v>1</v>
      </c>
      <c r="N9" s="57">
        <v>0</v>
      </c>
      <c r="O9" s="57">
        <v>0</v>
      </c>
      <c r="P9" s="57">
        <v>0</v>
      </c>
      <c r="Q9" s="57">
        <v>0</v>
      </c>
      <c r="R9" s="57">
        <v>0</v>
      </c>
      <c r="S9" s="57">
        <v>0</v>
      </c>
      <c r="T9" s="57">
        <v>0</v>
      </c>
      <c r="U9" s="57">
        <v>0</v>
      </c>
      <c r="V9" s="57">
        <v>0</v>
      </c>
      <c r="W9" s="57">
        <v>0</v>
      </c>
      <c r="X9" s="57">
        <v>0</v>
      </c>
      <c r="Y9" s="57">
        <v>0</v>
      </c>
      <c r="Z9" s="57">
        <v>0</v>
      </c>
      <c r="AA9" s="57">
        <v>0</v>
      </c>
      <c r="AB9" s="57">
        <v>0</v>
      </c>
      <c r="AC9" s="57">
        <v>0</v>
      </c>
      <c r="AD9" s="57">
        <v>0</v>
      </c>
      <c r="AE9" s="57">
        <v>0</v>
      </c>
      <c r="AF9" s="57">
        <v>0</v>
      </c>
      <c r="AG9" s="57">
        <v>0</v>
      </c>
      <c r="AH9" s="57">
        <v>0</v>
      </c>
      <c r="AI9" s="57">
        <v>0</v>
      </c>
      <c r="AJ9" s="57">
        <v>0</v>
      </c>
      <c r="AK9" s="57">
        <v>0</v>
      </c>
      <c r="AL9" s="57">
        <v>0</v>
      </c>
      <c r="AM9" s="57">
        <v>0</v>
      </c>
      <c r="AN9" s="57">
        <v>0</v>
      </c>
      <c r="AO9" s="57">
        <v>0</v>
      </c>
      <c r="AP9" s="57">
        <v>0</v>
      </c>
      <c r="AQ9" s="57">
        <v>0</v>
      </c>
      <c r="AR9" s="57">
        <v>0</v>
      </c>
      <c r="AS9" s="57">
        <v>0</v>
      </c>
      <c r="AT9" s="57">
        <v>0</v>
      </c>
      <c r="AU9" s="57">
        <v>0</v>
      </c>
      <c r="AV9" s="57">
        <v>0</v>
      </c>
      <c r="AW9" s="57">
        <v>0</v>
      </c>
      <c r="AX9" s="57">
        <v>0</v>
      </c>
      <c r="AY9" s="57">
        <v>0</v>
      </c>
      <c r="AZ9" s="57">
        <v>0</v>
      </c>
      <c r="BA9" s="57">
        <v>0</v>
      </c>
      <c r="BB9" s="57">
        <v>0</v>
      </c>
      <c r="BC9" s="57">
        <v>0</v>
      </c>
      <c r="BD9" s="57">
        <v>0</v>
      </c>
      <c r="BE9" s="57">
        <v>0</v>
      </c>
      <c r="BF9" s="57">
        <v>0</v>
      </c>
      <c r="BG9" s="57">
        <v>0</v>
      </c>
      <c r="BH9" s="57">
        <v>0</v>
      </c>
      <c r="BI9" s="57">
        <v>0</v>
      </c>
      <c r="BJ9" s="57">
        <v>0</v>
      </c>
      <c r="BK9" s="57">
        <v>0</v>
      </c>
      <c r="BL9" s="57">
        <v>0</v>
      </c>
      <c r="BM9" s="57">
        <v>0</v>
      </c>
      <c r="BN9" s="57">
        <v>0</v>
      </c>
      <c r="BO9" s="57">
        <v>0</v>
      </c>
      <c r="BP9" s="57">
        <v>0</v>
      </c>
      <c r="BQ9" s="57">
        <v>0</v>
      </c>
      <c r="BR9" s="57">
        <v>0</v>
      </c>
      <c r="BS9" s="57">
        <v>0</v>
      </c>
      <c r="BT9" s="57">
        <v>0</v>
      </c>
      <c r="BU9" s="57">
        <v>0</v>
      </c>
      <c r="BV9" s="57">
        <v>0</v>
      </c>
      <c r="BW9" s="57">
        <v>0</v>
      </c>
      <c r="BX9" s="57">
        <v>0</v>
      </c>
      <c r="BY9" s="57">
        <v>0</v>
      </c>
      <c r="BZ9" s="57">
        <v>0</v>
      </c>
      <c r="CA9" s="57">
        <v>0</v>
      </c>
      <c r="CB9" s="57">
        <v>0</v>
      </c>
      <c r="CC9" s="57">
        <v>0</v>
      </c>
      <c r="CD9" s="57">
        <v>0</v>
      </c>
      <c r="CE9" s="57">
        <v>0</v>
      </c>
      <c r="CF9" s="57">
        <v>0</v>
      </c>
      <c r="CG9" s="57">
        <v>0</v>
      </c>
      <c r="CH9" s="57">
        <v>0</v>
      </c>
      <c r="CI9" s="57">
        <v>0</v>
      </c>
      <c r="CJ9" s="57">
        <v>0</v>
      </c>
      <c r="CK9" s="57">
        <v>0</v>
      </c>
      <c r="CL9" s="57">
        <v>0</v>
      </c>
      <c r="CM9" s="57">
        <v>0</v>
      </c>
      <c r="CN9" s="57">
        <v>0</v>
      </c>
      <c r="CO9" s="57">
        <v>0</v>
      </c>
      <c r="CP9" s="57">
        <v>0</v>
      </c>
      <c r="CQ9" s="57">
        <v>0</v>
      </c>
      <c r="CR9" s="57">
        <v>0</v>
      </c>
      <c r="CS9" s="57">
        <v>0</v>
      </c>
      <c r="CT9" s="57">
        <v>0</v>
      </c>
      <c r="CU9" s="57">
        <v>0</v>
      </c>
      <c r="CV9" s="57">
        <v>0</v>
      </c>
      <c r="CW9" s="57">
        <v>0</v>
      </c>
      <c r="CX9" s="57">
        <v>0</v>
      </c>
      <c r="CY9" s="57">
        <v>0</v>
      </c>
      <c r="CZ9" s="57">
        <v>0</v>
      </c>
      <c r="DA9" s="57">
        <v>0</v>
      </c>
      <c r="DB9" s="57">
        <v>0</v>
      </c>
      <c r="DC9" s="57">
        <v>0</v>
      </c>
      <c r="DD9" s="57">
        <v>0</v>
      </c>
      <c r="DE9" s="57">
        <v>0</v>
      </c>
      <c r="DF9" s="57">
        <v>0</v>
      </c>
      <c r="DG9" s="137">
        <v>0</v>
      </c>
      <c r="DH9" s="137">
        <v>0</v>
      </c>
      <c r="DI9" s="137">
        <v>0</v>
      </c>
      <c r="DJ9" s="137">
        <v>0</v>
      </c>
      <c r="DK9" s="137">
        <v>0</v>
      </c>
      <c r="DL9" s="137">
        <v>0</v>
      </c>
      <c r="DM9" s="137">
        <v>0</v>
      </c>
      <c r="DN9" s="137">
        <v>0</v>
      </c>
      <c r="DO9" s="137">
        <v>0</v>
      </c>
      <c r="DP9" s="137">
        <v>0</v>
      </c>
      <c r="DQ9" s="137">
        <v>0</v>
      </c>
      <c r="DR9" s="137">
        <v>0</v>
      </c>
      <c r="DS9" s="137">
        <v>0</v>
      </c>
      <c r="DT9" s="137">
        <v>0</v>
      </c>
      <c r="DU9" s="137">
        <v>0</v>
      </c>
      <c r="DV9" s="137">
        <v>0</v>
      </c>
      <c r="DW9" s="137">
        <v>0</v>
      </c>
      <c r="DX9" s="137">
        <v>0</v>
      </c>
      <c r="DY9" s="137">
        <v>0</v>
      </c>
      <c r="DZ9" s="137">
        <v>0</v>
      </c>
      <c r="EA9" s="137">
        <v>0</v>
      </c>
    </row>
    <row r="10" spans="1:131" x14ac:dyDescent="0.35">
      <c r="A10" s="90" t="str">
        <f>VLOOKUP(E10,'Validation List'!F10:G405,2,FALSE)</f>
        <v>January</v>
      </c>
      <c r="B10" s="90" t="str">
        <f>INDEX('NEW HIRE ROSTER'!$G:$G,MATCH(RAW!F10,'NEW HIRE ROSTER'!$A:$A,0))</f>
        <v>RAMP</v>
      </c>
      <c r="C10" s="90" t="str">
        <f>INDEX('NEW HIRE ROSTER'!$F:$F,MATCH(RAW!F10,'NEW HIRE ROSTER'!$A:$A,0))</f>
        <v>Class 10</v>
      </c>
      <c r="D10" s="90" t="str">
        <f>INDEX('Validation List'!$H:$H,MATCH(RAW!E10,'Validation List'!$F:$F,0))</f>
        <v>Jan Week 1</v>
      </c>
      <c r="E10" s="89">
        <v>45664</v>
      </c>
      <c r="F10" s="56" t="s">
        <v>1912</v>
      </c>
      <c r="G10" s="90" t="str">
        <f>VLOOKUP(F10,ML!C10:D596,2,FALSE)</f>
        <v>Jeric Amazona Mansibang</v>
      </c>
      <c r="H10" s="90" t="str">
        <f>VLOOKUP(F10,ML!C11:E597,3,FALSE)</f>
        <v>QC</v>
      </c>
      <c r="I10" s="83" t="s">
        <v>203</v>
      </c>
      <c r="J10" s="56" t="s">
        <v>209</v>
      </c>
      <c r="K10" s="56" t="s">
        <v>155</v>
      </c>
      <c r="L10" s="56" t="s">
        <v>2247</v>
      </c>
      <c r="M10" s="91">
        <v>1</v>
      </c>
      <c r="N10" s="57">
        <v>0</v>
      </c>
      <c r="O10" s="57">
        <v>0</v>
      </c>
      <c r="P10" s="57">
        <v>0</v>
      </c>
      <c r="Q10" s="57">
        <v>0</v>
      </c>
      <c r="R10" s="57">
        <v>0</v>
      </c>
      <c r="S10" s="57">
        <v>0</v>
      </c>
      <c r="T10" s="57">
        <v>0</v>
      </c>
      <c r="U10" s="57">
        <v>0</v>
      </c>
      <c r="V10" s="57">
        <v>0</v>
      </c>
      <c r="W10" s="57">
        <v>0</v>
      </c>
      <c r="X10" s="57">
        <v>0</v>
      </c>
      <c r="Y10" s="57">
        <v>0</v>
      </c>
      <c r="Z10" s="57">
        <v>0</v>
      </c>
      <c r="AA10" s="57">
        <v>0</v>
      </c>
      <c r="AB10" s="57">
        <v>0</v>
      </c>
      <c r="AC10" s="57">
        <v>0</v>
      </c>
      <c r="AD10" s="57">
        <v>0</v>
      </c>
      <c r="AE10" s="57">
        <v>0</v>
      </c>
      <c r="AF10" s="57">
        <v>0</v>
      </c>
      <c r="AG10" s="57">
        <v>0</v>
      </c>
      <c r="AH10" s="57">
        <v>0</v>
      </c>
      <c r="AI10" s="57">
        <v>0</v>
      </c>
      <c r="AJ10" s="57">
        <v>0</v>
      </c>
      <c r="AK10" s="57">
        <v>0</v>
      </c>
      <c r="AL10" s="57">
        <v>0</v>
      </c>
      <c r="AM10" s="57">
        <v>0</v>
      </c>
      <c r="AN10" s="57">
        <v>0</v>
      </c>
      <c r="AO10" s="57">
        <v>0</v>
      </c>
      <c r="AP10" s="57">
        <v>0</v>
      </c>
      <c r="AQ10" s="57">
        <v>0</v>
      </c>
      <c r="AR10" s="57">
        <v>0</v>
      </c>
      <c r="AS10" s="57">
        <v>0</v>
      </c>
      <c r="AT10" s="57">
        <v>0</v>
      </c>
      <c r="AU10" s="57">
        <v>0</v>
      </c>
      <c r="AV10" s="57">
        <v>0</v>
      </c>
      <c r="AW10" s="57">
        <v>0</v>
      </c>
      <c r="AX10" s="57">
        <v>0</v>
      </c>
      <c r="AY10" s="57">
        <v>0</v>
      </c>
      <c r="AZ10" s="57">
        <v>0</v>
      </c>
      <c r="BA10" s="57">
        <v>0</v>
      </c>
      <c r="BB10" s="57">
        <v>0</v>
      </c>
      <c r="BC10" s="57">
        <v>0</v>
      </c>
      <c r="BD10" s="57">
        <v>0</v>
      </c>
      <c r="BE10" s="57">
        <v>0</v>
      </c>
      <c r="BF10" s="57">
        <v>0</v>
      </c>
      <c r="BG10" s="57">
        <v>0</v>
      </c>
      <c r="BH10" s="57">
        <v>0</v>
      </c>
      <c r="BI10" s="57">
        <v>0</v>
      </c>
      <c r="BJ10" s="57">
        <v>0</v>
      </c>
      <c r="BK10" s="57">
        <v>0</v>
      </c>
      <c r="BL10" s="57">
        <v>0</v>
      </c>
      <c r="BM10" s="57">
        <v>0</v>
      </c>
      <c r="BN10" s="57">
        <v>0</v>
      </c>
      <c r="BO10" s="57">
        <v>0</v>
      </c>
      <c r="BP10" s="57">
        <v>0</v>
      </c>
      <c r="BQ10" s="57">
        <v>0</v>
      </c>
      <c r="BR10" s="57">
        <v>0</v>
      </c>
      <c r="BS10" s="57">
        <v>0</v>
      </c>
      <c r="BT10" s="57">
        <v>0</v>
      </c>
      <c r="BU10" s="57">
        <v>0</v>
      </c>
      <c r="BV10" s="57">
        <v>0</v>
      </c>
      <c r="BW10" s="57">
        <v>0</v>
      </c>
      <c r="BX10" s="57">
        <v>0</v>
      </c>
      <c r="BY10" s="57">
        <v>0</v>
      </c>
      <c r="BZ10" s="57">
        <v>0</v>
      </c>
      <c r="CA10" s="57">
        <v>0</v>
      </c>
      <c r="CB10" s="57">
        <v>0</v>
      </c>
      <c r="CC10" s="57">
        <v>0</v>
      </c>
      <c r="CD10" s="57">
        <v>0</v>
      </c>
      <c r="CE10" s="57">
        <v>0</v>
      </c>
      <c r="CF10" s="57">
        <v>0</v>
      </c>
      <c r="CG10" s="57">
        <v>0</v>
      </c>
      <c r="CH10" s="57">
        <v>0</v>
      </c>
      <c r="CI10" s="57">
        <v>0</v>
      </c>
      <c r="CJ10" s="57">
        <v>0</v>
      </c>
      <c r="CK10" s="57">
        <v>0</v>
      </c>
      <c r="CL10" s="57">
        <v>0</v>
      </c>
      <c r="CM10" s="57">
        <v>0</v>
      </c>
      <c r="CN10" s="57">
        <v>0</v>
      </c>
      <c r="CO10" s="57">
        <v>0</v>
      </c>
      <c r="CP10" s="57">
        <v>0</v>
      </c>
      <c r="CQ10" s="57">
        <v>0</v>
      </c>
      <c r="CR10" s="57">
        <v>0</v>
      </c>
      <c r="CS10" s="57">
        <v>0</v>
      </c>
      <c r="CT10" s="57">
        <v>0</v>
      </c>
      <c r="CU10" s="57">
        <v>0</v>
      </c>
      <c r="CV10" s="57">
        <v>0</v>
      </c>
      <c r="CW10" s="57">
        <v>0</v>
      </c>
      <c r="CX10" s="57">
        <v>0</v>
      </c>
      <c r="CY10" s="57">
        <v>0</v>
      </c>
      <c r="CZ10" s="57">
        <v>0</v>
      </c>
      <c r="DA10" s="57">
        <v>0</v>
      </c>
      <c r="DB10" s="57">
        <v>0</v>
      </c>
      <c r="DC10" s="57">
        <v>0</v>
      </c>
      <c r="DD10" s="57">
        <v>0</v>
      </c>
      <c r="DE10" s="57">
        <v>0</v>
      </c>
      <c r="DF10" s="57">
        <v>0</v>
      </c>
      <c r="DG10" s="137">
        <v>0</v>
      </c>
      <c r="DH10" s="137">
        <v>0</v>
      </c>
      <c r="DI10" s="137">
        <v>0</v>
      </c>
      <c r="DJ10" s="137">
        <v>0</v>
      </c>
      <c r="DK10" s="137">
        <v>0</v>
      </c>
      <c r="DL10" s="137">
        <v>0</v>
      </c>
      <c r="DM10" s="137">
        <v>0</v>
      </c>
      <c r="DN10" s="137">
        <v>0</v>
      </c>
      <c r="DO10" s="137">
        <v>0</v>
      </c>
      <c r="DP10" s="137">
        <v>0</v>
      </c>
      <c r="DQ10" s="137">
        <v>0</v>
      </c>
      <c r="DR10" s="137">
        <v>0</v>
      </c>
      <c r="DS10" s="137">
        <v>0</v>
      </c>
      <c r="DT10" s="137">
        <v>0</v>
      </c>
      <c r="DU10" s="137">
        <v>0</v>
      </c>
      <c r="DV10" s="137">
        <v>0</v>
      </c>
      <c r="DW10" s="137">
        <v>0</v>
      </c>
      <c r="DX10" s="137">
        <v>0</v>
      </c>
      <c r="DY10" s="137">
        <v>0</v>
      </c>
      <c r="DZ10" s="137">
        <v>0</v>
      </c>
      <c r="EA10" s="137">
        <v>0</v>
      </c>
    </row>
    <row r="11" spans="1:131" x14ac:dyDescent="0.35">
      <c r="A11" s="90" t="str">
        <f>VLOOKUP(E11,'Validation List'!F11:G406,2,FALSE)</f>
        <v>January</v>
      </c>
      <c r="B11" s="90" t="str">
        <f>INDEX('NEW HIRE ROSTER'!$G:$G,MATCH(RAW!F11,'NEW HIRE ROSTER'!$A:$A,0))</f>
        <v>Nesting</v>
      </c>
      <c r="C11" s="90" t="str">
        <f>INDEX('NEW HIRE ROSTER'!$F:$F,MATCH(RAW!F11,'NEW HIRE ROSTER'!$A:$A,0))</f>
        <v>Class 11.1</v>
      </c>
      <c r="D11" s="90" t="str">
        <f>INDEX('Validation List'!$H:$H,MATCH(RAW!E11,'Validation List'!$F:$F,0))</f>
        <v>Jan Week 1</v>
      </c>
      <c r="E11" s="89">
        <v>45665</v>
      </c>
      <c r="F11" s="56" t="s">
        <v>1984</v>
      </c>
      <c r="G11" s="90" t="str">
        <f>VLOOKUP(F11,ML!C11:D597,2,FALSE)</f>
        <v>Robin Antolihao Llamido</v>
      </c>
      <c r="H11" s="90" t="str">
        <f>VLOOKUP(F11,ML!C12:E598,3,FALSE)</f>
        <v>QC</v>
      </c>
      <c r="I11" s="83" t="s">
        <v>192</v>
      </c>
      <c r="J11" s="56" t="s">
        <v>209</v>
      </c>
      <c r="K11" s="56" t="s">
        <v>155</v>
      </c>
      <c r="L11" s="56" t="s">
        <v>2248</v>
      </c>
      <c r="M11" s="91">
        <v>1</v>
      </c>
      <c r="N11" s="57">
        <v>0</v>
      </c>
      <c r="O11" s="57">
        <v>0</v>
      </c>
      <c r="P11" s="57">
        <v>0</v>
      </c>
      <c r="Q11" s="57">
        <v>0</v>
      </c>
      <c r="R11" s="57">
        <v>0</v>
      </c>
      <c r="S11" s="57">
        <v>0</v>
      </c>
      <c r="T11" s="57">
        <v>0</v>
      </c>
      <c r="U11" s="57">
        <v>0</v>
      </c>
      <c r="V11" s="57">
        <v>0</v>
      </c>
      <c r="W11" s="57">
        <v>0</v>
      </c>
      <c r="X11" s="57">
        <v>0</v>
      </c>
      <c r="Y11" s="57">
        <v>0</v>
      </c>
      <c r="Z11" s="57">
        <v>0</v>
      </c>
      <c r="AA11" s="57">
        <v>0</v>
      </c>
      <c r="AB11" s="57">
        <v>0</v>
      </c>
      <c r="AC11" s="57">
        <v>0</v>
      </c>
      <c r="AD11" s="57">
        <v>0</v>
      </c>
      <c r="AE11" s="57">
        <v>0</v>
      </c>
      <c r="AF11" s="57">
        <v>0</v>
      </c>
      <c r="AG11" s="57">
        <v>0</v>
      </c>
      <c r="AH11" s="57">
        <v>0</v>
      </c>
      <c r="AI11" s="57">
        <v>0</v>
      </c>
      <c r="AJ11" s="57">
        <v>0</v>
      </c>
      <c r="AK11" s="57">
        <v>0</v>
      </c>
      <c r="AL11" s="57">
        <v>0</v>
      </c>
      <c r="AM11" s="57">
        <v>0</v>
      </c>
      <c r="AN11" s="57">
        <v>0</v>
      </c>
      <c r="AO11" s="57">
        <v>0</v>
      </c>
      <c r="AP11" s="57">
        <v>0</v>
      </c>
      <c r="AQ11" s="57">
        <v>0</v>
      </c>
      <c r="AR11" s="57">
        <v>0</v>
      </c>
      <c r="AS11" s="57">
        <v>0</v>
      </c>
      <c r="AT11" s="57">
        <v>0</v>
      </c>
      <c r="AU11" s="57">
        <v>0</v>
      </c>
      <c r="AV11" s="57">
        <v>0</v>
      </c>
      <c r="AW11" s="57">
        <v>0</v>
      </c>
      <c r="AX11" s="57">
        <v>0</v>
      </c>
      <c r="AY11" s="57">
        <v>0</v>
      </c>
      <c r="AZ11" s="57">
        <v>0</v>
      </c>
      <c r="BA11" s="57">
        <v>0</v>
      </c>
      <c r="BB11" s="57">
        <v>0</v>
      </c>
      <c r="BC11" s="57">
        <v>0</v>
      </c>
      <c r="BD11" s="57">
        <v>0</v>
      </c>
      <c r="BE11" s="57">
        <v>0</v>
      </c>
      <c r="BF11" s="57">
        <v>0</v>
      </c>
      <c r="BG11" s="57">
        <v>0</v>
      </c>
      <c r="BH11" s="57">
        <v>0</v>
      </c>
      <c r="BI11" s="57">
        <v>0</v>
      </c>
      <c r="BJ11" s="57">
        <v>0</v>
      </c>
      <c r="BK11" s="57">
        <v>0</v>
      </c>
      <c r="BL11" s="57">
        <v>0</v>
      </c>
      <c r="BM11" s="57">
        <v>0</v>
      </c>
      <c r="BN11" s="57">
        <v>0</v>
      </c>
      <c r="BO11" s="57">
        <v>0</v>
      </c>
      <c r="BP11" s="57">
        <v>0</v>
      </c>
      <c r="BQ11" s="57">
        <v>0</v>
      </c>
      <c r="BR11" s="57">
        <v>0</v>
      </c>
      <c r="BS11" s="57">
        <v>0</v>
      </c>
      <c r="BT11" s="57">
        <v>0</v>
      </c>
      <c r="BU11" s="57">
        <v>0</v>
      </c>
      <c r="BV11" s="57">
        <v>0</v>
      </c>
      <c r="BW11" s="57">
        <v>0</v>
      </c>
      <c r="BX11" s="57">
        <v>0</v>
      </c>
      <c r="BY11" s="57">
        <v>0</v>
      </c>
      <c r="BZ11" s="57">
        <v>0</v>
      </c>
      <c r="CA11" s="57">
        <v>0</v>
      </c>
      <c r="CB11" s="57">
        <v>0</v>
      </c>
      <c r="CC11" s="57">
        <v>0</v>
      </c>
      <c r="CD11" s="57">
        <v>0</v>
      </c>
      <c r="CE11" s="57">
        <v>0</v>
      </c>
      <c r="CF11" s="57">
        <v>0</v>
      </c>
      <c r="CG11" s="57">
        <v>0</v>
      </c>
      <c r="CH11" s="57">
        <v>0</v>
      </c>
      <c r="CI11" s="57">
        <v>0</v>
      </c>
      <c r="CJ11" s="57">
        <v>0</v>
      </c>
      <c r="CK11" s="57">
        <v>0</v>
      </c>
      <c r="CL11" s="57">
        <v>0</v>
      </c>
      <c r="CM11" s="57">
        <v>0</v>
      </c>
      <c r="CN11" s="57">
        <v>0</v>
      </c>
      <c r="CO11" s="57">
        <v>0</v>
      </c>
      <c r="CP11" s="57">
        <v>0</v>
      </c>
      <c r="CQ11" s="57">
        <v>0</v>
      </c>
      <c r="CR11" s="57">
        <v>0</v>
      </c>
      <c r="CS11" s="57">
        <v>0</v>
      </c>
      <c r="CT11" s="57">
        <v>0</v>
      </c>
      <c r="CU11" s="57">
        <v>0</v>
      </c>
      <c r="CV11" s="57">
        <v>0</v>
      </c>
      <c r="CW11" s="57">
        <v>0</v>
      </c>
      <c r="CX11" s="57">
        <v>0</v>
      </c>
      <c r="CY11" s="57">
        <v>0</v>
      </c>
      <c r="CZ11" s="57">
        <v>0</v>
      </c>
      <c r="DA11" s="57">
        <v>0</v>
      </c>
      <c r="DB11" s="57">
        <v>0</v>
      </c>
      <c r="DC11" s="57">
        <v>0</v>
      </c>
      <c r="DD11" s="57">
        <v>0</v>
      </c>
      <c r="DE11" s="57">
        <v>0</v>
      </c>
      <c r="DF11" s="57">
        <v>0</v>
      </c>
      <c r="DG11" s="137">
        <v>0</v>
      </c>
      <c r="DH11" s="137">
        <v>0</v>
      </c>
      <c r="DI11" s="137">
        <v>0</v>
      </c>
      <c r="DJ11" s="137">
        <v>0</v>
      </c>
      <c r="DK11" s="137">
        <v>0</v>
      </c>
      <c r="DL11" s="137">
        <v>0</v>
      </c>
      <c r="DM11" s="137">
        <v>0</v>
      </c>
      <c r="DN11" s="137">
        <v>0</v>
      </c>
      <c r="DO11" s="137">
        <v>0</v>
      </c>
      <c r="DP11" s="137">
        <v>0</v>
      </c>
      <c r="DQ11" s="137">
        <v>0</v>
      </c>
      <c r="DR11" s="137">
        <v>0</v>
      </c>
      <c r="DS11" s="137">
        <v>0</v>
      </c>
      <c r="DT11" s="137">
        <v>0</v>
      </c>
      <c r="DU11" s="137">
        <v>0</v>
      </c>
      <c r="DV11" s="137">
        <v>0</v>
      </c>
      <c r="DW11" s="137">
        <v>0</v>
      </c>
      <c r="DX11" s="137">
        <v>0</v>
      </c>
      <c r="DY11" s="137">
        <v>0</v>
      </c>
      <c r="DZ11" s="137">
        <v>0</v>
      </c>
      <c r="EA11" s="137">
        <v>0</v>
      </c>
    </row>
    <row r="12" spans="1:131" x14ac:dyDescent="0.35">
      <c r="A12" s="90" t="str">
        <f>VLOOKUP(E12,'Validation List'!F13:G408,2,FALSE)</f>
        <v>January</v>
      </c>
      <c r="B12" s="90" t="str">
        <f>INDEX('NEW HIRE ROSTER'!$G:$G,MATCH(RAW!F12,'NEW HIRE ROSTER'!$A:$A,0))</f>
        <v>RAMP</v>
      </c>
      <c r="C12" s="90" t="str">
        <f>INDEX('NEW HIRE ROSTER'!$F:$F,MATCH(RAW!F12,'NEW HIRE ROSTER'!$A:$A,0))</f>
        <v>Class 10</v>
      </c>
      <c r="D12" s="90" t="str">
        <f>INDEX('Validation List'!$H:$H,MATCH(RAW!E12,'Validation List'!$F:$F,0))</f>
        <v>Jan Week 1</v>
      </c>
      <c r="E12" s="89">
        <v>45665</v>
      </c>
      <c r="F12" s="56" t="s">
        <v>1942</v>
      </c>
      <c r="G12" s="90" t="str">
        <f>VLOOKUP(F12,ML!C12:D598,2,FALSE)</f>
        <v>Jeric Amazona Mansibang</v>
      </c>
      <c r="H12" s="90" t="str">
        <f>VLOOKUP(F12,ML!C14:E600,3,FALSE)</f>
        <v>QC</v>
      </c>
      <c r="I12" s="83" t="s">
        <v>203</v>
      </c>
      <c r="J12" s="56" t="s">
        <v>209</v>
      </c>
      <c r="K12" s="56" t="s">
        <v>163</v>
      </c>
      <c r="L12" s="56" t="s">
        <v>2249</v>
      </c>
      <c r="M12" s="91">
        <v>1</v>
      </c>
      <c r="N12" s="57">
        <v>0</v>
      </c>
      <c r="O12" s="57">
        <v>0</v>
      </c>
      <c r="P12" s="57">
        <v>0</v>
      </c>
      <c r="Q12" s="57">
        <v>0</v>
      </c>
      <c r="R12" s="57">
        <v>0</v>
      </c>
      <c r="S12" s="57">
        <v>0</v>
      </c>
      <c r="T12" s="57">
        <v>0</v>
      </c>
      <c r="U12" s="57">
        <v>0</v>
      </c>
      <c r="V12" s="57">
        <v>0</v>
      </c>
      <c r="W12" s="57">
        <v>0</v>
      </c>
      <c r="X12" s="57">
        <v>0</v>
      </c>
      <c r="Y12" s="57">
        <v>0</v>
      </c>
      <c r="Z12" s="57">
        <v>0</v>
      </c>
      <c r="AA12" s="57">
        <v>0</v>
      </c>
      <c r="AB12" s="57">
        <v>0</v>
      </c>
      <c r="AC12" s="57">
        <v>0</v>
      </c>
      <c r="AD12" s="57">
        <v>0</v>
      </c>
      <c r="AE12" s="57">
        <v>0</v>
      </c>
      <c r="AF12" s="57">
        <v>0</v>
      </c>
      <c r="AG12" s="57">
        <v>0</v>
      </c>
      <c r="AH12" s="57">
        <v>0</v>
      </c>
      <c r="AI12" s="57">
        <v>0</v>
      </c>
      <c r="AJ12" s="57">
        <v>0</v>
      </c>
      <c r="AK12" s="57">
        <v>0</v>
      </c>
      <c r="AL12" s="57">
        <v>0</v>
      </c>
      <c r="AM12" s="57">
        <v>0</v>
      </c>
      <c r="AN12" s="57">
        <v>0</v>
      </c>
      <c r="AO12" s="57">
        <v>0</v>
      </c>
      <c r="AP12" s="57">
        <v>0</v>
      </c>
      <c r="AQ12" s="57">
        <v>0</v>
      </c>
      <c r="AR12" s="57">
        <v>0</v>
      </c>
      <c r="AS12" s="57">
        <v>0</v>
      </c>
      <c r="AT12" s="57">
        <v>0</v>
      </c>
      <c r="AU12" s="57">
        <v>0</v>
      </c>
      <c r="AV12" s="57">
        <v>0</v>
      </c>
      <c r="AW12" s="57">
        <v>0</v>
      </c>
      <c r="AX12" s="57">
        <v>0</v>
      </c>
      <c r="AY12" s="57">
        <v>0</v>
      </c>
      <c r="AZ12" s="57">
        <v>0</v>
      </c>
      <c r="BA12" s="57">
        <v>0</v>
      </c>
      <c r="BB12" s="57">
        <v>0</v>
      </c>
      <c r="BC12" s="57">
        <v>0</v>
      </c>
      <c r="BD12" s="57">
        <v>0</v>
      </c>
      <c r="BE12" s="57">
        <v>0</v>
      </c>
      <c r="BF12" s="57">
        <v>0</v>
      </c>
      <c r="BG12" s="57">
        <v>0</v>
      </c>
      <c r="BH12" s="57">
        <v>0</v>
      </c>
      <c r="BI12" s="57">
        <v>0</v>
      </c>
      <c r="BJ12" s="57">
        <v>0</v>
      </c>
      <c r="BK12" s="57">
        <v>0</v>
      </c>
      <c r="BL12" s="57">
        <v>0</v>
      </c>
      <c r="BM12" s="57">
        <v>0</v>
      </c>
      <c r="BN12" s="57">
        <v>0</v>
      </c>
      <c r="BO12" s="57">
        <v>0</v>
      </c>
      <c r="BP12" s="57">
        <v>0</v>
      </c>
      <c r="BQ12" s="57">
        <v>0</v>
      </c>
      <c r="BR12" s="57">
        <v>0</v>
      </c>
      <c r="BS12" s="57">
        <v>0</v>
      </c>
      <c r="BT12" s="57">
        <v>0</v>
      </c>
      <c r="BU12" s="57">
        <v>0</v>
      </c>
      <c r="BV12" s="57">
        <v>0</v>
      </c>
      <c r="BW12" s="57">
        <v>0</v>
      </c>
      <c r="BX12" s="57">
        <v>0</v>
      </c>
      <c r="BY12" s="57">
        <v>0</v>
      </c>
      <c r="BZ12" s="57">
        <v>0</v>
      </c>
      <c r="CA12" s="57">
        <v>0</v>
      </c>
      <c r="CB12" s="57">
        <v>0</v>
      </c>
      <c r="CC12" s="57">
        <v>0</v>
      </c>
      <c r="CD12" s="57">
        <v>0</v>
      </c>
      <c r="CE12" s="57">
        <v>0</v>
      </c>
      <c r="CF12" s="57">
        <v>0</v>
      </c>
      <c r="CG12" s="57">
        <v>0</v>
      </c>
      <c r="CH12" s="57">
        <v>0</v>
      </c>
      <c r="CI12" s="57">
        <v>0</v>
      </c>
      <c r="CJ12" s="57">
        <v>0</v>
      </c>
      <c r="CK12" s="57">
        <v>0</v>
      </c>
      <c r="CL12" s="57">
        <v>0</v>
      </c>
      <c r="CM12" s="57">
        <v>0</v>
      </c>
      <c r="CN12" s="57">
        <v>0</v>
      </c>
      <c r="CO12" s="57">
        <v>0</v>
      </c>
      <c r="CP12" s="57">
        <v>0</v>
      </c>
      <c r="CQ12" s="57">
        <v>0</v>
      </c>
      <c r="CR12" s="57">
        <v>0</v>
      </c>
      <c r="CS12" s="57">
        <v>0</v>
      </c>
      <c r="CT12" s="57">
        <v>0</v>
      </c>
      <c r="CU12" s="57">
        <v>0</v>
      </c>
      <c r="CV12" s="57">
        <v>0</v>
      </c>
      <c r="CW12" s="57">
        <v>0</v>
      </c>
      <c r="CX12" s="57">
        <v>0</v>
      </c>
      <c r="CY12" s="57">
        <v>0</v>
      </c>
      <c r="CZ12" s="57">
        <v>0</v>
      </c>
      <c r="DA12" s="57">
        <v>0</v>
      </c>
      <c r="DB12" s="57">
        <v>0</v>
      </c>
      <c r="DC12" s="57">
        <v>0</v>
      </c>
      <c r="DD12" s="57">
        <v>0</v>
      </c>
      <c r="DE12" s="57">
        <v>0</v>
      </c>
      <c r="DF12" s="57">
        <v>0</v>
      </c>
      <c r="DG12" s="137">
        <v>0</v>
      </c>
      <c r="DH12" s="137">
        <v>0</v>
      </c>
      <c r="DI12" s="137">
        <v>0</v>
      </c>
      <c r="DJ12" s="137">
        <v>0</v>
      </c>
      <c r="DK12" s="137">
        <v>0</v>
      </c>
      <c r="DL12" s="137">
        <v>0</v>
      </c>
      <c r="DM12" s="137">
        <v>0</v>
      </c>
      <c r="DN12" s="137">
        <v>0</v>
      </c>
      <c r="DO12" s="137">
        <v>0</v>
      </c>
      <c r="DP12" s="137">
        <v>0</v>
      </c>
      <c r="DQ12" s="137">
        <v>0</v>
      </c>
      <c r="DR12" s="137">
        <v>0</v>
      </c>
      <c r="DS12" s="137">
        <v>0</v>
      </c>
      <c r="DT12" s="137">
        <v>0</v>
      </c>
      <c r="DU12" s="137">
        <v>0</v>
      </c>
      <c r="DV12" s="137">
        <v>0</v>
      </c>
      <c r="DW12" s="137">
        <v>0</v>
      </c>
      <c r="DX12" s="137">
        <v>0</v>
      </c>
      <c r="DY12" s="137">
        <v>0</v>
      </c>
      <c r="DZ12" s="137">
        <v>0</v>
      </c>
      <c r="EA12" s="137">
        <v>0</v>
      </c>
    </row>
    <row r="13" spans="1:131" x14ac:dyDescent="0.35">
      <c r="A13" s="90" t="str">
        <f>VLOOKUP(E13,'Validation List'!F14:G409,2,FALSE)</f>
        <v>January</v>
      </c>
      <c r="B13" s="90" t="str">
        <f>INDEX('NEW HIRE ROSTER'!$G:$G,MATCH(RAW!F13,'NEW HIRE ROSTER'!$A:$A,0))</f>
        <v>RAMP</v>
      </c>
      <c r="C13" s="90" t="str">
        <f>INDEX('NEW HIRE ROSTER'!$F:$F,MATCH(RAW!F13,'NEW HIRE ROSTER'!$A:$A,0))</f>
        <v>Class 10</v>
      </c>
      <c r="D13" s="90" t="str">
        <f>INDEX('Validation List'!$H:$H,MATCH(RAW!E13,'Validation List'!$F:$F,0))</f>
        <v>Jan Week 1</v>
      </c>
      <c r="E13" s="89">
        <v>45665</v>
      </c>
      <c r="F13" s="56" t="s">
        <v>1951</v>
      </c>
      <c r="G13" s="90" t="str">
        <f>VLOOKUP(F13,ML!C13:D599,2,FALSE)</f>
        <v>Jeric Amazona Mansibang</v>
      </c>
      <c r="H13" s="90" t="str">
        <f>VLOOKUP(F13,ML!C15:E601,3,FALSE)</f>
        <v>QC</v>
      </c>
      <c r="I13" s="83" t="s">
        <v>203</v>
      </c>
      <c r="J13" s="56" t="s">
        <v>209</v>
      </c>
      <c r="K13" s="56" t="s">
        <v>158</v>
      </c>
      <c r="L13" s="56" t="s">
        <v>2250</v>
      </c>
      <c r="M13" s="91">
        <v>1</v>
      </c>
      <c r="N13" s="57">
        <v>0</v>
      </c>
      <c r="O13" s="57">
        <v>0</v>
      </c>
      <c r="P13" s="57">
        <v>0</v>
      </c>
      <c r="Q13" s="57">
        <v>0</v>
      </c>
      <c r="R13" s="57">
        <v>0</v>
      </c>
      <c r="S13" s="57">
        <v>0</v>
      </c>
      <c r="T13" s="57">
        <v>0</v>
      </c>
      <c r="U13" s="57">
        <v>0</v>
      </c>
      <c r="V13" s="57">
        <v>0</v>
      </c>
      <c r="W13" s="57">
        <v>0</v>
      </c>
      <c r="X13" s="57">
        <v>0</v>
      </c>
      <c r="Y13" s="57">
        <v>0</v>
      </c>
      <c r="Z13" s="57">
        <v>0</v>
      </c>
      <c r="AA13" s="57">
        <v>0</v>
      </c>
      <c r="AB13" s="57">
        <v>0</v>
      </c>
      <c r="AC13" s="57">
        <v>0</v>
      </c>
      <c r="AD13" s="57">
        <v>0</v>
      </c>
      <c r="AE13" s="57">
        <v>0</v>
      </c>
      <c r="AF13" s="57">
        <v>0</v>
      </c>
      <c r="AG13" s="57">
        <v>0</v>
      </c>
      <c r="AH13" s="57">
        <v>0</v>
      </c>
      <c r="AI13" s="57">
        <v>0</v>
      </c>
      <c r="AJ13" s="57">
        <v>0</v>
      </c>
      <c r="AK13" s="57">
        <v>0</v>
      </c>
      <c r="AL13" s="57">
        <v>0</v>
      </c>
      <c r="AM13" s="57">
        <v>0</v>
      </c>
      <c r="AN13" s="57">
        <v>0</v>
      </c>
      <c r="AO13" s="57">
        <v>0</v>
      </c>
      <c r="AP13" s="57">
        <v>0</v>
      </c>
      <c r="AQ13" s="57">
        <v>0</v>
      </c>
      <c r="AR13" s="57">
        <v>0</v>
      </c>
      <c r="AS13" s="57">
        <v>0</v>
      </c>
      <c r="AT13" s="57">
        <v>0</v>
      </c>
      <c r="AU13" s="57">
        <v>0</v>
      </c>
      <c r="AV13" s="57">
        <v>0</v>
      </c>
      <c r="AW13" s="57">
        <v>0</v>
      </c>
      <c r="AX13" s="57">
        <v>0</v>
      </c>
      <c r="AY13" s="57">
        <v>0</v>
      </c>
      <c r="AZ13" s="57">
        <v>0</v>
      </c>
      <c r="BA13" s="57">
        <v>0</v>
      </c>
      <c r="BB13" s="57">
        <v>0</v>
      </c>
      <c r="BC13" s="57">
        <v>0</v>
      </c>
      <c r="BD13" s="57">
        <v>0</v>
      </c>
      <c r="BE13" s="57">
        <v>0</v>
      </c>
      <c r="BF13" s="57">
        <v>0</v>
      </c>
      <c r="BG13" s="57">
        <v>0</v>
      </c>
      <c r="BH13" s="57">
        <v>0</v>
      </c>
      <c r="BI13" s="57">
        <v>0</v>
      </c>
      <c r="BJ13" s="57">
        <v>0</v>
      </c>
      <c r="BK13" s="57">
        <v>0</v>
      </c>
      <c r="BL13" s="57">
        <v>0</v>
      </c>
      <c r="BM13" s="57">
        <v>0</v>
      </c>
      <c r="BN13" s="57">
        <v>0</v>
      </c>
      <c r="BO13" s="57">
        <v>0</v>
      </c>
      <c r="BP13" s="57">
        <v>0</v>
      </c>
      <c r="BQ13" s="57">
        <v>0</v>
      </c>
      <c r="BR13" s="57">
        <v>0</v>
      </c>
      <c r="BS13" s="57">
        <v>0</v>
      </c>
      <c r="BT13" s="57">
        <v>0</v>
      </c>
      <c r="BU13" s="57">
        <v>0</v>
      </c>
      <c r="BV13" s="57">
        <v>0</v>
      </c>
      <c r="BW13" s="57">
        <v>0</v>
      </c>
      <c r="BX13" s="57">
        <v>0</v>
      </c>
      <c r="BY13" s="57">
        <v>0</v>
      </c>
      <c r="BZ13" s="57">
        <v>0</v>
      </c>
      <c r="CA13" s="57">
        <v>0</v>
      </c>
      <c r="CB13" s="57">
        <v>0</v>
      </c>
      <c r="CC13" s="57">
        <v>0</v>
      </c>
      <c r="CD13" s="57">
        <v>0</v>
      </c>
      <c r="CE13" s="57">
        <v>0</v>
      </c>
      <c r="CF13" s="57">
        <v>0</v>
      </c>
      <c r="CG13" s="57">
        <v>0</v>
      </c>
      <c r="CH13" s="57">
        <v>0</v>
      </c>
      <c r="CI13" s="57">
        <v>0</v>
      </c>
      <c r="CJ13" s="57">
        <v>0</v>
      </c>
      <c r="CK13" s="57">
        <v>0</v>
      </c>
      <c r="CL13" s="57">
        <v>0</v>
      </c>
      <c r="CM13" s="57">
        <v>0</v>
      </c>
      <c r="CN13" s="57">
        <v>0</v>
      </c>
      <c r="CO13" s="57">
        <v>0</v>
      </c>
      <c r="CP13" s="57">
        <v>0</v>
      </c>
      <c r="CQ13" s="57">
        <v>0</v>
      </c>
      <c r="CR13" s="57">
        <v>0</v>
      </c>
      <c r="CS13" s="57">
        <v>0</v>
      </c>
      <c r="CT13" s="57">
        <v>0</v>
      </c>
      <c r="CU13" s="57">
        <v>0</v>
      </c>
      <c r="CV13" s="57">
        <v>0</v>
      </c>
      <c r="CW13" s="57">
        <v>0</v>
      </c>
      <c r="CX13" s="57">
        <v>0</v>
      </c>
      <c r="CY13" s="57">
        <v>0</v>
      </c>
      <c r="CZ13" s="57">
        <v>0</v>
      </c>
      <c r="DA13" s="57">
        <v>0</v>
      </c>
      <c r="DB13" s="57">
        <v>0</v>
      </c>
      <c r="DC13" s="57">
        <v>0</v>
      </c>
      <c r="DD13" s="57">
        <v>0</v>
      </c>
      <c r="DE13" s="57">
        <v>0</v>
      </c>
      <c r="DF13" s="57">
        <v>0</v>
      </c>
      <c r="DG13" s="137">
        <v>0</v>
      </c>
      <c r="DH13" s="137">
        <v>0</v>
      </c>
      <c r="DI13" s="137">
        <v>0</v>
      </c>
      <c r="DJ13" s="137">
        <v>0</v>
      </c>
      <c r="DK13" s="137">
        <v>0</v>
      </c>
      <c r="DL13" s="137">
        <v>0</v>
      </c>
      <c r="DM13" s="137">
        <v>0</v>
      </c>
      <c r="DN13" s="137">
        <v>0</v>
      </c>
      <c r="DO13" s="137">
        <v>0</v>
      </c>
      <c r="DP13" s="137">
        <v>0</v>
      </c>
      <c r="DQ13" s="137">
        <v>0</v>
      </c>
      <c r="DR13" s="137">
        <v>0</v>
      </c>
      <c r="DS13" s="137">
        <v>0</v>
      </c>
      <c r="DT13" s="137">
        <v>0</v>
      </c>
      <c r="DU13" s="137">
        <v>0</v>
      </c>
      <c r="DV13" s="137">
        <v>0</v>
      </c>
      <c r="DW13" s="137">
        <v>0</v>
      </c>
      <c r="DX13" s="137">
        <v>0</v>
      </c>
      <c r="DY13" s="137">
        <v>0</v>
      </c>
      <c r="DZ13" s="137">
        <v>0</v>
      </c>
      <c r="EA13" s="137">
        <v>0</v>
      </c>
    </row>
    <row r="14" spans="1:131" x14ac:dyDescent="0.35">
      <c r="A14" s="90" t="str">
        <f>VLOOKUP(E14,'Validation List'!F15:G410,2,FALSE)</f>
        <v>January</v>
      </c>
      <c r="B14" s="90" t="str">
        <f>INDEX('NEW HIRE ROSTER'!$G:$G,MATCH(RAW!F14,'NEW HIRE ROSTER'!$A:$A,0))</f>
        <v>Nesting</v>
      </c>
      <c r="C14" s="90" t="str">
        <f>INDEX('NEW HIRE ROSTER'!$F:$F,MATCH(RAW!F14,'NEW HIRE ROSTER'!$A:$A,0))</f>
        <v>Class 11.1</v>
      </c>
      <c r="D14" s="90" t="str">
        <f>INDEX('Validation List'!$H:$H,MATCH(RAW!E14,'Validation List'!$F:$F,0))</f>
        <v>Jan Week 1</v>
      </c>
      <c r="E14" s="89">
        <v>45666</v>
      </c>
      <c r="F14" s="56" t="s">
        <v>1969</v>
      </c>
      <c r="G14" s="90" t="str">
        <f>VLOOKUP(F14,ML!C14:D600,2,FALSE)</f>
        <v>Robin Antolihao Llamido</v>
      </c>
      <c r="H14" s="90" t="str">
        <f>VLOOKUP(F14,ML!C16:E602,3,FALSE)</f>
        <v>QC</v>
      </c>
      <c r="I14" s="83" t="s">
        <v>198</v>
      </c>
      <c r="J14" s="56" t="s">
        <v>209</v>
      </c>
      <c r="K14" s="56" t="s">
        <v>144</v>
      </c>
      <c r="L14" s="56" t="s">
        <v>2251</v>
      </c>
      <c r="M14" s="91">
        <v>0.94</v>
      </c>
      <c r="N14" s="57">
        <v>0</v>
      </c>
      <c r="O14" s="57">
        <v>0</v>
      </c>
      <c r="P14" s="57">
        <v>0</v>
      </c>
      <c r="Q14" s="57">
        <v>0</v>
      </c>
      <c r="R14" s="57">
        <v>0</v>
      </c>
      <c r="S14" s="57">
        <v>0</v>
      </c>
      <c r="T14" s="57">
        <v>0</v>
      </c>
      <c r="U14" s="57">
        <v>0</v>
      </c>
      <c r="V14" s="57">
        <v>0</v>
      </c>
      <c r="W14" s="57">
        <v>0</v>
      </c>
      <c r="X14" s="57">
        <v>1</v>
      </c>
      <c r="Y14" s="57">
        <v>0</v>
      </c>
      <c r="Z14" s="57">
        <v>0</v>
      </c>
      <c r="AA14" s="57">
        <v>0</v>
      </c>
      <c r="AB14" s="57">
        <v>0</v>
      </c>
      <c r="AC14" s="57">
        <v>0</v>
      </c>
      <c r="AD14" s="57">
        <v>0</v>
      </c>
      <c r="AE14" s="57">
        <v>0</v>
      </c>
      <c r="AF14" s="57">
        <v>0</v>
      </c>
      <c r="AG14" s="57">
        <v>0</v>
      </c>
      <c r="AH14" s="57">
        <v>0</v>
      </c>
      <c r="AI14" s="57">
        <v>0</v>
      </c>
      <c r="AJ14" s="57">
        <v>0</v>
      </c>
      <c r="AK14" s="57">
        <v>0</v>
      </c>
      <c r="AL14" s="57">
        <v>0</v>
      </c>
      <c r="AM14" s="57">
        <v>0</v>
      </c>
      <c r="AN14" s="57">
        <v>0</v>
      </c>
      <c r="AO14" s="57">
        <v>0</v>
      </c>
      <c r="AP14" s="57">
        <v>0</v>
      </c>
      <c r="AQ14" s="57">
        <v>0</v>
      </c>
      <c r="AR14" s="57">
        <v>0</v>
      </c>
      <c r="AS14" s="57">
        <v>0</v>
      </c>
      <c r="AT14" s="57">
        <v>0</v>
      </c>
      <c r="AU14" s="57">
        <v>0</v>
      </c>
      <c r="AV14" s="57">
        <v>0</v>
      </c>
      <c r="AW14" s="57">
        <v>0</v>
      </c>
      <c r="AX14" s="57">
        <v>0</v>
      </c>
      <c r="AY14" s="57">
        <v>0</v>
      </c>
      <c r="AZ14" s="57">
        <v>0</v>
      </c>
      <c r="BA14" s="57">
        <v>0</v>
      </c>
      <c r="BB14" s="57">
        <v>0</v>
      </c>
      <c r="BC14" s="57">
        <v>0</v>
      </c>
      <c r="BD14" s="57">
        <v>0</v>
      </c>
      <c r="BE14" s="57">
        <v>0</v>
      </c>
      <c r="BF14" s="57">
        <v>0</v>
      </c>
      <c r="BG14" s="57">
        <v>0</v>
      </c>
      <c r="BH14" s="57">
        <v>0</v>
      </c>
      <c r="BI14" s="57">
        <v>0</v>
      </c>
      <c r="BJ14" s="57">
        <v>0</v>
      </c>
      <c r="BK14" s="57">
        <v>0</v>
      </c>
      <c r="BL14" s="57">
        <v>0</v>
      </c>
      <c r="BM14" s="57">
        <v>0</v>
      </c>
      <c r="BN14" s="57">
        <v>0</v>
      </c>
      <c r="BO14" s="57">
        <v>0</v>
      </c>
      <c r="BP14" s="57">
        <v>0</v>
      </c>
      <c r="BQ14" s="57">
        <v>0</v>
      </c>
      <c r="BR14" s="57">
        <v>0</v>
      </c>
      <c r="BS14" s="57">
        <v>0</v>
      </c>
      <c r="BT14" s="57">
        <v>0</v>
      </c>
      <c r="BU14" s="57">
        <v>0</v>
      </c>
      <c r="BV14" s="57">
        <v>0</v>
      </c>
      <c r="BW14" s="57">
        <v>0</v>
      </c>
      <c r="BX14" s="57">
        <v>0</v>
      </c>
      <c r="BY14" s="57">
        <v>0</v>
      </c>
      <c r="BZ14" s="57">
        <v>0</v>
      </c>
      <c r="CA14" s="57">
        <v>0</v>
      </c>
      <c r="CB14" s="57">
        <v>0</v>
      </c>
      <c r="CC14" s="57">
        <v>0</v>
      </c>
      <c r="CD14" s="57">
        <v>0</v>
      </c>
      <c r="CE14" s="57">
        <v>0</v>
      </c>
      <c r="CF14" s="57">
        <v>0</v>
      </c>
      <c r="CG14" s="57">
        <v>0</v>
      </c>
      <c r="CH14" s="57">
        <v>0</v>
      </c>
      <c r="CI14" s="57">
        <v>0</v>
      </c>
      <c r="CJ14" s="57">
        <v>0</v>
      </c>
      <c r="CK14" s="57">
        <v>0</v>
      </c>
      <c r="CL14" s="57">
        <v>0</v>
      </c>
      <c r="CM14" s="57">
        <v>0</v>
      </c>
      <c r="CN14" s="57">
        <v>0</v>
      </c>
      <c r="CO14" s="57">
        <v>0</v>
      </c>
      <c r="CP14" s="57">
        <v>0</v>
      </c>
      <c r="CQ14" s="57">
        <v>0</v>
      </c>
      <c r="CR14" s="57">
        <v>0</v>
      </c>
      <c r="CS14" s="57">
        <v>0</v>
      </c>
      <c r="CT14" s="57">
        <v>0</v>
      </c>
      <c r="CU14" s="57">
        <v>0</v>
      </c>
      <c r="CV14" s="57">
        <v>0</v>
      </c>
      <c r="CW14" s="57">
        <v>0</v>
      </c>
      <c r="CX14" s="57">
        <v>0</v>
      </c>
      <c r="CY14" s="57">
        <v>0</v>
      </c>
      <c r="CZ14" s="57">
        <v>0</v>
      </c>
      <c r="DA14" s="57">
        <v>0</v>
      </c>
      <c r="DB14" s="57">
        <v>0</v>
      </c>
      <c r="DC14" s="57">
        <v>0</v>
      </c>
      <c r="DD14" s="57">
        <v>0</v>
      </c>
      <c r="DE14" s="57">
        <v>0</v>
      </c>
      <c r="DF14" s="57">
        <v>0</v>
      </c>
      <c r="DG14" s="137">
        <v>0</v>
      </c>
      <c r="DH14" s="137">
        <v>0</v>
      </c>
      <c r="DI14" s="137">
        <v>0</v>
      </c>
      <c r="DJ14" s="137">
        <v>0</v>
      </c>
      <c r="DK14" s="137">
        <v>0</v>
      </c>
      <c r="DL14" s="137">
        <v>0</v>
      </c>
      <c r="DM14" s="137">
        <v>0</v>
      </c>
      <c r="DN14" s="137">
        <v>0</v>
      </c>
      <c r="DO14" s="137">
        <v>0</v>
      </c>
      <c r="DP14" s="137">
        <v>0</v>
      </c>
      <c r="DQ14" s="137">
        <v>0</v>
      </c>
      <c r="DR14" s="137">
        <v>0</v>
      </c>
      <c r="DS14" s="137">
        <v>0</v>
      </c>
      <c r="DT14" s="137">
        <v>0</v>
      </c>
      <c r="DU14" s="137">
        <v>0</v>
      </c>
      <c r="DV14" s="137">
        <v>0</v>
      </c>
      <c r="DW14" s="137">
        <v>0</v>
      </c>
      <c r="DX14" s="137">
        <v>0</v>
      </c>
      <c r="DY14" s="137">
        <v>0</v>
      </c>
      <c r="DZ14" s="137">
        <v>0</v>
      </c>
      <c r="EA14" s="137">
        <v>0</v>
      </c>
    </row>
    <row r="15" spans="1:131" x14ac:dyDescent="0.35">
      <c r="A15" s="90" t="str">
        <f>VLOOKUP(E15,'Validation List'!F16:G411,2,FALSE)</f>
        <v>January</v>
      </c>
      <c r="B15" s="90" t="str">
        <f>INDEX('NEW HIRE ROSTER'!$G:$G,MATCH(RAW!F15,'NEW HIRE ROSTER'!$A:$A,0))</f>
        <v>Nesting</v>
      </c>
      <c r="C15" s="90" t="str">
        <f>INDEX('NEW HIRE ROSTER'!$F:$F,MATCH(RAW!F15,'NEW HIRE ROSTER'!$A:$A,0))</f>
        <v>Class 11.2</v>
      </c>
      <c r="D15" s="90" t="str">
        <f>INDEX('Validation List'!$H:$H,MATCH(RAW!E15,'Validation List'!$F:$F,0))</f>
        <v>Jan Week 1</v>
      </c>
      <c r="E15" s="89">
        <v>45666</v>
      </c>
      <c r="F15" s="56" t="s">
        <v>1966</v>
      </c>
      <c r="G15" s="90" t="str">
        <f>VLOOKUP(F15,ML!C15:D601,2,FALSE)</f>
        <v>Khyno Elimanco Cortez</v>
      </c>
      <c r="H15" s="90" t="str">
        <f>VLOOKUP(F15,ML!C17:E603,3,FALSE)</f>
        <v>QC</v>
      </c>
      <c r="I15" s="83" t="s">
        <v>190</v>
      </c>
      <c r="J15" s="56" t="s">
        <v>209</v>
      </c>
      <c r="K15" s="56" t="s">
        <v>155</v>
      </c>
      <c r="L15" s="56" t="s">
        <v>2252</v>
      </c>
      <c r="M15" s="91">
        <v>0.94</v>
      </c>
      <c r="N15" s="57">
        <v>0</v>
      </c>
      <c r="O15" s="57">
        <v>0</v>
      </c>
      <c r="P15" s="57">
        <v>0</v>
      </c>
      <c r="Q15" s="57">
        <v>0</v>
      </c>
      <c r="R15" s="57">
        <v>0</v>
      </c>
      <c r="S15" s="57">
        <v>0</v>
      </c>
      <c r="T15" s="57">
        <v>0</v>
      </c>
      <c r="U15" s="57">
        <v>0</v>
      </c>
      <c r="V15" s="57">
        <v>0</v>
      </c>
      <c r="W15" s="57">
        <v>0</v>
      </c>
      <c r="X15" s="57">
        <v>1</v>
      </c>
      <c r="Y15" s="57">
        <v>0</v>
      </c>
      <c r="Z15" s="57">
        <v>0</v>
      </c>
      <c r="AA15" s="57">
        <v>0</v>
      </c>
      <c r="AB15" s="57">
        <v>0</v>
      </c>
      <c r="AC15" s="57">
        <v>0</v>
      </c>
      <c r="AD15" s="57">
        <v>0</v>
      </c>
      <c r="AE15" s="57">
        <v>0</v>
      </c>
      <c r="AF15" s="57">
        <v>0</v>
      </c>
      <c r="AG15" s="57">
        <v>0</v>
      </c>
      <c r="AH15" s="57">
        <v>0</v>
      </c>
      <c r="AI15" s="57">
        <v>0</v>
      </c>
      <c r="AJ15" s="57">
        <v>0</v>
      </c>
      <c r="AK15" s="57">
        <v>0</v>
      </c>
      <c r="AL15" s="57">
        <v>0</v>
      </c>
      <c r="AM15" s="57">
        <v>0</v>
      </c>
      <c r="AN15" s="57">
        <v>0</v>
      </c>
      <c r="AO15" s="57">
        <v>0</v>
      </c>
      <c r="AP15" s="57">
        <v>0</v>
      </c>
      <c r="AQ15" s="57">
        <v>0</v>
      </c>
      <c r="AR15" s="57">
        <v>0</v>
      </c>
      <c r="AS15" s="57">
        <v>0</v>
      </c>
      <c r="AT15" s="57">
        <v>0</v>
      </c>
      <c r="AU15" s="57">
        <v>0</v>
      </c>
      <c r="AV15" s="57">
        <v>0</v>
      </c>
      <c r="AW15" s="57">
        <v>0</v>
      </c>
      <c r="AX15" s="57">
        <v>0</v>
      </c>
      <c r="AY15" s="57">
        <v>0</v>
      </c>
      <c r="AZ15" s="57">
        <v>0</v>
      </c>
      <c r="BA15" s="57">
        <v>0</v>
      </c>
      <c r="BB15" s="57">
        <v>0</v>
      </c>
      <c r="BC15" s="57">
        <v>0</v>
      </c>
      <c r="BD15" s="57">
        <v>0</v>
      </c>
      <c r="BE15" s="57">
        <v>0</v>
      </c>
      <c r="BF15" s="57">
        <v>0</v>
      </c>
      <c r="BG15" s="57">
        <v>0</v>
      </c>
      <c r="BH15" s="57">
        <v>0</v>
      </c>
      <c r="BI15" s="57">
        <v>0</v>
      </c>
      <c r="BJ15" s="57">
        <v>0</v>
      </c>
      <c r="BK15" s="57">
        <v>0</v>
      </c>
      <c r="BL15" s="57">
        <v>0</v>
      </c>
      <c r="BM15" s="57">
        <v>0</v>
      </c>
      <c r="BN15" s="57">
        <v>0</v>
      </c>
      <c r="BO15" s="57">
        <v>0</v>
      </c>
      <c r="BP15" s="57">
        <v>0</v>
      </c>
      <c r="BQ15" s="57">
        <v>0</v>
      </c>
      <c r="BR15" s="57">
        <v>0</v>
      </c>
      <c r="BS15" s="57">
        <v>0</v>
      </c>
      <c r="BT15" s="57">
        <v>0</v>
      </c>
      <c r="BU15" s="57">
        <v>0</v>
      </c>
      <c r="BV15" s="57">
        <v>0</v>
      </c>
      <c r="BW15" s="57">
        <v>0</v>
      </c>
      <c r="BX15" s="57">
        <v>0</v>
      </c>
      <c r="BY15" s="57">
        <v>0</v>
      </c>
      <c r="BZ15" s="57">
        <v>0</v>
      </c>
      <c r="CA15" s="57">
        <v>0</v>
      </c>
      <c r="CB15" s="57">
        <v>0</v>
      </c>
      <c r="CC15" s="57">
        <v>0</v>
      </c>
      <c r="CD15" s="57">
        <v>0</v>
      </c>
      <c r="CE15" s="57">
        <v>0</v>
      </c>
      <c r="CF15" s="57">
        <v>0</v>
      </c>
      <c r="CG15" s="57">
        <v>0</v>
      </c>
      <c r="CH15" s="57">
        <v>0</v>
      </c>
      <c r="CI15" s="57">
        <v>0</v>
      </c>
      <c r="CJ15" s="57">
        <v>0</v>
      </c>
      <c r="CK15" s="57">
        <v>0</v>
      </c>
      <c r="CL15" s="57">
        <v>0</v>
      </c>
      <c r="CM15" s="57">
        <v>0</v>
      </c>
      <c r="CN15" s="57">
        <v>0</v>
      </c>
      <c r="CO15" s="57">
        <v>0</v>
      </c>
      <c r="CP15" s="57">
        <v>0</v>
      </c>
      <c r="CQ15" s="57">
        <v>0</v>
      </c>
      <c r="CR15" s="57">
        <v>0</v>
      </c>
      <c r="CS15" s="57">
        <v>0</v>
      </c>
      <c r="CT15" s="57">
        <v>0</v>
      </c>
      <c r="CU15" s="57">
        <v>0</v>
      </c>
      <c r="CV15" s="57">
        <v>0</v>
      </c>
      <c r="CW15" s="57">
        <v>0</v>
      </c>
      <c r="CX15" s="57">
        <v>0</v>
      </c>
      <c r="CY15" s="57">
        <v>0</v>
      </c>
      <c r="CZ15" s="57">
        <v>0</v>
      </c>
      <c r="DA15" s="57">
        <v>0</v>
      </c>
      <c r="DB15" s="57">
        <v>0</v>
      </c>
      <c r="DC15" s="57">
        <v>0</v>
      </c>
      <c r="DD15" s="57">
        <v>0</v>
      </c>
      <c r="DE15" s="57">
        <v>0</v>
      </c>
      <c r="DF15" s="57">
        <v>0</v>
      </c>
      <c r="DG15" s="137">
        <v>0</v>
      </c>
      <c r="DH15" s="137">
        <v>0</v>
      </c>
      <c r="DI15" s="137">
        <v>0</v>
      </c>
      <c r="DJ15" s="137">
        <v>0</v>
      </c>
      <c r="DK15" s="137">
        <v>0</v>
      </c>
      <c r="DL15" s="137">
        <v>0</v>
      </c>
      <c r="DM15" s="137">
        <v>0</v>
      </c>
      <c r="DN15" s="137">
        <v>0</v>
      </c>
      <c r="DO15" s="137">
        <v>0</v>
      </c>
      <c r="DP15" s="137">
        <v>0</v>
      </c>
      <c r="DQ15" s="137">
        <v>0</v>
      </c>
      <c r="DR15" s="137">
        <v>0</v>
      </c>
      <c r="DS15" s="137">
        <v>0</v>
      </c>
      <c r="DT15" s="137">
        <v>0</v>
      </c>
      <c r="DU15" s="137">
        <v>0</v>
      </c>
      <c r="DV15" s="137">
        <v>0</v>
      </c>
      <c r="DW15" s="137">
        <v>0</v>
      </c>
      <c r="DX15" s="137">
        <v>0</v>
      </c>
      <c r="DY15" s="137">
        <v>0</v>
      </c>
      <c r="DZ15" s="137">
        <v>0</v>
      </c>
      <c r="EA15" s="137">
        <v>0</v>
      </c>
    </row>
    <row r="16" spans="1:131" x14ac:dyDescent="0.35">
      <c r="A16" s="90" t="str">
        <f>VLOOKUP(E16,'Validation List'!F17:G412,2,FALSE)</f>
        <v>January</v>
      </c>
      <c r="B16" s="90" t="str">
        <f>INDEX('NEW HIRE ROSTER'!$G:$G,MATCH(RAW!F16,'NEW HIRE ROSTER'!$A:$A,0))</f>
        <v>Nesting</v>
      </c>
      <c r="C16" s="90" t="str">
        <f>INDEX('NEW HIRE ROSTER'!$F:$F,MATCH(RAW!F16,'NEW HIRE ROSTER'!$A:$A,0))</f>
        <v>Class 11.2</v>
      </c>
      <c r="D16" s="90" t="str">
        <f>INDEX('Validation List'!$H:$H,MATCH(RAW!E16,'Validation List'!$F:$F,0))</f>
        <v>Jan Week 1</v>
      </c>
      <c r="E16" s="89">
        <v>45666</v>
      </c>
      <c r="F16" s="56" t="s">
        <v>1954</v>
      </c>
      <c r="G16" s="90" t="str">
        <f>VLOOKUP(F16,ML!C16:D602,2,FALSE)</f>
        <v>Khyno Elimanco Cortez</v>
      </c>
      <c r="H16" s="90" t="str">
        <f>VLOOKUP(F16,ML!C18:E604,3,FALSE)</f>
        <v>QC</v>
      </c>
      <c r="I16" s="83" t="s">
        <v>190</v>
      </c>
      <c r="J16" s="56" t="s">
        <v>209</v>
      </c>
      <c r="K16" s="56" t="s">
        <v>163</v>
      </c>
      <c r="L16" s="56" t="s">
        <v>2253</v>
      </c>
      <c r="M16" s="91">
        <v>0.94</v>
      </c>
      <c r="N16" s="57">
        <v>0</v>
      </c>
      <c r="O16" s="57">
        <v>0</v>
      </c>
      <c r="P16" s="57">
        <v>0</v>
      </c>
      <c r="Q16" s="57">
        <v>0</v>
      </c>
      <c r="R16" s="57">
        <v>0</v>
      </c>
      <c r="S16" s="57">
        <v>0</v>
      </c>
      <c r="T16" s="57">
        <v>0</v>
      </c>
      <c r="U16" s="57">
        <v>0</v>
      </c>
      <c r="V16" s="57">
        <v>0</v>
      </c>
      <c r="W16" s="57">
        <v>0</v>
      </c>
      <c r="X16" s="57">
        <v>1</v>
      </c>
      <c r="Y16" s="57">
        <v>0</v>
      </c>
      <c r="Z16" s="57">
        <v>0</v>
      </c>
      <c r="AA16" s="57">
        <v>0</v>
      </c>
      <c r="AB16" s="57">
        <v>0</v>
      </c>
      <c r="AC16" s="57">
        <v>0</v>
      </c>
      <c r="AD16" s="57">
        <v>0</v>
      </c>
      <c r="AE16" s="57">
        <v>0</v>
      </c>
      <c r="AF16" s="57">
        <v>0</v>
      </c>
      <c r="AG16" s="57">
        <v>0</v>
      </c>
      <c r="AH16" s="57">
        <v>0</v>
      </c>
      <c r="AI16" s="57">
        <v>0</v>
      </c>
      <c r="AJ16" s="57">
        <v>0</v>
      </c>
      <c r="AK16" s="57">
        <v>0</v>
      </c>
      <c r="AL16" s="57">
        <v>0</v>
      </c>
      <c r="AM16" s="57">
        <v>0</v>
      </c>
      <c r="AN16" s="57">
        <v>0</v>
      </c>
      <c r="AO16" s="57">
        <v>0</v>
      </c>
      <c r="AP16" s="57">
        <v>0</v>
      </c>
      <c r="AQ16" s="57">
        <v>0</v>
      </c>
      <c r="AR16" s="57">
        <v>0</v>
      </c>
      <c r="AS16" s="57">
        <v>0</v>
      </c>
      <c r="AT16" s="57">
        <v>0</v>
      </c>
      <c r="AU16" s="57">
        <v>0</v>
      </c>
      <c r="AV16" s="57">
        <v>0</v>
      </c>
      <c r="AW16" s="57">
        <v>0</v>
      </c>
      <c r="AX16" s="57">
        <v>0</v>
      </c>
      <c r="AY16" s="57">
        <v>0</v>
      </c>
      <c r="AZ16" s="57">
        <v>0</v>
      </c>
      <c r="BA16" s="57">
        <v>0</v>
      </c>
      <c r="BB16" s="57">
        <v>0</v>
      </c>
      <c r="BC16" s="57">
        <v>0</v>
      </c>
      <c r="BD16" s="57">
        <v>0</v>
      </c>
      <c r="BE16" s="57">
        <v>0</v>
      </c>
      <c r="BF16" s="57">
        <v>0</v>
      </c>
      <c r="BG16" s="57">
        <v>0</v>
      </c>
      <c r="BH16" s="57">
        <v>0</v>
      </c>
      <c r="BI16" s="57">
        <v>0</v>
      </c>
      <c r="BJ16" s="57">
        <v>0</v>
      </c>
      <c r="BK16" s="57">
        <v>0</v>
      </c>
      <c r="BL16" s="57">
        <v>0</v>
      </c>
      <c r="BM16" s="57">
        <v>0</v>
      </c>
      <c r="BN16" s="57">
        <v>0</v>
      </c>
      <c r="BO16" s="57">
        <v>0</v>
      </c>
      <c r="BP16" s="57">
        <v>0</v>
      </c>
      <c r="BQ16" s="57">
        <v>0</v>
      </c>
      <c r="BR16" s="57">
        <v>0</v>
      </c>
      <c r="BS16" s="57">
        <v>0</v>
      </c>
      <c r="BT16" s="57">
        <v>0</v>
      </c>
      <c r="BU16" s="57">
        <v>0</v>
      </c>
      <c r="BV16" s="57">
        <v>0</v>
      </c>
      <c r="BW16" s="57">
        <v>0</v>
      </c>
      <c r="BX16" s="57">
        <v>0</v>
      </c>
      <c r="BY16" s="57">
        <v>0</v>
      </c>
      <c r="BZ16" s="57">
        <v>0</v>
      </c>
      <c r="CA16" s="57">
        <v>0</v>
      </c>
      <c r="CB16" s="57">
        <v>0</v>
      </c>
      <c r="CC16" s="57">
        <v>0</v>
      </c>
      <c r="CD16" s="57">
        <v>0</v>
      </c>
      <c r="CE16" s="57">
        <v>0</v>
      </c>
      <c r="CF16" s="57">
        <v>0</v>
      </c>
      <c r="CG16" s="57">
        <v>0</v>
      </c>
      <c r="CH16" s="57">
        <v>0</v>
      </c>
      <c r="CI16" s="57">
        <v>0</v>
      </c>
      <c r="CJ16" s="57">
        <v>0</v>
      </c>
      <c r="CK16" s="57">
        <v>0</v>
      </c>
      <c r="CL16" s="57">
        <v>0</v>
      </c>
      <c r="CM16" s="57">
        <v>0</v>
      </c>
      <c r="CN16" s="57">
        <v>0</v>
      </c>
      <c r="CO16" s="57">
        <v>0</v>
      </c>
      <c r="CP16" s="57">
        <v>0</v>
      </c>
      <c r="CQ16" s="57">
        <v>0</v>
      </c>
      <c r="CR16" s="57">
        <v>0</v>
      </c>
      <c r="CS16" s="57">
        <v>0</v>
      </c>
      <c r="CT16" s="57">
        <v>0</v>
      </c>
      <c r="CU16" s="57">
        <v>0</v>
      </c>
      <c r="CV16" s="57">
        <v>0</v>
      </c>
      <c r="CW16" s="57">
        <v>0</v>
      </c>
      <c r="CX16" s="57">
        <v>0</v>
      </c>
      <c r="CY16" s="57">
        <v>0</v>
      </c>
      <c r="CZ16" s="57">
        <v>0</v>
      </c>
      <c r="DA16" s="57">
        <v>0</v>
      </c>
      <c r="DB16" s="57">
        <v>0</v>
      </c>
      <c r="DC16" s="57">
        <v>0</v>
      </c>
      <c r="DD16" s="57">
        <v>0</v>
      </c>
      <c r="DE16" s="57">
        <v>0</v>
      </c>
      <c r="DF16" s="57">
        <v>0</v>
      </c>
      <c r="DG16" s="137">
        <v>0</v>
      </c>
      <c r="DH16" s="137">
        <v>0</v>
      </c>
      <c r="DI16" s="137">
        <v>0</v>
      </c>
      <c r="DJ16" s="137">
        <v>0</v>
      </c>
      <c r="DK16" s="137">
        <v>0</v>
      </c>
      <c r="DL16" s="137">
        <v>0</v>
      </c>
      <c r="DM16" s="137">
        <v>0</v>
      </c>
      <c r="DN16" s="137">
        <v>0</v>
      </c>
      <c r="DO16" s="137">
        <v>0</v>
      </c>
      <c r="DP16" s="137">
        <v>0</v>
      </c>
      <c r="DQ16" s="137">
        <v>0</v>
      </c>
      <c r="DR16" s="137">
        <v>0</v>
      </c>
      <c r="DS16" s="137">
        <v>0</v>
      </c>
      <c r="DT16" s="137">
        <v>0</v>
      </c>
      <c r="DU16" s="137">
        <v>0</v>
      </c>
      <c r="DV16" s="137">
        <v>0</v>
      </c>
      <c r="DW16" s="137">
        <v>0</v>
      </c>
      <c r="DX16" s="137">
        <v>0</v>
      </c>
      <c r="DY16" s="137">
        <v>0</v>
      </c>
      <c r="DZ16" s="137">
        <v>0</v>
      </c>
      <c r="EA16" s="137">
        <v>0</v>
      </c>
    </row>
    <row r="17" spans="1:131" x14ac:dyDescent="0.35">
      <c r="A17" s="90" t="str">
        <f>VLOOKUP(E17,'Validation List'!F18:G413,2,FALSE)</f>
        <v>January</v>
      </c>
      <c r="B17" s="90" t="str">
        <f>INDEX('NEW HIRE ROSTER'!$G:$G,MATCH(RAW!F17,'NEW HIRE ROSTER'!$A:$A,0))</f>
        <v>Nesting</v>
      </c>
      <c r="C17" s="90" t="str">
        <f>INDEX('NEW HIRE ROSTER'!$F:$F,MATCH(RAW!F17,'NEW HIRE ROSTER'!$A:$A,0))</f>
        <v>Class 11.2</v>
      </c>
      <c r="D17" s="90" t="str">
        <f>INDEX('Validation List'!$H:$H,MATCH(RAW!E17,'Validation List'!$F:$F,0))</f>
        <v>Jan Week 1</v>
      </c>
      <c r="E17" s="89">
        <v>45667</v>
      </c>
      <c r="F17" s="56" t="s">
        <v>1987</v>
      </c>
      <c r="G17" s="90" t="str">
        <f>VLOOKUP(F17,ML!C17:D603,2,FALSE)</f>
        <v>Khyno Elimanco Cortez</v>
      </c>
      <c r="H17" s="90" t="str">
        <f>VLOOKUP(F17,ML!C19:E605,3,FALSE)</f>
        <v>QC</v>
      </c>
      <c r="I17" s="83" t="s">
        <v>190</v>
      </c>
      <c r="J17" s="56" t="s">
        <v>209</v>
      </c>
      <c r="K17" s="56" t="s">
        <v>155</v>
      </c>
      <c r="L17" s="56" t="s">
        <v>2254</v>
      </c>
      <c r="M17" s="91">
        <v>0.94</v>
      </c>
      <c r="N17" s="57">
        <v>0</v>
      </c>
      <c r="O17" s="57">
        <v>0</v>
      </c>
      <c r="P17" s="57">
        <v>0</v>
      </c>
      <c r="Q17" s="57">
        <v>0</v>
      </c>
      <c r="R17" s="57">
        <v>0</v>
      </c>
      <c r="S17" s="57">
        <v>0</v>
      </c>
      <c r="T17" s="57">
        <v>0</v>
      </c>
      <c r="U17" s="57">
        <v>1</v>
      </c>
      <c r="V17" s="57">
        <v>0</v>
      </c>
      <c r="W17" s="57">
        <v>0</v>
      </c>
      <c r="X17" s="57">
        <v>0</v>
      </c>
      <c r="Y17" s="57">
        <v>0</v>
      </c>
      <c r="Z17" s="57">
        <v>0</v>
      </c>
      <c r="AA17" s="57">
        <v>0</v>
      </c>
      <c r="AB17" s="57">
        <v>0</v>
      </c>
      <c r="AC17" s="57">
        <v>0</v>
      </c>
      <c r="AD17" s="57">
        <v>0</v>
      </c>
      <c r="AE17" s="57">
        <v>0</v>
      </c>
      <c r="AF17" s="57">
        <v>0</v>
      </c>
      <c r="AG17" s="57">
        <v>0</v>
      </c>
      <c r="AH17" s="57">
        <v>0</v>
      </c>
      <c r="AI17" s="57">
        <v>0</v>
      </c>
      <c r="AJ17" s="57">
        <v>0</v>
      </c>
      <c r="AK17" s="57">
        <v>0</v>
      </c>
      <c r="AL17" s="57">
        <v>0</v>
      </c>
      <c r="AM17" s="57">
        <v>0</v>
      </c>
      <c r="AN17" s="57">
        <v>0</v>
      </c>
      <c r="AO17" s="57">
        <v>0</v>
      </c>
      <c r="AP17" s="57">
        <v>0</v>
      </c>
      <c r="AQ17" s="57">
        <v>0</v>
      </c>
      <c r="AR17" s="57">
        <v>0</v>
      </c>
      <c r="AS17" s="57">
        <v>0</v>
      </c>
      <c r="AT17" s="57">
        <v>0</v>
      </c>
      <c r="AU17" s="57">
        <v>0</v>
      </c>
      <c r="AV17" s="57">
        <v>0</v>
      </c>
      <c r="AW17" s="57">
        <v>0</v>
      </c>
      <c r="AX17" s="57">
        <v>0</v>
      </c>
      <c r="AY17" s="57">
        <v>0</v>
      </c>
      <c r="AZ17" s="57">
        <v>0</v>
      </c>
      <c r="BA17" s="57">
        <v>0</v>
      </c>
      <c r="BB17" s="57">
        <v>0</v>
      </c>
      <c r="BC17" s="57">
        <v>0</v>
      </c>
      <c r="BD17" s="57">
        <v>0</v>
      </c>
      <c r="BE17" s="57">
        <v>0</v>
      </c>
      <c r="BF17" s="57">
        <v>0</v>
      </c>
      <c r="BG17" s="57">
        <v>0</v>
      </c>
      <c r="BH17" s="57">
        <v>0</v>
      </c>
      <c r="BI17" s="57">
        <v>0</v>
      </c>
      <c r="BJ17" s="57">
        <v>0</v>
      </c>
      <c r="BK17" s="57">
        <v>0</v>
      </c>
      <c r="BL17" s="57">
        <v>0</v>
      </c>
      <c r="BM17" s="57">
        <v>0</v>
      </c>
      <c r="BN17" s="57">
        <v>0</v>
      </c>
      <c r="BO17" s="57">
        <v>0</v>
      </c>
      <c r="BP17" s="57">
        <v>0</v>
      </c>
      <c r="BQ17" s="57">
        <v>0</v>
      </c>
      <c r="BR17" s="57">
        <v>0</v>
      </c>
      <c r="BS17" s="57">
        <v>0</v>
      </c>
      <c r="BT17" s="57">
        <v>0</v>
      </c>
      <c r="BU17" s="57">
        <v>0</v>
      </c>
      <c r="BV17" s="57">
        <v>0</v>
      </c>
      <c r="BW17" s="57">
        <v>0</v>
      </c>
      <c r="BX17" s="57">
        <v>0</v>
      </c>
      <c r="BY17" s="57">
        <v>0</v>
      </c>
      <c r="BZ17" s="57">
        <v>0</v>
      </c>
      <c r="CA17" s="57">
        <v>0</v>
      </c>
      <c r="CB17" s="57">
        <v>0</v>
      </c>
      <c r="CC17" s="57">
        <v>0</v>
      </c>
      <c r="CD17" s="57">
        <v>0</v>
      </c>
      <c r="CE17" s="57">
        <v>0</v>
      </c>
      <c r="CF17" s="57">
        <v>0</v>
      </c>
      <c r="CG17" s="57">
        <v>0</v>
      </c>
      <c r="CH17" s="57">
        <v>0</v>
      </c>
      <c r="CI17" s="57">
        <v>0</v>
      </c>
      <c r="CJ17" s="57">
        <v>0</v>
      </c>
      <c r="CK17" s="57">
        <v>0</v>
      </c>
      <c r="CL17" s="57">
        <v>0</v>
      </c>
      <c r="CM17" s="57">
        <v>0</v>
      </c>
      <c r="CN17" s="57">
        <v>0</v>
      </c>
      <c r="CO17" s="57">
        <v>0</v>
      </c>
      <c r="CP17" s="57">
        <v>0</v>
      </c>
      <c r="CQ17" s="57">
        <v>0</v>
      </c>
      <c r="CR17" s="57">
        <v>0</v>
      </c>
      <c r="CS17" s="57">
        <v>0</v>
      </c>
      <c r="CT17" s="57">
        <v>0</v>
      </c>
      <c r="CU17" s="57">
        <v>0</v>
      </c>
      <c r="CV17" s="57">
        <v>0</v>
      </c>
      <c r="CW17" s="57">
        <v>0</v>
      </c>
      <c r="CX17" s="57">
        <v>0</v>
      </c>
      <c r="CY17" s="57">
        <v>0</v>
      </c>
      <c r="CZ17" s="57">
        <v>0</v>
      </c>
      <c r="DA17" s="57">
        <v>0</v>
      </c>
      <c r="DB17" s="57">
        <v>0</v>
      </c>
      <c r="DC17" s="57">
        <v>0</v>
      </c>
      <c r="DD17" s="57">
        <v>0</v>
      </c>
      <c r="DE17" s="57">
        <v>0</v>
      </c>
      <c r="DF17" s="57">
        <v>0</v>
      </c>
      <c r="DG17" s="137">
        <v>0</v>
      </c>
      <c r="DH17" s="137">
        <v>0</v>
      </c>
      <c r="DI17" s="137">
        <v>0</v>
      </c>
      <c r="DJ17" s="137">
        <v>0</v>
      </c>
      <c r="DK17" s="137">
        <v>0</v>
      </c>
      <c r="DL17" s="137">
        <v>0</v>
      </c>
      <c r="DM17" s="137">
        <v>0</v>
      </c>
      <c r="DN17" s="137">
        <v>0</v>
      </c>
      <c r="DO17" s="137">
        <v>0</v>
      </c>
      <c r="DP17" s="137">
        <v>0</v>
      </c>
      <c r="DQ17" s="137">
        <v>0</v>
      </c>
      <c r="DR17" s="137">
        <v>0</v>
      </c>
      <c r="DS17" s="137">
        <v>0</v>
      </c>
      <c r="DT17" s="137">
        <v>0</v>
      </c>
      <c r="DU17" s="137">
        <v>0</v>
      </c>
      <c r="DV17" s="137">
        <v>0</v>
      </c>
      <c r="DW17" s="137">
        <v>0</v>
      </c>
      <c r="DX17" s="137">
        <v>0</v>
      </c>
      <c r="DY17" s="137">
        <v>0</v>
      </c>
      <c r="DZ17" s="137">
        <v>0</v>
      </c>
      <c r="EA17" s="137">
        <v>0</v>
      </c>
    </row>
    <row r="18" spans="1:131" x14ac:dyDescent="0.35">
      <c r="A18" s="90" t="str">
        <f>VLOOKUP(E18,'Validation List'!F19:G414,2,FALSE)</f>
        <v>January</v>
      </c>
      <c r="B18" s="90" t="str">
        <f>INDEX('NEW HIRE ROSTER'!$G:$G,MATCH(RAW!F18,'NEW HIRE ROSTER'!$A:$A,0))</f>
        <v>Nesting</v>
      </c>
      <c r="C18" s="90" t="str">
        <f>INDEX('NEW HIRE ROSTER'!$F:$F,MATCH(RAW!F18,'NEW HIRE ROSTER'!$A:$A,0))</f>
        <v>Class 11.2</v>
      </c>
      <c r="D18" s="90" t="str">
        <f>INDEX('Validation List'!$H:$H,MATCH(RAW!E18,'Validation List'!$F:$F,0))</f>
        <v>Jan Week 1</v>
      </c>
      <c r="E18" s="89">
        <v>45667</v>
      </c>
      <c r="F18" s="56" t="s">
        <v>2008</v>
      </c>
      <c r="G18" s="90" t="str">
        <f>VLOOKUP(F18,ML!C18:D604,2,FALSE)</f>
        <v>Khyno Elimanco Cortez</v>
      </c>
      <c r="H18" s="90" t="str">
        <f>VLOOKUP(F18,ML!C20:E606,3,FALSE)</f>
        <v>QC</v>
      </c>
      <c r="I18" s="83" t="s">
        <v>190</v>
      </c>
      <c r="J18" s="56" t="s">
        <v>209</v>
      </c>
      <c r="K18" s="56" t="s">
        <v>144</v>
      </c>
      <c r="L18" s="56" t="s">
        <v>2255</v>
      </c>
      <c r="M18" s="91">
        <v>0.94</v>
      </c>
      <c r="N18" s="57">
        <v>0</v>
      </c>
      <c r="O18" s="57">
        <v>0</v>
      </c>
      <c r="P18" s="57">
        <v>0</v>
      </c>
      <c r="Q18" s="57">
        <v>0</v>
      </c>
      <c r="R18" s="57">
        <v>0</v>
      </c>
      <c r="S18" s="57">
        <v>0</v>
      </c>
      <c r="T18" s="57">
        <v>0</v>
      </c>
      <c r="U18" s="57">
        <v>0</v>
      </c>
      <c r="V18" s="57">
        <v>0</v>
      </c>
      <c r="W18" s="57">
        <v>0</v>
      </c>
      <c r="X18" s="57">
        <v>1</v>
      </c>
      <c r="Y18" s="57">
        <v>0</v>
      </c>
      <c r="Z18" s="57">
        <v>0</v>
      </c>
      <c r="AA18" s="57">
        <v>0</v>
      </c>
      <c r="AB18" s="57">
        <v>0</v>
      </c>
      <c r="AC18" s="57">
        <v>0</v>
      </c>
      <c r="AD18" s="57">
        <v>0</v>
      </c>
      <c r="AE18" s="57">
        <v>0</v>
      </c>
      <c r="AF18" s="57">
        <v>0</v>
      </c>
      <c r="AG18" s="57">
        <v>0</v>
      </c>
      <c r="AH18" s="57">
        <v>0</v>
      </c>
      <c r="AI18" s="57">
        <v>0</v>
      </c>
      <c r="AJ18" s="57">
        <v>0</v>
      </c>
      <c r="AK18" s="57">
        <v>0</v>
      </c>
      <c r="AL18" s="57">
        <v>0</v>
      </c>
      <c r="AM18" s="57">
        <v>0</v>
      </c>
      <c r="AN18" s="57">
        <v>0</v>
      </c>
      <c r="AO18" s="57">
        <v>0</v>
      </c>
      <c r="AP18" s="57">
        <v>0</v>
      </c>
      <c r="AQ18" s="57">
        <v>0</v>
      </c>
      <c r="AR18" s="57">
        <v>0</v>
      </c>
      <c r="AS18" s="57">
        <v>0</v>
      </c>
      <c r="AT18" s="57">
        <v>0</v>
      </c>
      <c r="AU18" s="57">
        <v>0</v>
      </c>
      <c r="AV18" s="57">
        <v>0</v>
      </c>
      <c r="AW18" s="57">
        <v>0</v>
      </c>
      <c r="AX18" s="57">
        <v>0</v>
      </c>
      <c r="AY18" s="57">
        <v>0</v>
      </c>
      <c r="AZ18" s="57">
        <v>0</v>
      </c>
      <c r="BA18" s="57">
        <v>0</v>
      </c>
      <c r="BB18" s="57">
        <v>0</v>
      </c>
      <c r="BC18" s="57">
        <v>0</v>
      </c>
      <c r="BD18" s="57">
        <v>0</v>
      </c>
      <c r="BE18" s="57">
        <v>0</v>
      </c>
      <c r="BF18" s="57">
        <v>0</v>
      </c>
      <c r="BG18" s="57">
        <v>0</v>
      </c>
      <c r="BH18" s="57">
        <v>0</v>
      </c>
      <c r="BI18" s="57">
        <v>0</v>
      </c>
      <c r="BJ18" s="57">
        <v>0</v>
      </c>
      <c r="BK18" s="57">
        <v>0</v>
      </c>
      <c r="BL18" s="57">
        <v>0</v>
      </c>
      <c r="BM18" s="57">
        <v>0</v>
      </c>
      <c r="BN18" s="57">
        <v>0</v>
      </c>
      <c r="BO18" s="57">
        <v>0</v>
      </c>
      <c r="BP18" s="57">
        <v>0</v>
      </c>
      <c r="BQ18" s="57">
        <v>0</v>
      </c>
      <c r="BR18" s="57">
        <v>0</v>
      </c>
      <c r="BS18" s="57">
        <v>0</v>
      </c>
      <c r="BT18" s="57">
        <v>0</v>
      </c>
      <c r="BU18" s="57">
        <v>0</v>
      </c>
      <c r="BV18" s="57">
        <v>0</v>
      </c>
      <c r="BW18" s="57">
        <v>0</v>
      </c>
      <c r="BX18" s="57">
        <v>0</v>
      </c>
      <c r="BY18" s="57">
        <v>0</v>
      </c>
      <c r="BZ18" s="57">
        <v>0</v>
      </c>
      <c r="CA18" s="57">
        <v>0</v>
      </c>
      <c r="CB18" s="57">
        <v>0</v>
      </c>
      <c r="CC18" s="57">
        <v>0</v>
      </c>
      <c r="CD18" s="57">
        <v>0</v>
      </c>
      <c r="CE18" s="57">
        <v>0</v>
      </c>
      <c r="CF18" s="57">
        <v>0</v>
      </c>
      <c r="CG18" s="57">
        <v>0</v>
      </c>
      <c r="CH18" s="57">
        <v>0</v>
      </c>
      <c r="CI18" s="57">
        <v>0</v>
      </c>
      <c r="CJ18" s="57">
        <v>0</v>
      </c>
      <c r="CK18" s="57">
        <v>0</v>
      </c>
      <c r="CL18" s="57">
        <v>0</v>
      </c>
      <c r="CM18" s="57">
        <v>0</v>
      </c>
      <c r="CN18" s="57">
        <v>0</v>
      </c>
      <c r="CO18" s="57">
        <v>0</v>
      </c>
      <c r="CP18" s="57">
        <v>0</v>
      </c>
      <c r="CQ18" s="57">
        <v>0</v>
      </c>
      <c r="CR18" s="57">
        <v>0</v>
      </c>
      <c r="CS18" s="57">
        <v>0</v>
      </c>
      <c r="CT18" s="57">
        <v>0</v>
      </c>
      <c r="CU18" s="57">
        <v>0</v>
      </c>
      <c r="CV18" s="57">
        <v>0</v>
      </c>
      <c r="CW18" s="57">
        <v>0</v>
      </c>
      <c r="CX18" s="57">
        <v>0</v>
      </c>
      <c r="CY18" s="57">
        <v>0</v>
      </c>
      <c r="CZ18" s="57">
        <v>0</v>
      </c>
      <c r="DA18" s="57">
        <v>0</v>
      </c>
      <c r="DB18" s="57">
        <v>0</v>
      </c>
      <c r="DC18" s="57">
        <v>0</v>
      </c>
      <c r="DD18" s="57">
        <v>0</v>
      </c>
      <c r="DE18" s="57">
        <v>0</v>
      </c>
      <c r="DF18" s="57">
        <v>0</v>
      </c>
      <c r="DG18" s="137">
        <v>0</v>
      </c>
      <c r="DH18" s="137">
        <v>0</v>
      </c>
      <c r="DI18" s="137">
        <v>0</v>
      </c>
      <c r="DJ18" s="137">
        <v>0</v>
      </c>
      <c r="DK18" s="137">
        <v>0</v>
      </c>
      <c r="DL18" s="137">
        <v>0</v>
      </c>
      <c r="DM18" s="137">
        <v>0</v>
      </c>
      <c r="DN18" s="137">
        <v>0</v>
      </c>
      <c r="DO18" s="137">
        <v>0</v>
      </c>
      <c r="DP18" s="137">
        <v>0</v>
      </c>
      <c r="DQ18" s="137">
        <v>0</v>
      </c>
      <c r="DR18" s="137">
        <v>0</v>
      </c>
      <c r="DS18" s="137">
        <v>0</v>
      </c>
      <c r="DT18" s="137">
        <v>0</v>
      </c>
      <c r="DU18" s="137">
        <v>0</v>
      </c>
      <c r="DV18" s="137">
        <v>0</v>
      </c>
      <c r="DW18" s="137">
        <v>0</v>
      </c>
      <c r="DX18" s="137">
        <v>0</v>
      </c>
      <c r="DY18" s="137">
        <v>0</v>
      </c>
      <c r="DZ18" s="137">
        <v>0</v>
      </c>
      <c r="EA18" s="137">
        <v>0</v>
      </c>
    </row>
    <row r="19" spans="1:131" x14ac:dyDescent="0.35">
      <c r="A19" s="90" t="str">
        <f>VLOOKUP(E19,'Validation List'!F20:G415,2,FALSE)</f>
        <v>January</v>
      </c>
      <c r="B19" s="90" t="str">
        <f>INDEX('NEW HIRE ROSTER'!$G:$G,MATCH(RAW!F19,'NEW HIRE ROSTER'!$A:$A,0))</f>
        <v>Nesting</v>
      </c>
      <c r="C19" s="90" t="str">
        <f>INDEX('NEW HIRE ROSTER'!$F:$F,MATCH(RAW!F19,'NEW HIRE ROSTER'!$A:$A,0))</f>
        <v>Class 11.2</v>
      </c>
      <c r="D19" s="90" t="str">
        <f>INDEX('Validation List'!$H:$H,MATCH(RAW!E19,'Validation List'!$F:$F,0))</f>
        <v>Jan Week 1</v>
      </c>
      <c r="E19" s="89">
        <v>45666</v>
      </c>
      <c r="F19" s="56" t="s">
        <v>2005</v>
      </c>
      <c r="G19" s="90" t="str">
        <f>VLOOKUP(F19,ML!C19:D605,2,FALSE)</f>
        <v>Khyno Elimanco Cortez</v>
      </c>
      <c r="H19" s="90" t="str">
        <f>VLOOKUP(F19,ML!C21:E607,3,FALSE)</f>
        <v>QC</v>
      </c>
      <c r="I19" s="83" t="s">
        <v>192</v>
      </c>
      <c r="J19" s="56" t="s">
        <v>209</v>
      </c>
      <c r="K19" s="56" t="s">
        <v>158</v>
      </c>
      <c r="L19" s="56" t="s">
        <v>2256</v>
      </c>
      <c r="M19" s="91">
        <v>1</v>
      </c>
      <c r="N19" s="57">
        <v>0</v>
      </c>
      <c r="O19" s="57">
        <v>0</v>
      </c>
      <c r="P19" s="57">
        <v>0</v>
      </c>
      <c r="Q19" s="57">
        <v>0</v>
      </c>
      <c r="R19" s="57">
        <v>0</v>
      </c>
      <c r="S19" s="57">
        <v>0</v>
      </c>
      <c r="T19" s="57">
        <v>0</v>
      </c>
      <c r="U19" s="57">
        <v>0</v>
      </c>
      <c r="V19" s="57">
        <v>0</v>
      </c>
      <c r="W19" s="57">
        <v>0</v>
      </c>
      <c r="X19" s="57">
        <v>0</v>
      </c>
      <c r="Y19" s="57">
        <v>0</v>
      </c>
      <c r="Z19" s="57">
        <v>0</v>
      </c>
      <c r="AA19" s="57">
        <v>0</v>
      </c>
      <c r="AB19" s="57">
        <v>0</v>
      </c>
      <c r="AC19" s="57">
        <v>0</v>
      </c>
      <c r="AD19" s="57">
        <v>0</v>
      </c>
      <c r="AE19" s="57">
        <v>0</v>
      </c>
      <c r="AF19" s="57">
        <v>0</v>
      </c>
      <c r="AG19" s="57">
        <v>0</v>
      </c>
      <c r="AH19" s="57">
        <v>0</v>
      </c>
      <c r="AI19" s="57">
        <v>0</v>
      </c>
      <c r="AJ19" s="57">
        <v>0</v>
      </c>
      <c r="AK19" s="57">
        <v>0</v>
      </c>
      <c r="AL19" s="57">
        <v>0</v>
      </c>
      <c r="AM19" s="57">
        <v>0</v>
      </c>
      <c r="AN19" s="57">
        <v>0</v>
      </c>
      <c r="AO19" s="57">
        <v>0</v>
      </c>
      <c r="AP19" s="57">
        <v>0</v>
      </c>
      <c r="AQ19" s="57">
        <v>0</v>
      </c>
      <c r="AR19" s="57">
        <v>0</v>
      </c>
      <c r="AS19" s="57">
        <v>0</v>
      </c>
      <c r="AT19" s="57">
        <v>0</v>
      </c>
      <c r="AU19" s="57">
        <v>0</v>
      </c>
      <c r="AV19" s="57">
        <v>0</v>
      </c>
      <c r="AW19" s="57">
        <v>0</v>
      </c>
      <c r="AX19" s="57">
        <v>0</v>
      </c>
      <c r="AY19" s="57">
        <v>0</v>
      </c>
      <c r="AZ19" s="57">
        <v>0</v>
      </c>
      <c r="BA19" s="57">
        <v>0</v>
      </c>
      <c r="BB19" s="57">
        <v>0</v>
      </c>
      <c r="BC19" s="57">
        <v>0</v>
      </c>
      <c r="BD19" s="57">
        <v>0</v>
      </c>
      <c r="BE19" s="57">
        <v>0</v>
      </c>
      <c r="BF19" s="57">
        <v>0</v>
      </c>
      <c r="BG19" s="57">
        <v>0</v>
      </c>
      <c r="BH19" s="57">
        <v>0</v>
      </c>
      <c r="BI19" s="57">
        <v>0</v>
      </c>
      <c r="BJ19" s="57">
        <v>0</v>
      </c>
      <c r="BK19" s="57">
        <v>0</v>
      </c>
      <c r="BL19" s="57">
        <v>0</v>
      </c>
      <c r="BM19" s="57">
        <v>0</v>
      </c>
      <c r="BN19" s="57">
        <v>0</v>
      </c>
      <c r="BO19" s="57">
        <v>0</v>
      </c>
      <c r="BP19" s="57">
        <v>0</v>
      </c>
      <c r="BQ19" s="57">
        <v>0</v>
      </c>
      <c r="BR19" s="57">
        <v>0</v>
      </c>
      <c r="BS19" s="57">
        <v>0</v>
      </c>
      <c r="BT19" s="57">
        <v>0</v>
      </c>
      <c r="BU19" s="57">
        <v>0</v>
      </c>
      <c r="BV19" s="57">
        <v>0</v>
      </c>
      <c r="BW19" s="57">
        <v>0</v>
      </c>
      <c r="BX19" s="57">
        <v>0</v>
      </c>
      <c r="BY19" s="57">
        <v>0</v>
      </c>
      <c r="BZ19" s="57">
        <v>0</v>
      </c>
      <c r="CA19" s="57">
        <v>0</v>
      </c>
      <c r="CB19" s="57">
        <v>0</v>
      </c>
      <c r="CC19" s="57">
        <v>0</v>
      </c>
      <c r="CD19" s="57">
        <v>0</v>
      </c>
      <c r="CE19" s="57">
        <v>0</v>
      </c>
      <c r="CF19" s="57">
        <v>0</v>
      </c>
      <c r="CG19" s="57">
        <v>0</v>
      </c>
      <c r="CH19" s="57">
        <v>0</v>
      </c>
      <c r="CI19" s="57">
        <v>0</v>
      </c>
      <c r="CJ19" s="57">
        <v>0</v>
      </c>
      <c r="CK19" s="57">
        <v>0</v>
      </c>
      <c r="CL19" s="57">
        <v>0</v>
      </c>
      <c r="CM19" s="57">
        <v>0</v>
      </c>
      <c r="CN19" s="57">
        <v>0</v>
      </c>
      <c r="CO19" s="57">
        <v>0</v>
      </c>
      <c r="CP19" s="57">
        <v>0</v>
      </c>
      <c r="CQ19" s="57">
        <v>0</v>
      </c>
      <c r="CR19" s="57">
        <v>0</v>
      </c>
      <c r="CS19" s="57">
        <v>0</v>
      </c>
      <c r="CT19" s="57">
        <v>0</v>
      </c>
      <c r="CU19" s="57">
        <v>0</v>
      </c>
      <c r="CV19" s="57">
        <v>0</v>
      </c>
      <c r="CW19" s="57">
        <v>0</v>
      </c>
      <c r="CX19" s="57">
        <v>0</v>
      </c>
      <c r="CY19" s="57">
        <v>0</v>
      </c>
      <c r="CZ19" s="57">
        <v>0</v>
      </c>
      <c r="DA19" s="57">
        <v>0</v>
      </c>
      <c r="DB19" s="57">
        <v>0</v>
      </c>
      <c r="DC19" s="57">
        <v>0</v>
      </c>
      <c r="DD19" s="57">
        <v>0</v>
      </c>
      <c r="DE19" s="57">
        <v>0</v>
      </c>
      <c r="DF19" s="57">
        <v>0</v>
      </c>
      <c r="DG19" s="137">
        <v>0</v>
      </c>
      <c r="DH19" s="137">
        <v>0</v>
      </c>
      <c r="DI19" s="137">
        <v>0</v>
      </c>
      <c r="DJ19" s="137">
        <v>0</v>
      </c>
      <c r="DK19" s="137">
        <v>0</v>
      </c>
      <c r="DL19" s="137">
        <v>0</v>
      </c>
      <c r="DM19" s="137">
        <v>0</v>
      </c>
      <c r="DN19" s="137">
        <v>0</v>
      </c>
      <c r="DO19" s="137">
        <v>0</v>
      </c>
      <c r="DP19" s="137">
        <v>0</v>
      </c>
      <c r="DQ19" s="137">
        <v>0</v>
      </c>
      <c r="DR19" s="137">
        <v>0</v>
      </c>
      <c r="DS19" s="137">
        <v>0</v>
      </c>
      <c r="DT19" s="137">
        <v>0</v>
      </c>
      <c r="DU19" s="137">
        <v>0</v>
      </c>
      <c r="DV19" s="137">
        <v>0</v>
      </c>
      <c r="DW19" s="137">
        <v>0</v>
      </c>
      <c r="DX19" s="137">
        <v>0</v>
      </c>
      <c r="DY19" s="137">
        <v>0</v>
      </c>
      <c r="DZ19" s="137">
        <v>0</v>
      </c>
      <c r="EA19" s="137">
        <v>0</v>
      </c>
    </row>
    <row r="20" spans="1:131" x14ac:dyDescent="0.35">
      <c r="A20" s="90" t="str">
        <f>VLOOKUP(E20,'Validation List'!F21:G416,2,FALSE)</f>
        <v>January</v>
      </c>
      <c r="B20" s="90" t="str">
        <f>INDEX('NEW HIRE ROSTER'!$G:$G,MATCH(RAW!F20,'NEW HIRE ROSTER'!$A:$A,0))</f>
        <v>Nesting</v>
      </c>
      <c r="C20" s="90" t="str">
        <f>INDEX('NEW HIRE ROSTER'!$F:$F,MATCH(RAW!F20,'NEW HIRE ROSTER'!$A:$A,0))</f>
        <v>Class 11.1</v>
      </c>
      <c r="D20" s="90" t="str">
        <f>INDEX('Validation List'!$H:$H,MATCH(RAW!E20,'Validation List'!$F:$F,0))</f>
        <v>Jan Week 1</v>
      </c>
      <c r="E20" s="89">
        <v>45667</v>
      </c>
      <c r="F20" s="56" t="s">
        <v>2053</v>
      </c>
      <c r="G20" s="90" t="str">
        <f>VLOOKUP(F20,ML!C20:D606,2,FALSE)</f>
        <v>Robin Antolihao Llamido</v>
      </c>
      <c r="H20" s="90" t="str">
        <f>VLOOKUP(F20,ML!C22:E608,3,FALSE)</f>
        <v>QC</v>
      </c>
      <c r="I20" s="83" t="s">
        <v>192</v>
      </c>
      <c r="J20" s="56" t="s">
        <v>209</v>
      </c>
      <c r="K20" s="56" t="s">
        <v>164</v>
      </c>
      <c r="L20" s="56" t="s">
        <v>2257</v>
      </c>
      <c r="M20" s="91">
        <v>0.94</v>
      </c>
      <c r="N20" s="57">
        <v>0</v>
      </c>
      <c r="O20" s="57">
        <v>0</v>
      </c>
      <c r="P20" s="57">
        <v>0</v>
      </c>
      <c r="Q20" s="57">
        <v>0</v>
      </c>
      <c r="R20" s="57">
        <v>0</v>
      </c>
      <c r="S20" s="57">
        <v>0</v>
      </c>
      <c r="T20" s="57">
        <v>0</v>
      </c>
      <c r="U20" s="57">
        <v>0</v>
      </c>
      <c r="V20" s="57">
        <v>0</v>
      </c>
      <c r="W20" s="57">
        <v>0</v>
      </c>
      <c r="X20" s="57">
        <v>1</v>
      </c>
      <c r="Y20" s="57">
        <v>0</v>
      </c>
      <c r="Z20" s="57">
        <v>0</v>
      </c>
      <c r="AA20" s="57">
        <v>0</v>
      </c>
      <c r="AB20" s="57">
        <v>0</v>
      </c>
      <c r="AC20" s="57">
        <v>0</v>
      </c>
      <c r="AD20" s="57">
        <v>0</v>
      </c>
      <c r="AE20" s="57">
        <v>0</v>
      </c>
      <c r="AF20" s="57">
        <v>0</v>
      </c>
      <c r="AG20" s="57">
        <v>0</v>
      </c>
      <c r="AH20" s="57">
        <v>0</v>
      </c>
      <c r="AI20" s="57">
        <v>0</v>
      </c>
      <c r="AJ20" s="57">
        <v>0</v>
      </c>
      <c r="AK20" s="57">
        <v>0</v>
      </c>
      <c r="AL20" s="57">
        <v>0</v>
      </c>
      <c r="AM20" s="57">
        <v>0</v>
      </c>
      <c r="AN20" s="57">
        <v>0</v>
      </c>
      <c r="AO20" s="57">
        <v>0</v>
      </c>
      <c r="AP20" s="57">
        <v>0</v>
      </c>
      <c r="AQ20" s="57">
        <v>0</v>
      </c>
      <c r="AR20" s="57">
        <v>0</v>
      </c>
      <c r="AS20" s="57">
        <v>0</v>
      </c>
      <c r="AT20" s="57">
        <v>0</v>
      </c>
      <c r="AU20" s="57">
        <v>0</v>
      </c>
      <c r="AV20" s="57">
        <v>0</v>
      </c>
      <c r="AW20" s="57">
        <v>0</v>
      </c>
      <c r="AX20" s="57">
        <v>0</v>
      </c>
      <c r="AY20" s="57">
        <v>0</v>
      </c>
      <c r="AZ20" s="57">
        <v>0</v>
      </c>
      <c r="BA20" s="57">
        <v>0</v>
      </c>
      <c r="BB20" s="57">
        <v>0</v>
      </c>
      <c r="BC20" s="57">
        <v>0</v>
      </c>
      <c r="BD20" s="57">
        <v>0</v>
      </c>
      <c r="BE20" s="57">
        <v>0</v>
      </c>
      <c r="BF20" s="57">
        <v>0</v>
      </c>
      <c r="BG20" s="57">
        <v>0</v>
      </c>
      <c r="BH20" s="57">
        <v>0</v>
      </c>
      <c r="BI20" s="57">
        <v>0</v>
      </c>
      <c r="BJ20" s="57">
        <v>0</v>
      </c>
      <c r="BK20" s="57">
        <v>0</v>
      </c>
      <c r="BL20" s="57">
        <v>0</v>
      </c>
      <c r="BM20" s="57">
        <v>0</v>
      </c>
      <c r="BN20" s="57">
        <v>0</v>
      </c>
      <c r="BO20" s="57">
        <v>0</v>
      </c>
      <c r="BP20" s="57">
        <v>0</v>
      </c>
      <c r="BQ20" s="57">
        <v>0</v>
      </c>
      <c r="BR20" s="57">
        <v>0</v>
      </c>
      <c r="BS20" s="57">
        <v>0</v>
      </c>
      <c r="BT20" s="57">
        <v>0</v>
      </c>
      <c r="BU20" s="57">
        <v>0</v>
      </c>
      <c r="BV20" s="57">
        <v>0</v>
      </c>
      <c r="BW20" s="57">
        <v>0</v>
      </c>
      <c r="BX20" s="57">
        <v>0</v>
      </c>
      <c r="BY20" s="57">
        <v>0</v>
      </c>
      <c r="BZ20" s="57">
        <v>0</v>
      </c>
      <c r="CA20" s="57">
        <v>0</v>
      </c>
      <c r="CB20" s="57">
        <v>0</v>
      </c>
      <c r="CC20" s="57">
        <v>0</v>
      </c>
      <c r="CD20" s="57">
        <v>0</v>
      </c>
      <c r="CE20" s="57">
        <v>0</v>
      </c>
      <c r="CF20" s="57">
        <v>0</v>
      </c>
      <c r="CG20" s="57">
        <v>0</v>
      </c>
      <c r="CH20" s="57">
        <v>0</v>
      </c>
      <c r="CI20" s="57">
        <v>0</v>
      </c>
      <c r="CJ20" s="57">
        <v>0</v>
      </c>
      <c r="CK20" s="57">
        <v>0</v>
      </c>
      <c r="CL20" s="57">
        <v>0</v>
      </c>
      <c r="CM20" s="57">
        <v>0</v>
      </c>
      <c r="CN20" s="57">
        <v>0</v>
      </c>
      <c r="CO20" s="57">
        <v>0</v>
      </c>
      <c r="CP20" s="57">
        <v>0</v>
      </c>
      <c r="CQ20" s="57">
        <v>0</v>
      </c>
      <c r="CR20" s="57">
        <v>0</v>
      </c>
      <c r="CS20" s="57">
        <v>0</v>
      </c>
      <c r="CT20" s="57">
        <v>0</v>
      </c>
      <c r="CU20" s="57">
        <v>0</v>
      </c>
      <c r="CV20" s="57">
        <v>0</v>
      </c>
      <c r="CW20" s="57">
        <v>0</v>
      </c>
      <c r="CX20" s="57">
        <v>0</v>
      </c>
      <c r="CY20" s="57">
        <v>0</v>
      </c>
      <c r="CZ20" s="57">
        <v>0</v>
      </c>
      <c r="DA20" s="57">
        <v>0</v>
      </c>
      <c r="DB20" s="57">
        <v>0</v>
      </c>
      <c r="DC20" s="57">
        <v>0</v>
      </c>
      <c r="DD20" s="57">
        <v>0</v>
      </c>
      <c r="DE20" s="57">
        <v>0</v>
      </c>
      <c r="DF20" s="57">
        <v>0</v>
      </c>
      <c r="DG20" s="137">
        <v>0</v>
      </c>
      <c r="DH20" s="137">
        <v>0</v>
      </c>
      <c r="DI20" s="137">
        <v>0</v>
      </c>
      <c r="DJ20" s="137">
        <v>0</v>
      </c>
      <c r="DK20" s="137">
        <v>0</v>
      </c>
      <c r="DL20" s="137">
        <v>0</v>
      </c>
      <c r="DM20" s="137">
        <v>0</v>
      </c>
      <c r="DN20" s="137">
        <v>0</v>
      </c>
      <c r="DO20" s="137">
        <v>0</v>
      </c>
      <c r="DP20" s="137">
        <v>0</v>
      </c>
      <c r="DQ20" s="137">
        <v>0</v>
      </c>
      <c r="DR20" s="137">
        <v>0</v>
      </c>
      <c r="DS20" s="137">
        <v>0</v>
      </c>
      <c r="DT20" s="137">
        <v>0</v>
      </c>
      <c r="DU20" s="137">
        <v>0</v>
      </c>
      <c r="DV20" s="137">
        <v>0</v>
      </c>
      <c r="DW20" s="137">
        <v>0</v>
      </c>
      <c r="DX20" s="137">
        <v>0</v>
      </c>
      <c r="DY20" s="137">
        <v>0</v>
      </c>
      <c r="DZ20" s="137">
        <v>0</v>
      </c>
      <c r="EA20" s="137">
        <v>0</v>
      </c>
    </row>
    <row r="21" spans="1:131" x14ac:dyDescent="0.35">
      <c r="A21" s="90" t="str">
        <f>VLOOKUP(E21,'Validation List'!F22:G417,2,FALSE)</f>
        <v>January</v>
      </c>
      <c r="B21" s="90" t="str">
        <f>INDEX('NEW HIRE ROSTER'!$G:$G,MATCH(RAW!F21,'NEW HIRE ROSTER'!$A:$A,0))</f>
        <v>Nesting</v>
      </c>
      <c r="C21" s="90" t="str">
        <f>INDEX('NEW HIRE ROSTER'!$F:$F,MATCH(RAW!F21,'NEW HIRE ROSTER'!$A:$A,0))</f>
        <v>Class 11.1</v>
      </c>
      <c r="D21" s="90" t="str">
        <f>INDEX('Validation List'!$H:$H,MATCH(RAW!E21,'Validation List'!$F:$F,0))</f>
        <v>Jan Week 1</v>
      </c>
      <c r="E21" s="89">
        <v>45667</v>
      </c>
      <c r="F21" s="56" t="s">
        <v>1969</v>
      </c>
      <c r="G21" s="90" t="str">
        <f>VLOOKUP(F21,ML!C21:D607,2,FALSE)</f>
        <v>Robin Antolihao Llamido</v>
      </c>
      <c r="H21" s="90" t="str">
        <f>VLOOKUP(F21,ML!C23:E609,3,FALSE)</f>
        <v>QC</v>
      </c>
      <c r="I21" s="83" t="s">
        <v>192</v>
      </c>
      <c r="J21" s="56" t="s">
        <v>209</v>
      </c>
      <c r="K21" s="56" t="s">
        <v>158</v>
      </c>
      <c r="L21" s="56" t="s">
        <v>2258</v>
      </c>
      <c r="M21" s="91">
        <v>0.94</v>
      </c>
      <c r="N21" s="57">
        <v>0</v>
      </c>
      <c r="O21" s="57">
        <v>0</v>
      </c>
      <c r="P21" s="57">
        <v>0</v>
      </c>
      <c r="Q21" s="57">
        <v>0</v>
      </c>
      <c r="R21" s="57">
        <v>0</v>
      </c>
      <c r="S21" s="57">
        <v>0</v>
      </c>
      <c r="T21" s="57">
        <v>0</v>
      </c>
      <c r="U21" s="57">
        <v>0</v>
      </c>
      <c r="V21" s="57">
        <v>0</v>
      </c>
      <c r="W21" s="57">
        <v>0</v>
      </c>
      <c r="X21" s="57">
        <v>1</v>
      </c>
      <c r="Y21" s="57">
        <v>0</v>
      </c>
      <c r="Z21" s="57">
        <v>0</v>
      </c>
      <c r="AA21" s="57">
        <v>0</v>
      </c>
      <c r="AB21" s="57">
        <v>0</v>
      </c>
      <c r="AC21" s="57">
        <v>0</v>
      </c>
      <c r="AD21" s="57">
        <v>0</v>
      </c>
      <c r="AE21" s="57">
        <v>0</v>
      </c>
      <c r="AF21" s="57">
        <v>0</v>
      </c>
      <c r="AG21" s="57">
        <v>0</v>
      </c>
      <c r="AH21" s="57">
        <v>0</v>
      </c>
      <c r="AI21" s="57">
        <v>0</v>
      </c>
      <c r="AJ21" s="57">
        <v>0</v>
      </c>
      <c r="AK21" s="57">
        <v>0</v>
      </c>
      <c r="AL21" s="57">
        <v>0</v>
      </c>
      <c r="AM21" s="57">
        <v>0</v>
      </c>
      <c r="AN21" s="57">
        <v>0</v>
      </c>
      <c r="AO21" s="57">
        <v>0</v>
      </c>
      <c r="AP21" s="57">
        <v>0</v>
      </c>
      <c r="AQ21" s="57">
        <v>0</v>
      </c>
      <c r="AR21" s="57">
        <v>0</v>
      </c>
      <c r="AS21" s="57">
        <v>0</v>
      </c>
      <c r="AT21" s="57">
        <v>0</v>
      </c>
      <c r="AU21" s="57">
        <v>0</v>
      </c>
      <c r="AV21" s="57">
        <v>0</v>
      </c>
      <c r="AW21" s="57">
        <v>0</v>
      </c>
      <c r="AX21" s="57">
        <v>0</v>
      </c>
      <c r="AY21" s="57">
        <v>0</v>
      </c>
      <c r="AZ21" s="57">
        <v>0</v>
      </c>
      <c r="BA21" s="57">
        <v>0</v>
      </c>
      <c r="BB21" s="57">
        <v>0</v>
      </c>
      <c r="BC21" s="57">
        <v>0</v>
      </c>
      <c r="BD21" s="57">
        <v>0</v>
      </c>
      <c r="BE21" s="57">
        <v>0</v>
      </c>
      <c r="BF21" s="57">
        <v>0</v>
      </c>
      <c r="BG21" s="57">
        <v>0</v>
      </c>
      <c r="BH21" s="57">
        <v>0</v>
      </c>
      <c r="BI21" s="57">
        <v>0</v>
      </c>
      <c r="BJ21" s="57">
        <v>0</v>
      </c>
      <c r="BK21" s="57">
        <v>0</v>
      </c>
      <c r="BL21" s="57">
        <v>0</v>
      </c>
      <c r="BM21" s="57">
        <v>0</v>
      </c>
      <c r="BN21" s="57">
        <v>0</v>
      </c>
      <c r="BO21" s="57">
        <v>0</v>
      </c>
      <c r="BP21" s="57">
        <v>0</v>
      </c>
      <c r="BQ21" s="57">
        <v>0</v>
      </c>
      <c r="BR21" s="57">
        <v>0</v>
      </c>
      <c r="BS21" s="57">
        <v>0</v>
      </c>
      <c r="BT21" s="57">
        <v>0</v>
      </c>
      <c r="BU21" s="57">
        <v>0</v>
      </c>
      <c r="BV21" s="57">
        <v>0</v>
      </c>
      <c r="BW21" s="57">
        <v>0</v>
      </c>
      <c r="BX21" s="57">
        <v>0</v>
      </c>
      <c r="BY21" s="57">
        <v>0</v>
      </c>
      <c r="BZ21" s="57">
        <v>0</v>
      </c>
      <c r="CA21" s="57">
        <v>0</v>
      </c>
      <c r="CB21" s="57">
        <v>0</v>
      </c>
      <c r="CC21" s="57">
        <v>0</v>
      </c>
      <c r="CD21" s="57">
        <v>0</v>
      </c>
      <c r="CE21" s="57">
        <v>0</v>
      </c>
      <c r="CF21" s="57">
        <v>0</v>
      </c>
      <c r="CG21" s="57">
        <v>0</v>
      </c>
      <c r="CH21" s="57">
        <v>0</v>
      </c>
      <c r="CI21" s="57">
        <v>0</v>
      </c>
      <c r="CJ21" s="57">
        <v>0</v>
      </c>
      <c r="CK21" s="57">
        <v>0</v>
      </c>
      <c r="CL21" s="57">
        <v>0</v>
      </c>
      <c r="CM21" s="57">
        <v>0</v>
      </c>
      <c r="CN21" s="57">
        <v>0</v>
      </c>
      <c r="CO21" s="57">
        <v>0</v>
      </c>
      <c r="CP21" s="57">
        <v>0</v>
      </c>
      <c r="CQ21" s="57">
        <v>0</v>
      </c>
      <c r="CR21" s="57">
        <v>0</v>
      </c>
      <c r="CS21" s="57">
        <v>0</v>
      </c>
      <c r="CT21" s="57">
        <v>0</v>
      </c>
      <c r="CU21" s="57">
        <v>0</v>
      </c>
      <c r="CV21" s="57">
        <v>0</v>
      </c>
      <c r="CW21" s="57">
        <v>0</v>
      </c>
      <c r="CX21" s="57">
        <v>0</v>
      </c>
      <c r="CY21" s="57">
        <v>0</v>
      </c>
      <c r="CZ21" s="57">
        <v>0</v>
      </c>
      <c r="DA21" s="57">
        <v>0</v>
      </c>
      <c r="DB21" s="57">
        <v>0</v>
      </c>
      <c r="DC21" s="57">
        <v>0</v>
      </c>
      <c r="DD21" s="57">
        <v>0</v>
      </c>
      <c r="DE21" s="57">
        <v>0</v>
      </c>
      <c r="DF21" s="57">
        <v>0</v>
      </c>
      <c r="DG21" s="137">
        <v>0</v>
      </c>
      <c r="DH21" s="137">
        <v>0</v>
      </c>
      <c r="DI21" s="137">
        <v>0</v>
      </c>
      <c r="DJ21" s="137">
        <v>0</v>
      </c>
      <c r="DK21" s="137">
        <v>0</v>
      </c>
      <c r="DL21" s="137">
        <v>0</v>
      </c>
      <c r="DM21" s="137">
        <v>0</v>
      </c>
      <c r="DN21" s="137">
        <v>0</v>
      </c>
      <c r="DO21" s="137">
        <v>0</v>
      </c>
      <c r="DP21" s="137">
        <v>0</v>
      </c>
      <c r="DQ21" s="137">
        <v>0</v>
      </c>
      <c r="DR21" s="137">
        <v>0</v>
      </c>
      <c r="DS21" s="137">
        <v>0</v>
      </c>
      <c r="DT21" s="137">
        <v>0</v>
      </c>
      <c r="DU21" s="137">
        <v>0</v>
      </c>
      <c r="DV21" s="137">
        <v>0</v>
      </c>
      <c r="DW21" s="137">
        <v>0</v>
      </c>
      <c r="DX21" s="137">
        <v>0</v>
      </c>
      <c r="DY21" s="137">
        <v>0</v>
      </c>
      <c r="DZ21" s="137">
        <v>0</v>
      </c>
      <c r="EA21" s="137">
        <v>0</v>
      </c>
    </row>
    <row r="22" spans="1:131" x14ac:dyDescent="0.35">
      <c r="A22" s="90" t="str">
        <f>VLOOKUP(E22,'Validation List'!F23:G418,2,FALSE)</f>
        <v>January</v>
      </c>
      <c r="B22" s="90" t="str">
        <f>INDEX('NEW HIRE ROSTER'!$G:$G,MATCH(RAW!F22,'NEW HIRE ROSTER'!$A:$A,0))</f>
        <v>Nesting</v>
      </c>
      <c r="C22" s="90" t="str">
        <f>INDEX('NEW HIRE ROSTER'!$F:$F,MATCH(RAW!F22,'NEW HIRE ROSTER'!$A:$A,0))</f>
        <v>Class 11.2</v>
      </c>
      <c r="D22" s="90" t="str">
        <f>INDEX('Validation List'!$H:$H,MATCH(RAW!E22,'Validation List'!$F:$F,0))</f>
        <v>Jan Week 1</v>
      </c>
      <c r="E22" s="89">
        <v>45666</v>
      </c>
      <c r="F22" s="56" t="s">
        <v>2014</v>
      </c>
      <c r="G22" s="90" t="str">
        <f>VLOOKUP(F22,ML!C22:D608,2,FALSE)</f>
        <v>Khyno Elimanco Cortez</v>
      </c>
      <c r="H22" s="90" t="str">
        <f>VLOOKUP(F22,ML!C24:E610,3,FALSE)</f>
        <v>QC</v>
      </c>
      <c r="I22" s="83" t="s">
        <v>194</v>
      </c>
      <c r="J22" s="56" t="s">
        <v>209</v>
      </c>
      <c r="K22" s="56" t="s">
        <v>158</v>
      </c>
      <c r="L22" s="56" t="s">
        <v>2259</v>
      </c>
      <c r="M22" s="91">
        <v>0.99</v>
      </c>
      <c r="N22" s="57">
        <v>0</v>
      </c>
      <c r="O22" s="57">
        <v>0</v>
      </c>
      <c r="P22" s="57">
        <v>0</v>
      </c>
      <c r="Q22" s="57">
        <v>0</v>
      </c>
      <c r="R22" s="57">
        <v>0</v>
      </c>
      <c r="S22" s="57">
        <v>0</v>
      </c>
      <c r="T22" s="57">
        <v>0</v>
      </c>
      <c r="U22" s="57">
        <v>0</v>
      </c>
      <c r="V22" s="57">
        <v>0</v>
      </c>
      <c r="W22" s="57">
        <v>0</v>
      </c>
      <c r="X22" s="57">
        <v>0</v>
      </c>
      <c r="Y22" s="57">
        <v>0</v>
      </c>
      <c r="Z22" s="57">
        <v>0</v>
      </c>
      <c r="AA22" s="57">
        <v>0</v>
      </c>
      <c r="AB22" s="57">
        <v>0</v>
      </c>
      <c r="AC22" s="57">
        <v>0</v>
      </c>
      <c r="AD22" s="57">
        <v>0</v>
      </c>
      <c r="AE22" s="57">
        <v>0</v>
      </c>
      <c r="AF22" s="57">
        <v>0</v>
      </c>
      <c r="AG22" s="57">
        <v>0</v>
      </c>
      <c r="AH22" s="57">
        <v>0</v>
      </c>
      <c r="AI22" s="57">
        <v>0</v>
      </c>
      <c r="AJ22" s="57">
        <v>0</v>
      </c>
      <c r="AK22" s="57">
        <v>0</v>
      </c>
      <c r="AL22" s="57">
        <v>0</v>
      </c>
      <c r="AM22" s="57">
        <v>0</v>
      </c>
      <c r="AN22" s="57">
        <v>0</v>
      </c>
      <c r="AO22" s="57">
        <v>0</v>
      </c>
      <c r="AP22" s="57">
        <v>0</v>
      </c>
      <c r="AQ22" s="57">
        <v>0</v>
      </c>
      <c r="AR22" s="57">
        <v>0</v>
      </c>
      <c r="AS22" s="57">
        <v>0</v>
      </c>
      <c r="AT22" s="57">
        <v>0</v>
      </c>
      <c r="AU22" s="57">
        <v>0</v>
      </c>
      <c r="AV22" s="57">
        <v>0</v>
      </c>
      <c r="AW22" s="57">
        <v>0</v>
      </c>
      <c r="AX22" s="57">
        <v>0</v>
      </c>
      <c r="AY22" s="57">
        <v>0</v>
      </c>
      <c r="AZ22" s="57">
        <v>0</v>
      </c>
      <c r="BA22" s="57">
        <v>0</v>
      </c>
      <c r="BB22" s="57">
        <v>0</v>
      </c>
      <c r="BC22" s="57">
        <v>0</v>
      </c>
      <c r="BD22" s="57">
        <v>0</v>
      </c>
      <c r="BE22" s="57">
        <v>0</v>
      </c>
      <c r="BF22" s="57">
        <v>0</v>
      </c>
      <c r="BG22" s="57">
        <v>0</v>
      </c>
      <c r="BH22" s="57">
        <v>0</v>
      </c>
      <c r="BI22" s="57">
        <v>0</v>
      </c>
      <c r="BJ22" s="57">
        <v>0</v>
      </c>
      <c r="BK22" s="57">
        <v>0</v>
      </c>
      <c r="BL22" s="57">
        <v>0</v>
      </c>
      <c r="BM22" s="57">
        <v>0</v>
      </c>
      <c r="BN22" s="57">
        <v>0</v>
      </c>
      <c r="BO22" s="57">
        <v>0</v>
      </c>
      <c r="BP22" s="57">
        <v>0</v>
      </c>
      <c r="BQ22" s="57">
        <v>0</v>
      </c>
      <c r="BR22" s="57">
        <v>0</v>
      </c>
      <c r="BS22" s="57">
        <v>0</v>
      </c>
      <c r="BT22" s="57">
        <v>0</v>
      </c>
      <c r="BU22" s="57">
        <v>0</v>
      </c>
      <c r="BV22" s="57">
        <v>0</v>
      </c>
      <c r="BW22" s="57">
        <v>0</v>
      </c>
      <c r="BX22" s="57">
        <v>0</v>
      </c>
      <c r="BY22" s="57">
        <v>0</v>
      </c>
      <c r="BZ22" s="57">
        <v>0</v>
      </c>
      <c r="CA22" s="57">
        <v>0</v>
      </c>
      <c r="CB22" s="57">
        <v>0</v>
      </c>
      <c r="CC22" s="57">
        <v>0</v>
      </c>
      <c r="CD22" s="57">
        <v>0</v>
      </c>
      <c r="CE22" s="57">
        <v>0</v>
      </c>
      <c r="CF22" s="57">
        <v>0</v>
      </c>
      <c r="CG22" s="57">
        <v>0</v>
      </c>
      <c r="CH22" s="57">
        <v>0</v>
      </c>
      <c r="CI22" s="57">
        <v>0</v>
      </c>
      <c r="CJ22" s="57">
        <v>0</v>
      </c>
      <c r="CK22" s="57">
        <v>0</v>
      </c>
      <c r="CL22" s="57">
        <v>0</v>
      </c>
      <c r="CM22" s="57">
        <v>0</v>
      </c>
      <c r="CN22" s="57">
        <v>0</v>
      </c>
      <c r="CO22" s="57">
        <v>0</v>
      </c>
      <c r="CP22" s="57">
        <v>0</v>
      </c>
      <c r="CQ22" s="57">
        <v>0</v>
      </c>
      <c r="CR22" s="57">
        <v>0</v>
      </c>
      <c r="CS22" s="57">
        <v>0</v>
      </c>
      <c r="CT22" s="57">
        <v>0</v>
      </c>
      <c r="CU22" s="57">
        <v>1</v>
      </c>
      <c r="CV22" s="57">
        <v>0</v>
      </c>
      <c r="CW22" s="57">
        <v>0</v>
      </c>
      <c r="CX22" s="57">
        <v>0</v>
      </c>
      <c r="CY22" s="57">
        <v>0</v>
      </c>
      <c r="CZ22" s="57">
        <v>0</v>
      </c>
      <c r="DA22" s="57">
        <v>0</v>
      </c>
      <c r="DB22" s="57">
        <v>0</v>
      </c>
      <c r="DC22" s="57">
        <v>0</v>
      </c>
      <c r="DD22" s="57">
        <v>0</v>
      </c>
      <c r="DE22" s="57">
        <v>0</v>
      </c>
      <c r="DF22" s="57">
        <v>0</v>
      </c>
      <c r="DG22" s="137">
        <v>0</v>
      </c>
      <c r="DH22" s="137">
        <v>0</v>
      </c>
      <c r="DI22" s="137">
        <v>0</v>
      </c>
      <c r="DJ22" s="137">
        <v>0</v>
      </c>
      <c r="DK22" s="137">
        <v>0</v>
      </c>
      <c r="DL22" s="137">
        <v>0</v>
      </c>
      <c r="DM22" s="137">
        <v>0</v>
      </c>
      <c r="DN22" s="137">
        <v>0</v>
      </c>
      <c r="DO22" s="137">
        <v>0</v>
      </c>
      <c r="DP22" s="137">
        <v>0</v>
      </c>
      <c r="DQ22" s="137">
        <v>0</v>
      </c>
      <c r="DR22" s="137">
        <v>0</v>
      </c>
      <c r="DS22" s="137">
        <v>0</v>
      </c>
      <c r="DT22" s="137">
        <v>0</v>
      </c>
      <c r="DU22" s="137">
        <v>0</v>
      </c>
      <c r="DV22" s="137">
        <v>0</v>
      </c>
      <c r="DW22" s="137">
        <v>0</v>
      </c>
      <c r="DX22" s="137">
        <v>0</v>
      </c>
      <c r="DY22" s="137">
        <v>0</v>
      </c>
      <c r="DZ22" s="137">
        <v>0</v>
      </c>
      <c r="EA22" s="137">
        <v>0</v>
      </c>
    </row>
    <row r="23" spans="1:131" x14ac:dyDescent="0.35">
      <c r="A23" s="90" t="str">
        <f>VLOOKUP(E23,'Validation List'!F24:G419,2,FALSE)</f>
        <v>January</v>
      </c>
      <c r="B23" s="90" t="str">
        <f>INDEX('NEW HIRE ROSTER'!$G:$G,MATCH(RAW!F23,'NEW HIRE ROSTER'!$A:$A,0))</f>
        <v>Nesting</v>
      </c>
      <c r="C23" s="90" t="str">
        <f>INDEX('NEW HIRE ROSTER'!$F:$F,MATCH(RAW!F23,'NEW HIRE ROSTER'!$A:$A,0))</f>
        <v>Class 11.2</v>
      </c>
      <c r="D23" s="90" t="str">
        <f>INDEX('Validation List'!$H:$H,MATCH(RAW!E23,'Validation List'!$F:$F,0))</f>
        <v>Jan Week 1</v>
      </c>
      <c r="E23" s="89">
        <v>45666</v>
      </c>
      <c r="F23" s="56" t="s">
        <v>2014</v>
      </c>
      <c r="G23" s="90" t="str">
        <f>VLOOKUP(F23,ML!C23:D609,2,FALSE)</f>
        <v>Khyno Elimanco Cortez</v>
      </c>
      <c r="H23" s="90" t="str">
        <f>VLOOKUP(F23,ML!C25:E611,3,FALSE)</f>
        <v>QC</v>
      </c>
      <c r="I23" s="83" t="s">
        <v>194</v>
      </c>
      <c r="J23" s="56" t="s">
        <v>209</v>
      </c>
      <c r="K23" s="56" t="s">
        <v>164</v>
      </c>
      <c r="L23" s="56" t="s">
        <v>2260</v>
      </c>
      <c r="M23" s="91">
        <v>0.99</v>
      </c>
      <c r="N23" s="57">
        <v>0</v>
      </c>
      <c r="O23" s="57">
        <v>0</v>
      </c>
      <c r="P23" s="57">
        <v>0</v>
      </c>
      <c r="Q23" s="57">
        <v>0</v>
      </c>
      <c r="R23" s="57">
        <v>0</v>
      </c>
      <c r="S23" s="57">
        <v>0</v>
      </c>
      <c r="T23" s="57">
        <v>0</v>
      </c>
      <c r="U23" s="57">
        <v>0</v>
      </c>
      <c r="V23" s="57">
        <v>0</v>
      </c>
      <c r="W23" s="57">
        <v>0</v>
      </c>
      <c r="X23" s="57">
        <v>0</v>
      </c>
      <c r="Y23" s="57">
        <v>0</v>
      </c>
      <c r="Z23" s="57">
        <v>0</v>
      </c>
      <c r="AA23" s="57">
        <v>0</v>
      </c>
      <c r="AB23" s="57">
        <v>0</v>
      </c>
      <c r="AC23" s="57">
        <v>0</v>
      </c>
      <c r="AD23" s="57">
        <v>0</v>
      </c>
      <c r="AE23" s="57">
        <v>0</v>
      </c>
      <c r="AF23" s="57">
        <v>0</v>
      </c>
      <c r="AG23" s="57">
        <v>0</v>
      </c>
      <c r="AH23" s="57">
        <v>0</v>
      </c>
      <c r="AI23" s="57">
        <v>0</v>
      </c>
      <c r="AJ23" s="57">
        <v>0</v>
      </c>
      <c r="AK23" s="57">
        <v>0</v>
      </c>
      <c r="AL23" s="57">
        <v>0</v>
      </c>
      <c r="AM23" s="57">
        <v>0</v>
      </c>
      <c r="AN23" s="57">
        <v>0</v>
      </c>
      <c r="AO23" s="57">
        <v>0</v>
      </c>
      <c r="AP23" s="57">
        <v>0</v>
      </c>
      <c r="AQ23" s="57">
        <v>0</v>
      </c>
      <c r="AR23" s="57">
        <v>0</v>
      </c>
      <c r="AS23" s="57">
        <v>0</v>
      </c>
      <c r="AT23" s="57">
        <v>0</v>
      </c>
      <c r="AU23" s="57">
        <v>0</v>
      </c>
      <c r="AV23" s="57">
        <v>0</v>
      </c>
      <c r="AW23" s="57">
        <v>0</v>
      </c>
      <c r="AX23" s="57">
        <v>0</v>
      </c>
      <c r="AY23" s="57">
        <v>0</v>
      </c>
      <c r="AZ23" s="57">
        <v>0</v>
      </c>
      <c r="BA23" s="57">
        <v>0</v>
      </c>
      <c r="BB23" s="57">
        <v>0</v>
      </c>
      <c r="BC23" s="57">
        <v>0</v>
      </c>
      <c r="BD23" s="57">
        <v>0</v>
      </c>
      <c r="BE23" s="57">
        <v>0</v>
      </c>
      <c r="BF23" s="57">
        <v>0</v>
      </c>
      <c r="BG23" s="57">
        <v>0</v>
      </c>
      <c r="BH23" s="57">
        <v>0</v>
      </c>
      <c r="BI23" s="57">
        <v>0</v>
      </c>
      <c r="BJ23" s="57">
        <v>0</v>
      </c>
      <c r="BK23" s="57">
        <v>0</v>
      </c>
      <c r="BL23" s="57">
        <v>0</v>
      </c>
      <c r="BM23" s="57">
        <v>0</v>
      </c>
      <c r="BN23" s="57">
        <v>0</v>
      </c>
      <c r="BO23" s="57">
        <v>0</v>
      </c>
      <c r="BP23" s="57">
        <v>0</v>
      </c>
      <c r="BQ23" s="57">
        <v>0</v>
      </c>
      <c r="BR23" s="57">
        <v>0</v>
      </c>
      <c r="BS23" s="57">
        <v>0</v>
      </c>
      <c r="BT23" s="57">
        <v>0</v>
      </c>
      <c r="BU23" s="57">
        <v>0</v>
      </c>
      <c r="BV23" s="57">
        <v>0</v>
      </c>
      <c r="BW23" s="57">
        <v>0</v>
      </c>
      <c r="BX23" s="57">
        <v>0</v>
      </c>
      <c r="BY23" s="57">
        <v>0</v>
      </c>
      <c r="BZ23" s="57">
        <v>0</v>
      </c>
      <c r="CA23" s="57">
        <v>0</v>
      </c>
      <c r="CB23" s="57">
        <v>0</v>
      </c>
      <c r="CC23" s="57">
        <v>0</v>
      </c>
      <c r="CD23" s="57">
        <v>0</v>
      </c>
      <c r="CE23" s="57">
        <v>0</v>
      </c>
      <c r="CF23" s="57">
        <v>0</v>
      </c>
      <c r="CG23" s="57">
        <v>0</v>
      </c>
      <c r="CH23" s="57">
        <v>0</v>
      </c>
      <c r="CI23" s="57">
        <v>0</v>
      </c>
      <c r="CJ23" s="57">
        <v>0</v>
      </c>
      <c r="CK23" s="57">
        <v>0</v>
      </c>
      <c r="CL23" s="57">
        <v>0</v>
      </c>
      <c r="CM23" s="57">
        <v>0</v>
      </c>
      <c r="CN23" s="57">
        <v>0</v>
      </c>
      <c r="CO23" s="57">
        <v>0</v>
      </c>
      <c r="CP23" s="57">
        <v>0</v>
      </c>
      <c r="CQ23" s="57">
        <v>0</v>
      </c>
      <c r="CR23" s="57">
        <v>0</v>
      </c>
      <c r="CS23" s="57">
        <v>0</v>
      </c>
      <c r="CT23" s="57">
        <v>0</v>
      </c>
      <c r="CU23" s="57">
        <v>1</v>
      </c>
      <c r="CV23" s="57">
        <v>0</v>
      </c>
      <c r="CW23" s="57">
        <v>0</v>
      </c>
      <c r="CX23" s="57">
        <v>0</v>
      </c>
      <c r="CY23" s="57">
        <v>0</v>
      </c>
      <c r="CZ23" s="57">
        <v>0</v>
      </c>
      <c r="DA23" s="57">
        <v>0</v>
      </c>
      <c r="DB23" s="57">
        <v>0</v>
      </c>
      <c r="DC23" s="57">
        <v>0</v>
      </c>
      <c r="DD23" s="57">
        <v>0</v>
      </c>
      <c r="DE23" s="57">
        <v>0</v>
      </c>
      <c r="DF23" s="57">
        <v>0</v>
      </c>
      <c r="DG23" s="137">
        <v>0</v>
      </c>
      <c r="DH23" s="137">
        <v>0</v>
      </c>
      <c r="DI23" s="137">
        <v>0</v>
      </c>
      <c r="DJ23" s="137">
        <v>0</v>
      </c>
      <c r="DK23" s="137">
        <v>0</v>
      </c>
      <c r="DL23" s="137">
        <v>0</v>
      </c>
      <c r="DM23" s="137">
        <v>0</v>
      </c>
      <c r="DN23" s="137">
        <v>0</v>
      </c>
      <c r="DO23" s="137">
        <v>0</v>
      </c>
      <c r="DP23" s="137">
        <v>0</v>
      </c>
      <c r="DQ23" s="137">
        <v>0</v>
      </c>
      <c r="DR23" s="137">
        <v>0</v>
      </c>
      <c r="DS23" s="137">
        <v>0</v>
      </c>
      <c r="DT23" s="137">
        <v>0</v>
      </c>
      <c r="DU23" s="137">
        <v>0</v>
      </c>
      <c r="DV23" s="137">
        <v>0</v>
      </c>
      <c r="DW23" s="137">
        <v>0</v>
      </c>
      <c r="DX23" s="137">
        <v>0</v>
      </c>
      <c r="DY23" s="137">
        <v>0</v>
      </c>
      <c r="DZ23" s="137">
        <v>0</v>
      </c>
      <c r="EA23" s="137">
        <v>0</v>
      </c>
    </row>
    <row r="24" spans="1:131" x14ac:dyDescent="0.35">
      <c r="A24" s="90" t="str">
        <f>VLOOKUP(E24,'Validation List'!F25:G420,2,FALSE)</f>
        <v>January</v>
      </c>
      <c r="B24" s="90" t="str">
        <f>INDEX('NEW HIRE ROSTER'!$G:$G,MATCH(RAW!F24,'NEW HIRE ROSTER'!$A:$A,0))</f>
        <v>Nesting</v>
      </c>
      <c r="C24" s="90" t="str">
        <f>INDEX('NEW HIRE ROSTER'!$F:$F,MATCH(RAW!F24,'NEW HIRE ROSTER'!$A:$A,0))</f>
        <v>Class 11.2</v>
      </c>
      <c r="D24" s="90" t="str">
        <f>INDEX('Validation List'!$H:$H,MATCH(RAW!E24,'Validation List'!$F:$F,0))</f>
        <v>Jan Week 1</v>
      </c>
      <c r="E24" s="89">
        <v>45666</v>
      </c>
      <c r="F24" s="56" t="s">
        <v>2038</v>
      </c>
      <c r="G24" s="90" t="str">
        <f>VLOOKUP(F24,ML!C24:D610,2,FALSE)</f>
        <v>Khyno Elimanco Cortez</v>
      </c>
      <c r="H24" s="90" t="str">
        <f>VLOOKUP(F24,ML!C26:E612,3,FALSE)</f>
        <v>QC</v>
      </c>
      <c r="I24" s="83" t="s">
        <v>194</v>
      </c>
      <c r="J24" s="56" t="s">
        <v>209</v>
      </c>
      <c r="K24" s="56" t="s">
        <v>164</v>
      </c>
      <c r="L24" s="56" t="s">
        <v>2261</v>
      </c>
      <c r="M24" s="91">
        <v>0.99</v>
      </c>
      <c r="N24" s="57">
        <v>0</v>
      </c>
      <c r="O24" s="57">
        <v>0</v>
      </c>
      <c r="P24" s="57">
        <v>0</v>
      </c>
      <c r="Q24" s="57">
        <v>0</v>
      </c>
      <c r="R24" s="57">
        <v>0</v>
      </c>
      <c r="S24" s="57">
        <v>0</v>
      </c>
      <c r="T24" s="57">
        <v>0</v>
      </c>
      <c r="U24" s="57">
        <v>0</v>
      </c>
      <c r="V24" s="57">
        <v>0</v>
      </c>
      <c r="W24" s="57">
        <v>0</v>
      </c>
      <c r="X24" s="57">
        <v>0</v>
      </c>
      <c r="Y24" s="57">
        <v>0</v>
      </c>
      <c r="Z24" s="57">
        <v>0</v>
      </c>
      <c r="AA24" s="57">
        <v>0</v>
      </c>
      <c r="AB24" s="57">
        <v>0</v>
      </c>
      <c r="AC24" s="57">
        <v>0</v>
      </c>
      <c r="AD24" s="57">
        <v>0</v>
      </c>
      <c r="AE24" s="57">
        <v>0</v>
      </c>
      <c r="AF24" s="57">
        <v>0</v>
      </c>
      <c r="AG24" s="57">
        <v>0</v>
      </c>
      <c r="AH24" s="57">
        <v>0</v>
      </c>
      <c r="AI24" s="57">
        <v>0</v>
      </c>
      <c r="AJ24" s="57">
        <v>0</v>
      </c>
      <c r="AK24" s="57">
        <v>0</v>
      </c>
      <c r="AL24" s="57">
        <v>0</v>
      </c>
      <c r="AM24" s="57">
        <v>0</v>
      </c>
      <c r="AN24" s="57">
        <v>0</v>
      </c>
      <c r="AO24" s="57">
        <v>0</v>
      </c>
      <c r="AP24" s="57">
        <v>0</v>
      </c>
      <c r="AQ24" s="57">
        <v>0</v>
      </c>
      <c r="AR24" s="57">
        <v>0</v>
      </c>
      <c r="AS24" s="57">
        <v>0</v>
      </c>
      <c r="AT24" s="57">
        <v>0</v>
      </c>
      <c r="AU24" s="57">
        <v>0</v>
      </c>
      <c r="AV24" s="57">
        <v>0</v>
      </c>
      <c r="AW24" s="57">
        <v>0</v>
      </c>
      <c r="AX24" s="57">
        <v>0</v>
      </c>
      <c r="AY24" s="57">
        <v>0</v>
      </c>
      <c r="AZ24" s="57">
        <v>0</v>
      </c>
      <c r="BA24" s="57">
        <v>0</v>
      </c>
      <c r="BB24" s="57">
        <v>0</v>
      </c>
      <c r="BC24" s="57">
        <v>0</v>
      </c>
      <c r="BD24" s="57">
        <v>0</v>
      </c>
      <c r="BE24" s="57">
        <v>0</v>
      </c>
      <c r="BF24" s="57">
        <v>0</v>
      </c>
      <c r="BG24" s="57">
        <v>0</v>
      </c>
      <c r="BH24" s="57">
        <v>0</v>
      </c>
      <c r="BI24" s="57">
        <v>0</v>
      </c>
      <c r="BJ24" s="57">
        <v>0</v>
      </c>
      <c r="BK24" s="57">
        <v>0</v>
      </c>
      <c r="BL24" s="57">
        <v>0</v>
      </c>
      <c r="BM24" s="57">
        <v>0</v>
      </c>
      <c r="BN24" s="57">
        <v>0</v>
      </c>
      <c r="BO24" s="57">
        <v>0</v>
      </c>
      <c r="BP24" s="57">
        <v>0</v>
      </c>
      <c r="BQ24" s="57">
        <v>0</v>
      </c>
      <c r="BR24" s="57">
        <v>0</v>
      </c>
      <c r="BS24" s="57">
        <v>0</v>
      </c>
      <c r="BT24" s="57">
        <v>0</v>
      </c>
      <c r="BU24" s="57">
        <v>0</v>
      </c>
      <c r="BV24" s="57">
        <v>0</v>
      </c>
      <c r="BW24" s="57">
        <v>0</v>
      </c>
      <c r="BX24" s="57">
        <v>0</v>
      </c>
      <c r="BY24" s="57">
        <v>0</v>
      </c>
      <c r="BZ24" s="57">
        <v>0</v>
      </c>
      <c r="CA24" s="57">
        <v>0</v>
      </c>
      <c r="CB24" s="57">
        <v>0</v>
      </c>
      <c r="CC24" s="57">
        <v>0</v>
      </c>
      <c r="CD24" s="57">
        <v>0</v>
      </c>
      <c r="CE24" s="57">
        <v>0</v>
      </c>
      <c r="CF24" s="57">
        <v>0</v>
      </c>
      <c r="CG24" s="57">
        <v>0</v>
      </c>
      <c r="CH24" s="57">
        <v>0</v>
      </c>
      <c r="CI24" s="57">
        <v>0</v>
      </c>
      <c r="CJ24" s="57">
        <v>0</v>
      </c>
      <c r="CK24" s="57">
        <v>0</v>
      </c>
      <c r="CL24" s="57">
        <v>0</v>
      </c>
      <c r="CM24" s="57">
        <v>0</v>
      </c>
      <c r="CN24" s="57">
        <v>0</v>
      </c>
      <c r="CO24" s="57">
        <v>0</v>
      </c>
      <c r="CP24" s="57">
        <v>1</v>
      </c>
      <c r="CQ24" s="57">
        <v>0</v>
      </c>
      <c r="CR24" s="57">
        <v>0</v>
      </c>
      <c r="CS24" s="57">
        <v>0</v>
      </c>
      <c r="CT24" s="57">
        <v>0</v>
      </c>
      <c r="CU24" s="57">
        <v>0</v>
      </c>
      <c r="CV24" s="57">
        <v>0</v>
      </c>
      <c r="CW24" s="57">
        <v>0</v>
      </c>
      <c r="CX24" s="57">
        <v>0</v>
      </c>
      <c r="CY24" s="57">
        <v>0</v>
      </c>
      <c r="CZ24" s="57">
        <v>0</v>
      </c>
      <c r="DA24" s="57">
        <v>0</v>
      </c>
      <c r="DB24" s="57">
        <v>0</v>
      </c>
      <c r="DC24" s="57">
        <v>0</v>
      </c>
      <c r="DD24" s="57">
        <v>0</v>
      </c>
      <c r="DE24" s="57">
        <v>0</v>
      </c>
      <c r="DF24" s="57">
        <v>0</v>
      </c>
      <c r="DG24" s="137">
        <v>0</v>
      </c>
      <c r="DH24" s="137">
        <v>0</v>
      </c>
      <c r="DI24" s="137">
        <v>0</v>
      </c>
      <c r="DJ24" s="137">
        <v>0</v>
      </c>
      <c r="DK24" s="137">
        <v>0</v>
      </c>
      <c r="DL24" s="137">
        <v>0</v>
      </c>
      <c r="DM24" s="137">
        <v>0</v>
      </c>
      <c r="DN24" s="137">
        <v>0</v>
      </c>
      <c r="DO24" s="137">
        <v>0</v>
      </c>
      <c r="DP24" s="137">
        <v>0</v>
      </c>
      <c r="DQ24" s="137">
        <v>0</v>
      </c>
      <c r="DR24" s="137">
        <v>0</v>
      </c>
      <c r="DS24" s="137">
        <v>0</v>
      </c>
      <c r="DT24" s="137">
        <v>0</v>
      </c>
      <c r="DU24" s="137">
        <v>0</v>
      </c>
      <c r="DV24" s="137">
        <v>0</v>
      </c>
      <c r="DW24" s="137">
        <v>0</v>
      </c>
      <c r="DX24" s="137">
        <v>0</v>
      </c>
      <c r="DY24" s="137">
        <v>0</v>
      </c>
      <c r="DZ24" s="137">
        <v>0</v>
      </c>
      <c r="EA24" s="137">
        <v>0</v>
      </c>
    </row>
    <row r="25" spans="1:131" x14ac:dyDescent="0.35">
      <c r="A25" s="90" t="str">
        <f>VLOOKUP(E25,'Validation List'!F26:G421,2,FALSE)</f>
        <v>January</v>
      </c>
      <c r="B25" s="90" t="str">
        <f>INDEX('NEW HIRE ROSTER'!$G:$G,MATCH(RAW!F25,'NEW HIRE ROSTER'!$A:$A,0))</f>
        <v>Nesting</v>
      </c>
      <c r="C25" s="90" t="str">
        <f>INDEX('NEW HIRE ROSTER'!$F:$F,MATCH(RAW!F25,'NEW HIRE ROSTER'!$A:$A,0))</f>
        <v>Class 11.2</v>
      </c>
      <c r="D25" s="90" t="str">
        <f>INDEX('Validation List'!$H:$H,MATCH(RAW!E25,'Validation List'!$F:$F,0))</f>
        <v>Jan Week 1</v>
      </c>
      <c r="E25" s="89">
        <v>45667</v>
      </c>
      <c r="F25" s="56" t="s">
        <v>1575</v>
      </c>
      <c r="G25" s="90" t="str">
        <f>VLOOKUP(F25,ML!C25:D611,2,FALSE)</f>
        <v>Khyno Elimanco Cortez</v>
      </c>
      <c r="H25" s="90" t="str">
        <f>VLOOKUP(F25,ML!C27:E613,3,FALSE)</f>
        <v>QC</v>
      </c>
      <c r="I25" s="83" t="s">
        <v>194</v>
      </c>
      <c r="J25" s="56" t="s">
        <v>209</v>
      </c>
      <c r="K25" s="56" t="s">
        <v>164</v>
      </c>
      <c r="L25" s="56" t="s">
        <v>2262</v>
      </c>
      <c r="M25" s="91">
        <v>0.99</v>
      </c>
      <c r="N25" s="57">
        <v>0</v>
      </c>
      <c r="O25" s="57">
        <v>0</v>
      </c>
      <c r="P25" s="57">
        <v>0</v>
      </c>
      <c r="Q25" s="57">
        <v>0</v>
      </c>
      <c r="R25" s="57">
        <v>0</v>
      </c>
      <c r="S25" s="57">
        <v>0</v>
      </c>
      <c r="T25" s="57">
        <v>0</v>
      </c>
      <c r="U25" s="57">
        <v>0</v>
      </c>
      <c r="V25" s="57">
        <v>0</v>
      </c>
      <c r="W25" s="57">
        <v>0</v>
      </c>
      <c r="X25" s="57">
        <v>0</v>
      </c>
      <c r="Y25" s="57">
        <v>0</v>
      </c>
      <c r="Z25" s="57">
        <v>0</v>
      </c>
      <c r="AA25" s="57">
        <v>0</v>
      </c>
      <c r="AB25" s="57">
        <v>0</v>
      </c>
      <c r="AC25" s="57">
        <v>0</v>
      </c>
      <c r="AD25" s="57">
        <v>0</v>
      </c>
      <c r="AE25" s="57">
        <v>0</v>
      </c>
      <c r="AF25" s="57">
        <v>0</v>
      </c>
      <c r="AG25" s="57">
        <v>0</v>
      </c>
      <c r="AH25" s="57">
        <v>0</v>
      </c>
      <c r="AI25" s="57">
        <v>0</v>
      </c>
      <c r="AJ25" s="57">
        <v>0</v>
      </c>
      <c r="AK25" s="57">
        <v>0</v>
      </c>
      <c r="AL25" s="57">
        <v>0</v>
      </c>
      <c r="AM25" s="57">
        <v>0</v>
      </c>
      <c r="AN25" s="57">
        <v>0</v>
      </c>
      <c r="AO25" s="57">
        <v>0</v>
      </c>
      <c r="AP25" s="57">
        <v>0</v>
      </c>
      <c r="AQ25" s="57">
        <v>0</v>
      </c>
      <c r="AR25" s="57">
        <v>0</v>
      </c>
      <c r="AS25" s="57">
        <v>0</v>
      </c>
      <c r="AT25" s="57">
        <v>0</v>
      </c>
      <c r="AU25" s="57">
        <v>0</v>
      </c>
      <c r="AV25" s="57">
        <v>0</v>
      </c>
      <c r="AW25" s="57">
        <v>0</v>
      </c>
      <c r="AX25" s="57">
        <v>0</v>
      </c>
      <c r="AY25" s="57">
        <v>0</v>
      </c>
      <c r="AZ25" s="57">
        <v>0</v>
      </c>
      <c r="BA25" s="57">
        <v>0</v>
      </c>
      <c r="BB25" s="57">
        <v>0</v>
      </c>
      <c r="BC25" s="57">
        <v>0</v>
      </c>
      <c r="BD25" s="57">
        <v>0</v>
      </c>
      <c r="BE25" s="57">
        <v>0</v>
      </c>
      <c r="BF25" s="57">
        <v>0</v>
      </c>
      <c r="BG25" s="57">
        <v>0</v>
      </c>
      <c r="BH25" s="57">
        <v>0</v>
      </c>
      <c r="BI25" s="57">
        <v>0</v>
      </c>
      <c r="BJ25" s="57">
        <v>0</v>
      </c>
      <c r="BK25" s="57">
        <v>0</v>
      </c>
      <c r="BL25" s="57">
        <v>0</v>
      </c>
      <c r="BM25" s="57">
        <v>0</v>
      </c>
      <c r="BN25" s="57">
        <v>0</v>
      </c>
      <c r="BO25" s="57">
        <v>0</v>
      </c>
      <c r="BP25" s="57">
        <v>0</v>
      </c>
      <c r="BQ25" s="57">
        <v>0</v>
      </c>
      <c r="BR25" s="57">
        <v>0</v>
      </c>
      <c r="BS25" s="57">
        <v>0</v>
      </c>
      <c r="BT25" s="57">
        <v>0</v>
      </c>
      <c r="BU25" s="57">
        <v>0</v>
      </c>
      <c r="BV25" s="57">
        <v>0</v>
      </c>
      <c r="BW25" s="57">
        <v>0</v>
      </c>
      <c r="BX25" s="57">
        <v>0</v>
      </c>
      <c r="BY25" s="57">
        <v>0</v>
      </c>
      <c r="BZ25" s="57">
        <v>0</v>
      </c>
      <c r="CA25" s="57">
        <v>0</v>
      </c>
      <c r="CB25" s="57">
        <v>0</v>
      </c>
      <c r="CC25" s="57">
        <v>0</v>
      </c>
      <c r="CD25" s="57">
        <v>0</v>
      </c>
      <c r="CE25" s="57">
        <v>0</v>
      </c>
      <c r="CF25" s="57">
        <v>0</v>
      </c>
      <c r="CG25" s="57">
        <v>0</v>
      </c>
      <c r="CH25" s="57">
        <v>0</v>
      </c>
      <c r="CI25" s="57">
        <v>0</v>
      </c>
      <c r="CJ25" s="57">
        <v>0</v>
      </c>
      <c r="CK25" s="57">
        <v>0</v>
      </c>
      <c r="CL25" s="57">
        <v>0</v>
      </c>
      <c r="CM25" s="57">
        <v>0</v>
      </c>
      <c r="CN25" s="57">
        <v>0</v>
      </c>
      <c r="CO25" s="57">
        <v>0</v>
      </c>
      <c r="CP25" s="57">
        <v>1</v>
      </c>
      <c r="CQ25" s="57">
        <v>0</v>
      </c>
      <c r="CR25" s="57">
        <v>0</v>
      </c>
      <c r="CS25" s="57">
        <v>0</v>
      </c>
      <c r="CT25" s="57">
        <v>0</v>
      </c>
      <c r="CU25" s="57">
        <v>0</v>
      </c>
      <c r="CV25" s="57">
        <v>0</v>
      </c>
      <c r="CW25" s="57">
        <v>0</v>
      </c>
      <c r="CX25" s="57">
        <v>0</v>
      </c>
      <c r="CY25" s="57">
        <v>0</v>
      </c>
      <c r="CZ25" s="57">
        <v>0</v>
      </c>
      <c r="DA25" s="57">
        <v>0</v>
      </c>
      <c r="DB25" s="57">
        <v>0</v>
      </c>
      <c r="DC25" s="57">
        <v>0</v>
      </c>
      <c r="DD25" s="57">
        <v>0</v>
      </c>
      <c r="DE25" s="57">
        <v>0</v>
      </c>
      <c r="DF25" s="57">
        <v>0</v>
      </c>
      <c r="DG25" s="137">
        <v>0</v>
      </c>
      <c r="DH25" s="137">
        <v>0</v>
      </c>
      <c r="DI25" s="137">
        <v>0</v>
      </c>
      <c r="DJ25" s="137">
        <v>0</v>
      </c>
      <c r="DK25" s="137">
        <v>0</v>
      </c>
      <c r="DL25" s="137">
        <v>0</v>
      </c>
      <c r="DM25" s="137">
        <v>0</v>
      </c>
      <c r="DN25" s="137">
        <v>0</v>
      </c>
      <c r="DO25" s="137">
        <v>0</v>
      </c>
      <c r="DP25" s="137">
        <v>0</v>
      </c>
      <c r="DQ25" s="137">
        <v>0</v>
      </c>
      <c r="DR25" s="137">
        <v>0</v>
      </c>
      <c r="DS25" s="137">
        <v>0</v>
      </c>
      <c r="DT25" s="137">
        <v>0</v>
      </c>
      <c r="DU25" s="137">
        <v>0</v>
      </c>
      <c r="DV25" s="137">
        <v>0</v>
      </c>
      <c r="DW25" s="137">
        <v>0</v>
      </c>
      <c r="DX25" s="137">
        <v>0</v>
      </c>
      <c r="DY25" s="137">
        <v>0</v>
      </c>
      <c r="DZ25" s="137">
        <v>0</v>
      </c>
      <c r="EA25" s="137">
        <v>0</v>
      </c>
    </row>
    <row r="26" spans="1:131" x14ac:dyDescent="0.35">
      <c r="A26" s="90" t="str">
        <f>VLOOKUP(E26,'Validation List'!F27:G422,2,FALSE)</f>
        <v>January</v>
      </c>
      <c r="B26" s="90" t="str">
        <f>INDEX('NEW HIRE ROSTER'!$G:$G,MATCH(RAW!F26,'NEW HIRE ROSTER'!$A:$A,0))</f>
        <v>Nesting</v>
      </c>
      <c r="C26" s="90" t="str">
        <f>INDEX('NEW HIRE ROSTER'!$F:$F,MATCH(RAW!F26,'NEW HIRE ROSTER'!$A:$A,0))</f>
        <v>Class 11.2</v>
      </c>
      <c r="D26" s="90" t="str">
        <f>INDEX('Validation List'!$H:$H,MATCH(RAW!E26,'Validation List'!$F:$F,0))</f>
        <v>Jan Week 1</v>
      </c>
      <c r="E26" s="89">
        <v>45667</v>
      </c>
      <c r="F26" s="56" t="s">
        <v>1993</v>
      </c>
      <c r="G26" s="90" t="str">
        <f>VLOOKUP(F26,ML!C26:D612,2,FALSE)</f>
        <v>Khyno Elimanco Cortez</v>
      </c>
      <c r="H26" s="90" t="str">
        <f>VLOOKUP(F26,ML!C28:E614,3,FALSE)</f>
        <v>QC</v>
      </c>
      <c r="I26" s="83" t="s">
        <v>194</v>
      </c>
      <c r="J26" s="56" t="s">
        <v>209</v>
      </c>
      <c r="K26" s="56" t="s">
        <v>144</v>
      </c>
      <c r="L26" s="56" t="s">
        <v>2263</v>
      </c>
      <c r="M26" s="154">
        <v>0.98</v>
      </c>
      <c r="N26" s="57">
        <v>0</v>
      </c>
      <c r="O26" s="57">
        <v>0</v>
      </c>
      <c r="P26" s="57">
        <v>0</v>
      </c>
      <c r="Q26" s="57">
        <v>0</v>
      </c>
      <c r="R26" s="57">
        <v>0</v>
      </c>
      <c r="S26" s="57">
        <v>0</v>
      </c>
      <c r="T26" s="57">
        <v>0</v>
      </c>
      <c r="U26" s="57">
        <v>0</v>
      </c>
      <c r="V26" s="57">
        <v>0</v>
      </c>
      <c r="W26" s="57">
        <v>0</v>
      </c>
      <c r="X26" s="57">
        <v>0</v>
      </c>
      <c r="Y26" s="57">
        <v>0</v>
      </c>
      <c r="Z26" s="57">
        <v>0</v>
      </c>
      <c r="AA26" s="57">
        <v>0</v>
      </c>
      <c r="AB26" s="57">
        <v>0</v>
      </c>
      <c r="AC26" s="57">
        <v>0</v>
      </c>
      <c r="AD26" s="57">
        <v>0</v>
      </c>
      <c r="AE26" s="57">
        <v>0</v>
      </c>
      <c r="AF26" s="57">
        <v>0</v>
      </c>
      <c r="AG26" s="57">
        <v>0</v>
      </c>
      <c r="AH26" s="57">
        <v>0</v>
      </c>
      <c r="AI26" s="57">
        <v>0</v>
      </c>
      <c r="AJ26" s="57">
        <v>0</v>
      </c>
      <c r="AK26" s="57">
        <v>0</v>
      </c>
      <c r="AL26" s="57">
        <v>0</v>
      </c>
      <c r="AM26" s="57">
        <v>0</v>
      </c>
      <c r="AN26" s="57">
        <v>0</v>
      </c>
      <c r="AO26" s="57">
        <v>0</v>
      </c>
      <c r="AP26" s="57">
        <v>0</v>
      </c>
      <c r="AQ26" s="57">
        <v>0</v>
      </c>
      <c r="AR26" s="57">
        <v>0</v>
      </c>
      <c r="AS26" s="57">
        <v>0</v>
      </c>
      <c r="AT26" s="57">
        <v>0</v>
      </c>
      <c r="AU26" s="57">
        <v>0</v>
      </c>
      <c r="AV26" s="57">
        <v>0</v>
      </c>
      <c r="AW26" s="57">
        <v>0</v>
      </c>
      <c r="AX26" s="57">
        <v>0</v>
      </c>
      <c r="AY26" s="57">
        <v>0</v>
      </c>
      <c r="AZ26" s="57">
        <v>0</v>
      </c>
      <c r="BA26" s="57">
        <v>0</v>
      </c>
      <c r="BB26" s="57">
        <v>0</v>
      </c>
      <c r="BC26" s="57">
        <v>0</v>
      </c>
      <c r="BD26" s="57">
        <v>0</v>
      </c>
      <c r="BE26" s="57">
        <v>0</v>
      </c>
      <c r="BF26" s="57">
        <v>0</v>
      </c>
      <c r="BG26" s="57">
        <v>0</v>
      </c>
      <c r="BH26" s="57">
        <v>0</v>
      </c>
      <c r="BI26" s="57">
        <v>0</v>
      </c>
      <c r="BJ26" s="57">
        <v>0</v>
      </c>
      <c r="BK26" s="57">
        <v>0</v>
      </c>
      <c r="BL26" s="57">
        <v>0</v>
      </c>
      <c r="BM26" s="57">
        <v>0</v>
      </c>
      <c r="BN26" s="57">
        <v>0</v>
      </c>
      <c r="BO26" s="57">
        <v>0</v>
      </c>
      <c r="BP26" s="57">
        <v>0</v>
      </c>
      <c r="BQ26" s="57">
        <v>0</v>
      </c>
      <c r="BR26" s="57">
        <v>0</v>
      </c>
      <c r="BS26" s="57">
        <v>0</v>
      </c>
      <c r="BT26" s="57">
        <v>0</v>
      </c>
      <c r="BU26" s="57">
        <v>0</v>
      </c>
      <c r="BV26" s="57">
        <v>0</v>
      </c>
      <c r="BW26" s="57">
        <v>0</v>
      </c>
      <c r="BX26" s="57">
        <v>0</v>
      </c>
      <c r="BY26" s="57">
        <v>0</v>
      </c>
      <c r="BZ26" s="57">
        <v>0</v>
      </c>
      <c r="CA26" s="57">
        <v>0</v>
      </c>
      <c r="CB26" s="57">
        <v>0</v>
      </c>
      <c r="CC26" s="57">
        <v>0</v>
      </c>
      <c r="CD26" s="57">
        <v>0</v>
      </c>
      <c r="CE26" s="57">
        <v>0</v>
      </c>
      <c r="CF26" s="57">
        <v>0</v>
      </c>
      <c r="CG26" s="57">
        <v>0</v>
      </c>
      <c r="CH26" s="57">
        <v>0</v>
      </c>
      <c r="CI26" s="57">
        <v>0</v>
      </c>
      <c r="CJ26" s="57">
        <v>0</v>
      </c>
      <c r="CK26" s="57">
        <v>0</v>
      </c>
      <c r="CL26" s="57">
        <v>0</v>
      </c>
      <c r="CM26" s="57">
        <v>0</v>
      </c>
      <c r="CN26" s="57">
        <v>0</v>
      </c>
      <c r="CO26" s="57">
        <v>0</v>
      </c>
      <c r="CP26" s="57">
        <v>1</v>
      </c>
      <c r="CQ26" s="57">
        <v>0</v>
      </c>
      <c r="CR26" s="57">
        <v>0</v>
      </c>
      <c r="CS26" s="57">
        <v>0</v>
      </c>
      <c r="CT26" s="57">
        <v>0</v>
      </c>
      <c r="CU26" s="57">
        <v>0</v>
      </c>
      <c r="CV26" s="57">
        <v>1</v>
      </c>
      <c r="CW26" s="57">
        <v>0</v>
      </c>
      <c r="CX26" s="57">
        <v>0</v>
      </c>
      <c r="CY26" s="57">
        <v>0</v>
      </c>
      <c r="CZ26" s="57">
        <v>0</v>
      </c>
      <c r="DA26" s="57">
        <v>0</v>
      </c>
      <c r="DB26" s="57">
        <v>0</v>
      </c>
      <c r="DC26" s="57">
        <v>0</v>
      </c>
      <c r="DD26" s="57">
        <v>0</v>
      </c>
      <c r="DE26" s="57">
        <v>0</v>
      </c>
      <c r="DF26" s="57">
        <v>0</v>
      </c>
      <c r="DG26" s="137">
        <v>0</v>
      </c>
      <c r="DH26" s="137">
        <v>0</v>
      </c>
      <c r="DI26" s="137">
        <v>0</v>
      </c>
      <c r="DJ26" s="137">
        <v>0</v>
      </c>
      <c r="DK26" s="137">
        <v>0</v>
      </c>
      <c r="DL26" s="137">
        <v>0</v>
      </c>
      <c r="DM26" s="137">
        <v>0</v>
      </c>
      <c r="DN26" s="137">
        <v>0</v>
      </c>
      <c r="DO26" s="137">
        <v>0</v>
      </c>
      <c r="DP26" s="137">
        <v>0</v>
      </c>
      <c r="DQ26" s="137">
        <v>0</v>
      </c>
      <c r="DR26" s="137">
        <v>0</v>
      </c>
      <c r="DS26" s="137">
        <v>0</v>
      </c>
      <c r="DT26" s="137">
        <v>0</v>
      </c>
      <c r="DU26" s="137">
        <v>0</v>
      </c>
      <c r="DV26" s="137">
        <v>0</v>
      </c>
      <c r="DW26" s="137">
        <v>0</v>
      </c>
      <c r="DX26" s="137">
        <v>0</v>
      </c>
      <c r="DY26" s="137">
        <v>0</v>
      </c>
      <c r="DZ26" s="137">
        <v>0</v>
      </c>
      <c r="EA26" s="137">
        <v>0</v>
      </c>
    </row>
    <row r="27" spans="1:131" x14ac:dyDescent="0.35">
      <c r="A27" s="90" t="str">
        <f>VLOOKUP(E27,'Validation List'!F28:G423,2,FALSE)</f>
        <v>January</v>
      </c>
      <c r="B27" s="90" t="str">
        <f>INDEX('NEW HIRE ROSTER'!$G:$G,MATCH(RAW!F27,'NEW HIRE ROSTER'!$A:$A,0))</f>
        <v>Nesting</v>
      </c>
      <c r="C27" s="90" t="str">
        <f>INDEX('NEW HIRE ROSTER'!$F:$F,MATCH(RAW!F27,'NEW HIRE ROSTER'!$A:$A,0))</f>
        <v>Class 11.2</v>
      </c>
      <c r="D27" s="90" t="str">
        <f>INDEX('Validation List'!$H:$H,MATCH(RAW!E27,'Validation List'!$F:$F,0))</f>
        <v>Jan Week 1</v>
      </c>
      <c r="E27" s="89">
        <v>45666</v>
      </c>
      <c r="F27" s="56" t="s">
        <v>2032</v>
      </c>
      <c r="G27" s="90" t="str">
        <f>VLOOKUP(F27,ML!C27:D613,2,FALSE)</f>
        <v>Khyno Elimanco Cortez</v>
      </c>
      <c r="H27" s="90" t="str">
        <f>VLOOKUP(F27,ML!C29:E615,3,FALSE)</f>
        <v>QC</v>
      </c>
      <c r="I27" s="83" t="s">
        <v>199</v>
      </c>
      <c r="J27" s="56" t="s">
        <v>209</v>
      </c>
      <c r="K27" s="56" t="s">
        <v>144</v>
      </c>
      <c r="L27" s="56" t="s">
        <v>2264</v>
      </c>
      <c r="M27" s="91">
        <v>1</v>
      </c>
      <c r="N27" s="57">
        <v>0</v>
      </c>
      <c r="O27" s="57">
        <v>0</v>
      </c>
      <c r="P27" s="57">
        <v>0</v>
      </c>
      <c r="Q27" s="57">
        <v>0</v>
      </c>
      <c r="R27" s="57">
        <v>0</v>
      </c>
      <c r="S27" s="57">
        <v>0</v>
      </c>
      <c r="T27" s="57">
        <v>0</v>
      </c>
      <c r="U27" s="57">
        <v>0</v>
      </c>
      <c r="V27" s="57">
        <v>0</v>
      </c>
      <c r="W27" s="57">
        <v>0</v>
      </c>
      <c r="X27" s="57">
        <v>0</v>
      </c>
      <c r="Y27" s="57">
        <v>0</v>
      </c>
      <c r="Z27" s="57">
        <v>0</v>
      </c>
      <c r="AA27" s="57">
        <v>0</v>
      </c>
      <c r="AB27" s="57">
        <v>0</v>
      </c>
      <c r="AC27" s="57">
        <v>0</v>
      </c>
      <c r="AD27" s="57">
        <v>0</v>
      </c>
      <c r="AE27" s="57">
        <v>0</v>
      </c>
      <c r="AF27" s="57">
        <v>0</v>
      </c>
      <c r="AG27" s="57">
        <v>0</v>
      </c>
      <c r="AH27" s="57">
        <v>0</v>
      </c>
      <c r="AI27" s="57">
        <v>0</v>
      </c>
      <c r="AJ27" s="57">
        <v>0</v>
      </c>
      <c r="AK27" s="57">
        <v>0</v>
      </c>
      <c r="AL27" s="57">
        <v>0</v>
      </c>
      <c r="AM27" s="57">
        <v>0</v>
      </c>
      <c r="AN27" s="57">
        <v>0</v>
      </c>
      <c r="AO27" s="57">
        <v>0</v>
      </c>
      <c r="AP27" s="57">
        <v>0</v>
      </c>
      <c r="AQ27" s="57">
        <v>0</v>
      </c>
      <c r="AR27" s="57">
        <v>0</v>
      </c>
      <c r="AS27" s="57">
        <v>0</v>
      </c>
      <c r="AT27" s="57">
        <v>0</v>
      </c>
      <c r="AU27" s="57">
        <v>0</v>
      </c>
      <c r="AV27" s="57">
        <v>0</v>
      </c>
      <c r="AW27" s="57">
        <v>0</v>
      </c>
      <c r="AX27" s="57">
        <v>0</v>
      </c>
      <c r="AY27" s="57">
        <v>0</v>
      </c>
      <c r="AZ27" s="57">
        <v>0</v>
      </c>
      <c r="BA27" s="57">
        <v>0</v>
      </c>
      <c r="BB27" s="57">
        <v>0</v>
      </c>
      <c r="BC27" s="57">
        <v>0</v>
      </c>
      <c r="BD27" s="57">
        <v>0</v>
      </c>
      <c r="BE27" s="57">
        <v>0</v>
      </c>
      <c r="BF27" s="57">
        <v>0</v>
      </c>
      <c r="BG27" s="57">
        <v>0</v>
      </c>
      <c r="BH27" s="57">
        <v>0</v>
      </c>
      <c r="BI27" s="57">
        <v>0</v>
      </c>
      <c r="BJ27" s="57">
        <v>0</v>
      </c>
      <c r="BK27" s="57">
        <v>0</v>
      </c>
      <c r="BL27" s="57">
        <v>0</v>
      </c>
      <c r="BM27" s="57">
        <v>0</v>
      </c>
      <c r="BN27" s="57">
        <v>0</v>
      </c>
      <c r="BO27" s="57">
        <v>0</v>
      </c>
      <c r="BP27" s="57">
        <v>0</v>
      </c>
      <c r="BQ27" s="57">
        <v>0</v>
      </c>
      <c r="BR27" s="57">
        <v>0</v>
      </c>
      <c r="BS27" s="57">
        <v>0</v>
      </c>
      <c r="BT27" s="57">
        <v>0</v>
      </c>
      <c r="BU27" s="57">
        <v>0</v>
      </c>
      <c r="BV27" s="57">
        <v>0</v>
      </c>
      <c r="BW27" s="57">
        <v>0</v>
      </c>
      <c r="BX27" s="57">
        <v>0</v>
      </c>
      <c r="BY27" s="57">
        <v>0</v>
      </c>
      <c r="BZ27" s="57">
        <v>0</v>
      </c>
      <c r="CA27" s="57">
        <v>0</v>
      </c>
      <c r="CB27" s="57">
        <v>0</v>
      </c>
      <c r="CC27" s="57">
        <v>0</v>
      </c>
      <c r="CD27" s="57">
        <v>0</v>
      </c>
      <c r="CE27" s="57">
        <v>0</v>
      </c>
      <c r="CF27" s="57">
        <v>0</v>
      </c>
      <c r="CG27" s="57">
        <v>0</v>
      </c>
      <c r="CH27" s="57">
        <v>0</v>
      </c>
      <c r="CI27" s="57">
        <v>0</v>
      </c>
      <c r="CJ27" s="57">
        <v>0</v>
      </c>
      <c r="CK27" s="57">
        <v>0</v>
      </c>
      <c r="CL27" s="57">
        <v>0</v>
      </c>
      <c r="CM27" s="57">
        <v>0</v>
      </c>
      <c r="CN27" s="57">
        <v>0</v>
      </c>
      <c r="CO27" s="57">
        <v>0</v>
      </c>
      <c r="CP27" s="57">
        <v>0</v>
      </c>
      <c r="CQ27" s="57">
        <v>0</v>
      </c>
      <c r="CR27" s="57">
        <v>0</v>
      </c>
      <c r="CS27" s="57">
        <v>0</v>
      </c>
      <c r="CT27" s="57">
        <v>0</v>
      </c>
      <c r="CU27" s="57">
        <v>0</v>
      </c>
      <c r="CV27" s="57">
        <v>0</v>
      </c>
      <c r="CW27" s="57">
        <v>0</v>
      </c>
      <c r="CX27" s="57">
        <v>0</v>
      </c>
      <c r="CY27" s="57">
        <v>0</v>
      </c>
      <c r="CZ27" s="57">
        <v>0</v>
      </c>
      <c r="DA27" s="57">
        <v>0</v>
      </c>
      <c r="DB27" s="57">
        <v>0</v>
      </c>
      <c r="DC27" s="57">
        <v>0</v>
      </c>
      <c r="DD27" s="57">
        <v>0</v>
      </c>
      <c r="DE27" s="57">
        <v>0</v>
      </c>
      <c r="DF27" s="57">
        <v>0</v>
      </c>
      <c r="DG27" s="137">
        <v>0</v>
      </c>
      <c r="DH27" s="137">
        <v>0</v>
      </c>
      <c r="DI27" s="137">
        <v>0</v>
      </c>
      <c r="DJ27" s="137">
        <v>0</v>
      </c>
      <c r="DK27" s="137">
        <v>0</v>
      </c>
      <c r="DL27" s="137">
        <v>0</v>
      </c>
      <c r="DM27" s="137">
        <v>0</v>
      </c>
      <c r="DN27" s="137">
        <v>0</v>
      </c>
      <c r="DO27" s="137">
        <v>0</v>
      </c>
      <c r="DP27" s="137">
        <v>0</v>
      </c>
      <c r="DQ27" s="137">
        <v>0</v>
      </c>
      <c r="DR27" s="137">
        <v>0</v>
      </c>
      <c r="DS27" s="137">
        <v>0</v>
      </c>
      <c r="DT27" s="137">
        <v>0</v>
      </c>
      <c r="DU27" s="137">
        <v>0</v>
      </c>
      <c r="DV27" s="137">
        <v>0</v>
      </c>
      <c r="DW27" s="137">
        <v>0</v>
      </c>
      <c r="DX27" s="137">
        <v>0</v>
      </c>
      <c r="DY27" s="137">
        <v>0</v>
      </c>
      <c r="DZ27" s="137">
        <v>0</v>
      </c>
      <c r="EA27" s="137">
        <v>0</v>
      </c>
    </row>
    <row r="28" spans="1:131" x14ac:dyDescent="0.35">
      <c r="A28" s="90" t="str">
        <f>VLOOKUP(E28,'Validation List'!F29:G424,2,FALSE)</f>
        <v>January</v>
      </c>
      <c r="B28" s="90" t="str">
        <f>INDEX('NEW HIRE ROSTER'!$G:$G,MATCH(RAW!F28,'NEW HIRE ROSTER'!$A:$A,0))</f>
        <v>Nesting</v>
      </c>
      <c r="C28" s="90" t="str">
        <f>INDEX('NEW HIRE ROSTER'!$F:$F,MATCH(RAW!F28,'NEW HIRE ROSTER'!$A:$A,0))</f>
        <v>Class 11.2</v>
      </c>
      <c r="D28" s="90" t="str">
        <f>INDEX('Validation List'!$H:$H,MATCH(RAW!E28,'Validation List'!$F:$F,0))</f>
        <v>Jan Week 1</v>
      </c>
      <c r="E28" s="89">
        <v>45666</v>
      </c>
      <c r="F28" s="56" t="s">
        <v>2020</v>
      </c>
      <c r="G28" s="90" t="str">
        <f>VLOOKUP(F28,ML!C28:D614,2,FALSE)</f>
        <v>Khyno Elimanco Cortez</v>
      </c>
      <c r="H28" s="90" t="str">
        <f>VLOOKUP(F28,ML!C30:E616,3,FALSE)</f>
        <v>QC</v>
      </c>
      <c r="I28" s="83" t="s">
        <v>199</v>
      </c>
      <c r="J28" s="56" t="s">
        <v>209</v>
      </c>
      <c r="K28" s="56" t="s">
        <v>163</v>
      </c>
      <c r="L28" s="56" t="s">
        <v>2265</v>
      </c>
      <c r="M28" s="91">
        <v>1</v>
      </c>
      <c r="N28" s="57">
        <v>0</v>
      </c>
      <c r="O28" s="57">
        <v>0</v>
      </c>
      <c r="P28" s="57">
        <v>0</v>
      </c>
      <c r="Q28" s="57">
        <v>0</v>
      </c>
      <c r="R28" s="57">
        <v>0</v>
      </c>
      <c r="S28" s="57">
        <v>0</v>
      </c>
      <c r="T28" s="57">
        <v>0</v>
      </c>
      <c r="U28" s="57">
        <v>0</v>
      </c>
      <c r="V28" s="57">
        <v>0</v>
      </c>
      <c r="W28" s="57">
        <v>0</v>
      </c>
      <c r="X28" s="57">
        <v>0</v>
      </c>
      <c r="Y28" s="57">
        <v>0</v>
      </c>
      <c r="Z28" s="57">
        <v>0</v>
      </c>
      <c r="AA28" s="57">
        <v>0</v>
      </c>
      <c r="AB28" s="57">
        <v>0</v>
      </c>
      <c r="AC28" s="57">
        <v>0</v>
      </c>
      <c r="AD28" s="57">
        <v>0</v>
      </c>
      <c r="AE28" s="57">
        <v>0</v>
      </c>
      <c r="AF28" s="57">
        <v>0</v>
      </c>
      <c r="AG28" s="57">
        <v>0</v>
      </c>
      <c r="AH28" s="57">
        <v>0</v>
      </c>
      <c r="AI28" s="57">
        <v>0</v>
      </c>
      <c r="AJ28" s="57">
        <v>0</v>
      </c>
      <c r="AK28" s="57">
        <v>0</v>
      </c>
      <c r="AL28" s="57">
        <v>0</v>
      </c>
      <c r="AM28" s="57">
        <v>0</v>
      </c>
      <c r="AN28" s="57">
        <v>0</v>
      </c>
      <c r="AO28" s="57">
        <v>0</v>
      </c>
      <c r="AP28" s="57">
        <v>0</v>
      </c>
      <c r="AQ28" s="57">
        <v>0</v>
      </c>
      <c r="AR28" s="57">
        <v>0</v>
      </c>
      <c r="AS28" s="57">
        <v>0</v>
      </c>
      <c r="AT28" s="57">
        <v>0</v>
      </c>
      <c r="AU28" s="57">
        <v>0</v>
      </c>
      <c r="AV28" s="57">
        <v>0</v>
      </c>
      <c r="AW28" s="57">
        <v>0</v>
      </c>
      <c r="AX28" s="57">
        <v>0</v>
      </c>
      <c r="AY28" s="57">
        <v>0</v>
      </c>
      <c r="AZ28" s="57">
        <v>0</v>
      </c>
      <c r="BA28" s="57">
        <v>0</v>
      </c>
      <c r="BB28" s="57">
        <v>0</v>
      </c>
      <c r="BC28" s="57">
        <v>0</v>
      </c>
      <c r="BD28" s="57">
        <v>0</v>
      </c>
      <c r="BE28" s="57">
        <v>0</v>
      </c>
      <c r="BF28" s="57">
        <v>0</v>
      </c>
      <c r="BG28" s="57">
        <v>0</v>
      </c>
      <c r="BH28" s="57">
        <v>0</v>
      </c>
      <c r="BI28" s="57">
        <v>0</v>
      </c>
      <c r="BJ28" s="57">
        <v>0</v>
      </c>
      <c r="BK28" s="57">
        <v>0</v>
      </c>
      <c r="BL28" s="57">
        <v>0</v>
      </c>
      <c r="BM28" s="57">
        <v>0</v>
      </c>
      <c r="BN28" s="57">
        <v>0</v>
      </c>
      <c r="BO28" s="57">
        <v>0</v>
      </c>
      <c r="BP28" s="57">
        <v>0</v>
      </c>
      <c r="BQ28" s="57">
        <v>0</v>
      </c>
      <c r="BR28" s="57">
        <v>0</v>
      </c>
      <c r="BS28" s="57">
        <v>0</v>
      </c>
      <c r="BT28" s="57">
        <v>0</v>
      </c>
      <c r="BU28" s="57">
        <v>0</v>
      </c>
      <c r="BV28" s="57">
        <v>0</v>
      </c>
      <c r="BW28" s="57">
        <v>0</v>
      </c>
      <c r="BX28" s="57">
        <v>0</v>
      </c>
      <c r="BY28" s="57">
        <v>0</v>
      </c>
      <c r="BZ28" s="57">
        <v>0</v>
      </c>
      <c r="CA28" s="57">
        <v>0</v>
      </c>
      <c r="CB28" s="57">
        <v>0</v>
      </c>
      <c r="CC28" s="57">
        <v>0</v>
      </c>
      <c r="CD28" s="57">
        <v>0</v>
      </c>
      <c r="CE28" s="57">
        <v>0</v>
      </c>
      <c r="CF28" s="57">
        <v>0</v>
      </c>
      <c r="CG28" s="57">
        <v>0</v>
      </c>
      <c r="CH28" s="57">
        <v>0</v>
      </c>
      <c r="CI28" s="57">
        <v>0</v>
      </c>
      <c r="CJ28" s="57">
        <v>0</v>
      </c>
      <c r="CK28" s="57">
        <v>0</v>
      </c>
      <c r="CL28" s="57">
        <v>0</v>
      </c>
      <c r="CM28" s="57">
        <v>0</v>
      </c>
      <c r="CN28" s="57">
        <v>0</v>
      </c>
      <c r="CO28" s="57">
        <v>0</v>
      </c>
      <c r="CP28" s="57">
        <v>0</v>
      </c>
      <c r="CQ28" s="57">
        <v>0</v>
      </c>
      <c r="CR28" s="57">
        <v>0</v>
      </c>
      <c r="CS28" s="57">
        <v>0</v>
      </c>
      <c r="CT28" s="57">
        <v>0</v>
      </c>
      <c r="CU28" s="57">
        <v>0</v>
      </c>
      <c r="CV28" s="57">
        <v>0</v>
      </c>
      <c r="CW28" s="57">
        <v>0</v>
      </c>
      <c r="CX28" s="57">
        <v>0</v>
      </c>
      <c r="CY28" s="57">
        <v>0</v>
      </c>
      <c r="CZ28" s="57">
        <v>0</v>
      </c>
      <c r="DA28" s="57">
        <v>0</v>
      </c>
      <c r="DB28" s="57">
        <v>0</v>
      </c>
      <c r="DC28" s="57">
        <v>0</v>
      </c>
      <c r="DD28" s="57">
        <v>0</v>
      </c>
      <c r="DE28" s="57">
        <v>0</v>
      </c>
      <c r="DF28" s="57">
        <v>0</v>
      </c>
      <c r="DG28" s="137">
        <v>0</v>
      </c>
      <c r="DH28" s="137">
        <v>0</v>
      </c>
      <c r="DI28" s="137">
        <v>0</v>
      </c>
      <c r="DJ28" s="137">
        <v>0</v>
      </c>
      <c r="DK28" s="137">
        <v>0</v>
      </c>
      <c r="DL28" s="137">
        <v>0</v>
      </c>
      <c r="DM28" s="137">
        <v>0</v>
      </c>
      <c r="DN28" s="137">
        <v>0</v>
      </c>
      <c r="DO28" s="137">
        <v>0</v>
      </c>
      <c r="DP28" s="137">
        <v>0</v>
      </c>
      <c r="DQ28" s="137">
        <v>0</v>
      </c>
      <c r="DR28" s="137">
        <v>0</v>
      </c>
      <c r="DS28" s="137">
        <v>0</v>
      </c>
      <c r="DT28" s="137">
        <v>0</v>
      </c>
      <c r="DU28" s="137">
        <v>0</v>
      </c>
      <c r="DV28" s="137">
        <v>0</v>
      </c>
      <c r="DW28" s="137">
        <v>0</v>
      </c>
      <c r="DX28" s="137">
        <v>0</v>
      </c>
      <c r="DY28" s="137">
        <v>0</v>
      </c>
      <c r="DZ28" s="137">
        <v>0</v>
      </c>
      <c r="EA28" s="137">
        <v>0</v>
      </c>
    </row>
    <row r="29" spans="1:131" x14ac:dyDescent="0.35">
      <c r="A29" s="90" t="str">
        <f>VLOOKUP(E29,'Validation List'!F30:G425,2,FALSE)</f>
        <v>January</v>
      </c>
      <c r="B29" s="90" t="str">
        <f>INDEX('NEW HIRE ROSTER'!$G:$G,MATCH(RAW!F29,'NEW HIRE ROSTER'!$A:$A,0))</f>
        <v>Nesting</v>
      </c>
      <c r="C29" s="90" t="str">
        <f>INDEX('NEW HIRE ROSTER'!$F:$F,MATCH(RAW!F29,'NEW HIRE ROSTER'!$A:$A,0))</f>
        <v>Class 11.1</v>
      </c>
      <c r="D29" s="90" t="str">
        <f>INDEX('Validation List'!$H:$H,MATCH(RAW!E29,'Validation List'!$F:$F,0))</f>
        <v>Jan Week 1</v>
      </c>
      <c r="E29" s="89">
        <v>45665</v>
      </c>
      <c r="F29" s="56" t="s">
        <v>1753</v>
      </c>
      <c r="G29" s="90" t="str">
        <f>VLOOKUP(F29,ML!C29:D615,2,FALSE)</f>
        <v>Robin Antolihao Llamido</v>
      </c>
      <c r="H29" s="90" t="str">
        <f>VLOOKUP(F29,ML!C31:E617,3,FALSE)</f>
        <v>QC</v>
      </c>
      <c r="I29" s="83" t="s">
        <v>200</v>
      </c>
      <c r="J29" s="56" t="s">
        <v>209</v>
      </c>
      <c r="K29" s="56" t="s">
        <v>158</v>
      </c>
      <c r="L29" s="56" t="s">
        <v>2266</v>
      </c>
      <c r="M29" s="91">
        <v>1</v>
      </c>
      <c r="N29" s="57">
        <v>0</v>
      </c>
      <c r="O29" s="57">
        <v>0</v>
      </c>
      <c r="P29" s="57">
        <v>0</v>
      </c>
      <c r="Q29" s="57">
        <v>0</v>
      </c>
      <c r="R29" s="57">
        <v>0</v>
      </c>
      <c r="S29" s="57">
        <v>0</v>
      </c>
      <c r="T29" s="57">
        <v>0</v>
      </c>
      <c r="U29" s="57">
        <v>0</v>
      </c>
      <c r="V29" s="57">
        <v>0</v>
      </c>
      <c r="W29" s="57">
        <v>0</v>
      </c>
      <c r="X29" s="57">
        <v>0</v>
      </c>
      <c r="Y29" s="57">
        <v>0</v>
      </c>
      <c r="Z29" s="57">
        <v>0</v>
      </c>
      <c r="AA29" s="57">
        <v>0</v>
      </c>
      <c r="AB29" s="57">
        <v>0</v>
      </c>
      <c r="AC29" s="57">
        <v>0</v>
      </c>
      <c r="AD29" s="57">
        <v>0</v>
      </c>
      <c r="AE29" s="57">
        <v>0</v>
      </c>
      <c r="AF29" s="57">
        <v>0</v>
      </c>
      <c r="AG29" s="57">
        <v>0</v>
      </c>
      <c r="AH29" s="57">
        <v>0</v>
      </c>
      <c r="AI29" s="57">
        <v>0</v>
      </c>
      <c r="AJ29" s="57">
        <v>0</v>
      </c>
      <c r="AK29" s="57">
        <v>0</v>
      </c>
      <c r="AL29" s="57">
        <v>0</v>
      </c>
      <c r="AM29" s="57">
        <v>0</v>
      </c>
      <c r="AN29" s="57">
        <v>0</v>
      </c>
      <c r="AO29" s="57">
        <v>0</v>
      </c>
      <c r="AP29" s="57">
        <v>0</v>
      </c>
      <c r="AQ29" s="57">
        <v>0</v>
      </c>
      <c r="AR29" s="57">
        <v>0</v>
      </c>
      <c r="AS29" s="57">
        <v>0</v>
      </c>
      <c r="AT29" s="57">
        <v>0</v>
      </c>
      <c r="AU29" s="57">
        <v>0</v>
      </c>
      <c r="AV29" s="57">
        <v>0</v>
      </c>
      <c r="AW29" s="57">
        <v>0</v>
      </c>
      <c r="AX29" s="57">
        <v>0</v>
      </c>
      <c r="AY29" s="57">
        <v>0</v>
      </c>
      <c r="AZ29" s="57">
        <v>0</v>
      </c>
      <c r="BA29" s="57">
        <v>0</v>
      </c>
      <c r="BB29" s="57">
        <v>0</v>
      </c>
      <c r="BC29" s="57">
        <v>0</v>
      </c>
      <c r="BD29" s="57">
        <v>0</v>
      </c>
      <c r="BE29" s="57">
        <v>0</v>
      </c>
      <c r="BF29" s="57">
        <v>0</v>
      </c>
      <c r="BG29" s="57">
        <v>0</v>
      </c>
      <c r="BH29" s="57">
        <v>0</v>
      </c>
      <c r="BI29" s="57">
        <v>0</v>
      </c>
      <c r="BJ29" s="57">
        <v>0</v>
      </c>
      <c r="BK29" s="57">
        <v>0</v>
      </c>
      <c r="BL29" s="57">
        <v>0</v>
      </c>
      <c r="BM29" s="57">
        <v>0</v>
      </c>
      <c r="BN29" s="57">
        <v>0</v>
      </c>
      <c r="BO29" s="57">
        <v>0</v>
      </c>
      <c r="BP29" s="57">
        <v>0</v>
      </c>
      <c r="BQ29" s="57">
        <v>0</v>
      </c>
      <c r="BR29" s="57">
        <v>0</v>
      </c>
      <c r="BS29" s="57">
        <v>0</v>
      </c>
      <c r="BT29" s="57">
        <v>0</v>
      </c>
      <c r="BU29" s="57">
        <v>0</v>
      </c>
      <c r="BV29" s="57">
        <v>0</v>
      </c>
      <c r="BW29" s="57">
        <v>0</v>
      </c>
      <c r="BX29" s="57">
        <v>0</v>
      </c>
      <c r="BY29" s="57">
        <v>0</v>
      </c>
      <c r="BZ29" s="57">
        <v>0</v>
      </c>
      <c r="CA29" s="57">
        <v>0</v>
      </c>
      <c r="CB29" s="57">
        <v>0</v>
      </c>
      <c r="CC29" s="57">
        <v>0</v>
      </c>
      <c r="CD29" s="57">
        <v>0</v>
      </c>
      <c r="CE29" s="57">
        <v>0</v>
      </c>
      <c r="CF29" s="57">
        <v>0</v>
      </c>
      <c r="CG29" s="57">
        <v>0</v>
      </c>
      <c r="CH29" s="57">
        <v>0</v>
      </c>
      <c r="CI29" s="57">
        <v>0</v>
      </c>
      <c r="CJ29" s="57">
        <v>0</v>
      </c>
      <c r="CK29" s="57">
        <v>0</v>
      </c>
      <c r="CL29" s="57">
        <v>0</v>
      </c>
      <c r="CM29" s="57">
        <v>0</v>
      </c>
      <c r="CN29" s="57">
        <v>0</v>
      </c>
      <c r="CO29" s="57">
        <v>0</v>
      </c>
      <c r="CP29" s="57">
        <v>0</v>
      </c>
      <c r="CQ29" s="57">
        <v>0</v>
      </c>
      <c r="CR29" s="57">
        <v>0</v>
      </c>
      <c r="CS29" s="57">
        <v>0</v>
      </c>
      <c r="CT29" s="57">
        <v>0</v>
      </c>
      <c r="CU29" s="57">
        <v>0</v>
      </c>
      <c r="CV29" s="57">
        <v>0</v>
      </c>
      <c r="CW29" s="57">
        <v>0</v>
      </c>
      <c r="CX29" s="57">
        <v>0</v>
      </c>
      <c r="CY29" s="57">
        <v>0</v>
      </c>
      <c r="CZ29" s="57">
        <v>0</v>
      </c>
      <c r="DA29" s="57">
        <v>0</v>
      </c>
      <c r="DB29" s="57">
        <v>0</v>
      </c>
      <c r="DC29" s="57">
        <v>0</v>
      </c>
      <c r="DD29" s="57">
        <v>0</v>
      </c>
      <c r="DE29" s="57">
        <v>0</v>
      </c>
      <c r="DF29" s="57">
        <v>0</v>
      </c>
      <c r="DG29" s="137">
        <v>0</v>
      </c>
      <c r="DH29" s="137">
        <v>0</v>
      </c>
      <c r="DI29" s="137">
        <v>0</v>
      </c>
      <c r="DJ29" s="137">
        <v>0</v>
      </c>
      <c r="DK29" s="137">
        <v>0</v>
      </c>
      <c r="DL29" s="137">
        <v>0</v>
      </c>
      <c r="DM29" s="137">
        <v>0</v>
      </c>
      <c r="DN29" s="137">
        <v>0</v>
      </c>
      <c r="DO29" s="137">
        <v>0</v>
      </c>
      <c r="DP29" s="137">
        <v>0</v>
      </c>
      <c r="DQ29" s="137">
        <v>0</v>
      </c>
      <c r="DR29" s="137">
        <v>0</v>
      </c>
      <c r="DS29" s="137">
        <v>0</v>
      </c>
      <c r="DT29" s="137">
        <v>0</v>
      </c>
      <c r="DU29" s="137">
        <v>0</v>
      </c>
      <c r="DV29" s="137">
        <v>0</v>
      </c>
      <c r="DW29" s="137">
        <v>0</v>
      </c>
      <c r="DX29" s="137">
        <v>0</v>
      </c>
      <c r="DY29" s="137">
        <v>0</v>
      </c>
      <c r="DZ29" s="137">
        <v>0</v>
      </c>
      <c r="EA29" s="137">
        <v>0</v>
      </c>
    </row>
    <row r="30" spans="1:131" x14ac:dyDescent="0.35">
      <c r="A30" s="90" t="str">
        <f>VLOOKUP(E30,'Validation List'!F31:G426,2,FALSE)</f>
        <v>January</v>
      </c>
      <c r="B30" s="90" t="str">
        <f>INDEX('NEW HIRE ROSTER'!$G:$G,MATCH(RAW!F30,'NEW HIRE ROSTER'!$A:$A,0))</f>
        <v>Nesting</v>
      </c>
      <c r="C30" s="90" t="str">
        <f>INDEX('NEW HIRE ROSTER'!$F:$F,MATCH(RAW!F30,'NEW HIRE ROSTER'!$A:$A,0))</f>
        <v>Class 11.1</v>
      </c>
      <c r="D30" s="90" t="str">
        <f>INDEX('Validation List'!$H:$H,MATCH(RAW!E30,'Validation List'!$F:$F,0))</f>
        <v>Jan Week 1</v>
      </c>
      <c r="E30" s="89">
        <v>45666</v>
      </c>
      <c r="F30" s="56" t="s">
        <v>2053</v>
      </c>
      <c r="G30" s="90" t="str">
        <f>VLOOKUP(F30,ML!C30:D616,2,FALSE)</f>
        <v>Robin Antolihao Llamido</v>
      </c>
      <c r="H30" s="90" t="str">
        <f>VLOOKUP(F30,ML!C32:E618,3,FALSE)</f>
        <v>QC</v>
      </c>
      <c r="I30" s="83" t="s">
        <v>200</v>
      </c>
      <c r="J30" s="56" t="s">
        <v>209</v>
      </c>
      <c r="K30" s="56" t="s">
        <v>144</v>
      </c>
      <c r="L30" s="56" t="s">
        <v>2267</v>
      </c>
      <c r="M30" s="91">
        <v>0.93</v>
      </c>
      <c r="N30" s="57">
        <v>0</v>
      </c>
      <c r="O30" s="57">
        <v>0</v>
      </c>
      <c r="P30" s="57">
        <v>0</v>
      </c>
      <c r="Q30" s="57">
        <v>0</v>
      </c>
      <c r="R30" s="57">
        <v>0</v>
      </c>
      <c r="S30" s="57">
        <v>0</v>
      </c>
      <c r="T30" s="57">
        <v>0</v>
      </c>
      <c r="U30" s="57">
        <v>0</v>
      </c>
      <c r="V30" s="57">
        <v>0</v>
      </c>
      <c r="W30" s="57">
        <v>0</v>
      </c>
      <c r="X30" s="57">
        <v>1</v>
      </c>
      <c r="Y30" s="57">
        <v>0</v>
      </c>
      <c r="Z30" s="57">
        <v>0</v>
      </c>
      <c r="AA30" s="57">
        <v>0</v>
      </c>
      <c r="AB30" s="57">
        <v>0</v>
      </c>
      <c r="AC30" s="57">
        <v>0</v>
      </c>
      <c r="AD30" s="57">
        <v>0</v>
      </c>
      <c r="AE30" s="57">
        <v>0</v>
      </c>
      <c r="AF30" s="57">
        <v>0</v>
      </c>
      <c r="AG30" s="57">
        <v>0</v>
      </c>
      <c r="AH30" s="57">
        <v>0</v>
      </c>
      <c r="AI30" s="57">
        <v>0</v>
      </c>
      <c r="AJ30" s="57">
        <v>0</v>
      </c>
      <c r="AK30" s="57">
        <v>0</v>
      </c>
      <c r="AL30" s="57">
        <v>0</v>
      </c>
      <c r="AM30" s="57">
        <v>0</v>
      </c>
      <c r="AN30" s="57">
        <v>0</v>
      </c>
      <c r="AO30" s="57">
        <v>0</v>
      </c>
      <c r="AP30" s="57">
        <v>0</v>
      </c>
      <c r="AQ30" s="57">
        <v>0</v>
      </c>
      <c r="AR30" s="57">
        <v>0</v>
      </c>
      <c r="AS30" s="57">
        <v>0</v>
      </c>
      <c r="AT30" s="57">
        <v>0</v>
      </c>
      <c r="AU30" s="57">
        <v>0</v>
      </c>
      <c r="AV30" s="57">
        <v>0</v>
      </c>
      <c r="AW30" s="57">
        <v>0</v>
      </c>
      <c r="AX30" s="57">
        <v>0</v>
      </c>
      <c r="AY30" s="57">
        <v>0</v>
      </c>
      <c r="AZ30" s="57">
        <v>0</v>
      </c>
      <c r="BA30" s="57">
        <v>0</v>
      </c>
      <c r="BB30" s="57">
        <v>0</v>
      </c>
      <c r="BC30" s="57">
        <v>0</v>
      </c>
      <c r="BD30" s="57">
        <v>0</v>
      </c>
      <c r="BE30" s="57">
        <v>0</v>
      </c>
      <c r="BF30" s="57">
        <v>0</v>
      </c>
      <c r="BG30" s="57">
        <v>0</v>
      </c>
      <c r="BH30" s="57">
        <v>0</v>
      </c>
      <c r="BI30" s="57">
        <v>0</v>
      </c>
      <c r="BJ30" s="57">
        <v>0</v>
      </c>
      <c r="BK30" s="57">
        <v>0</v>
      </c>
      <c r="BL30" s="57">
        <v>0</v>
      </c>
      <c r="BM30" s="57">
        <v>0</v>
      </c>
      <c r="BN30" s="57">
        <v>0</v>
      </c>
      <c r="BO30" s="57">
        <v>0</v>
      </c>
      <c r="BP30" s="57">
        <v>0</v>
      </c>
      <c r="BQ30" s="57">
        <v>0</v>
      </c>
      <c r="BR30" s="57">
        <v>0</v>
      </c>
      <c r="BS30" s="57">
        <v>0</v>
      </c>
      <c r="BT30" s="57">
        <v>0</v>
      </c>
      <c r="BU30" s="57">
        <v>0</v>
      </c>
      <c r="BV30" s="57">
        <v>0</v>
      </c>
      <c r="BW30" s="57">
        <v>0</v>
      </c>
      <c r="BX30" s="57">
        <v>0</v>
      </c>
      <c r="BY30" s="57">
        <v>0</v>
      </c>
      <c r="BZ30" s="57">
        <v>0</v>
      </c>
      <c r="CA30" s="57">
        <v>0</v>
      </c>
      <c r="CB30" s="57">
        <v>0</v>
      </c>
      <c r="CC30" s="57">
        <v>0</v>
      </c>
      <c r="CD30" s="57">
        <v>0</v>
      </c>
      <c r="CE30" s="57">
        <v>0</v>
      </c>
      <c r="CF30" s="57">
        <v>0</v>
      </c>
      <c r="CG30" s="57">
        <v>0</v>
      </c>
      <c r="CH30" s="57">
        <v>0</v>
      </c>
      <c r="CI30" s="57">
        <v>0</v>
      </c>
      <c r="CJ30" s="57">
        <v>0</v>
      </c>
      <c r="CK30" s="57">
        <v>0</v>
      </c>
      <c r="CL30" s="57">
        <v>0</v>
      </c>
      <c r="CM30" s="57">
        <v>0</v>
      </c>
      <c r="CN30" s="57">
        <v>0</v>
      </c>
      <c r="CO30" s="57">
        <v>0</v>
      </c>
      <c r="CP30" s="57">
        <v>0</v>
      </c>
      <c r="CQ30" s="57">
        <v>0</v>
      </c>
      <c r="CR30" s="57">
        <v>0</v>
      </c>
      <c r="CS30" s="57">
        <v>0</v>
      </c>
      <c r="CT30" s="57">
        <v>0</v>
      </c>
      <c r="CU30" s="57">
        <v>0</v>
      </c>
      <c r="CV30" s="57">
        <v>1</v>
      </c>
      <c r="CW30" s="57">
        <v>0</v>
      </c>
      <c r="CX30" s="57">
        <v>0</v>
      </c>
      <c r="CY30" s="57">
        <v>0</v>
      </c>
      <c r="CZ30" s="57">
        <v>0</v>
      </c>
      <c r="DA30" s="57">
        <v>0</v>
      </c>
      <c r="DB30" s="57">
        <v>0</v>
      </c>
      <c r="DC30" s="57">
        <v>0</v>
      </c>
      <c r="DD30" s="57">
        <v>0</v>
      </c>
      <c r="DE30" s="57">
        <v>0</v>
      </c>
      <c r="DF30" s="57">
        <v>0</v>
      </c>
      <c r="DG30" s="137">
        <v>0</v>
      </c>
      <c r="DH30" s="137">
        <v>0</v>
      </c>
      <c r="DI30" s="137">
        <v>0</v>
      </c>
      <c r="DJ30" s="137">
        <v>0</v>
      </c>
      <c r="DK30" s="137">
        <v>0</v>
      </c>
      <c r="DL30" s="137">
        <v>0</v>
      </c>
      <c r="DM30" s="137">
        <v>0</v>
      </c>
      <c r="DN30" s="137">
        <v>0</v>
      </c>
      <c r="DO30" s="137">
        <v>0</v>
      </c>
      <c r="DP30" s="137">
        <v>0</v>
      </c>
      <c r="DQ30" s="137">
        <v>0</v>
      </c>
      <c r="DR30" s="137">
        <v>0</v>
      </c>
      <c r="DS30" s="137">
        <v>0</v>
      </c>
      <c r="DT30" s="137">
        <v>0</v>
      </c>
      <c r="DU30" s="137">
        <v>0</v>
      </c>
      <c r="DV30" s="137">
        <v>0</v>
      </c>
      <c r="DW30" s="137">
        <v>0</v>
      </c>
      <c r="DX30" s="137">
        <v>0</v>
      </c>
      <c r="DY30" s="137">
        <v>0</v>
      </c>
      <c r="DZ30" s="137">
        <v>0</v>
      </c>
      <c r="EA30" s="137">
        <v>0</v>
      </c>
    </row>
    <row r="31" spans="1:131" x14ac:dyDescent="0.35">
      <c r="A31" s="90" t="str">
        <f>VLOOKUP(E31,'Validation List'!F32:G427,2,FALSE)</f>
        <v>January</v>
      </c>
      <c r="B31" s="90" t="str">
        <f>INDEX('NEW HIRE ROSTER'!$G:$G,MATCH(RAW!F31,'NEW HIRE ROSTER'!$A:$A,0))</f>
        <v>RAMP</v>
      </c>
      <c r="C31" s="90" t="str">
        <f>INDEX('NEW HIRE ROSTER'!$F:$F,MATCH(RAW!F31,'NEW HIRE ROSTER'!$A:$A,0))</f>
        <v>Class 10</v>
      </c>
      <c r="D31" s="90" t="str">
        <f>INDEX('Validation List'!$H:$H,MATCH(RAW!E31,'Validation List'!$F:$F,0))</f>
        <v>Jan Week 1</v>
      </c>
      <c r="E31" s="89">
        <v>45666</v>
      </c>
      <c r="F31" s="56" t="s">
        <v>1939</v>
      </c>
      <c r="G31" s="90" t="str">
        <f>VLOOKUP(F31,ML!C31:D617,2,FALSE)</f>
        <v>Jeric Amazona Mansibang</v>
      </c>
      <c r="H31" s="90" t="str">
        <f>VLOOKUP(F31,ML!C33:E619,3,FALSE)</f>
        <v>QC</v>
      </c>
      <c r="I31" s="83" t="s">
        <v>203</v>
      </c>
      <c r="J31" s="56" t="s">
        <v>209</v>
      </c>
      <c r="K31" s="56" t="s">
        <v>155</v>
      </c>
      <c r="L31" s="56" t="s">
        <v>2268</v>
      </c>
      <c r="M31" s="91">
        <v>0.94</v>
      </c>
      <c r="N31" s="57">
        <v>0</v>
      </c>
      <c r="O31" s="57">
        <v>0</v>
      </c>
      <c r="P31" s="57">
        <v>0</v>
      </c>
      <c r="Q31" s="57">
        <v>0</v>
      </c>
      <c r="R31" s="57">
        <v>0</v>
      </c>
      <c r="S31" s="57">
        <v>0</v>
      </c>
      <c r="T31" s="57">
        <v>0</v>
      </c>
      <c r="U31" s="57">
        <v>1</v>
      </c>
      <c r="V31" s="57">
        <v>0</v>
      </c>
      <c r="W31" s="57">
        <v>0</v>
      </c>
      <c r="X31" s="57">
        <v>0</v>
      </c>
      <c r="Y31" s="57">
        <v>0</v>
      </c>
      <c r="Z31" s="57">
        <v>0</v>
      </c>
      <c r="AA31" s="57">
        <v>0</v>
      </c>
      <c r="AB31" s="57">
        <v>0</v>
      </c>
      <c r="AC31" s="57">
        <v>0</v>
      </c>
      <c r="AD31" s="57">
        <v>0</v>
      </c>
      <c r="AE31" s="57">
        <v>0</v>
      </c>
      <c r="AF31" s="57">
        <v>0</v>
      </c>
      <c r="AG31" s="57">
        <v>0</v>
      </c>
      <c r="AH31" s="57">
        <v>0</v>
      </c>
      <c r="AI31" s="57">
        <v>0</v>
      </c>
      <c r="AJ31" s="57">
        <v>0</v>
      </c>
      <c r="AK31" s="57">
        <v>0</v>
      </c>
      <c r="AL31" s="57">
        <v>0</v>
      </c>
      <c r="AM31" s="57">
        <v>0</v>
      </c>
      <c r="AN31" s="57">
        <v>0</v>
      </c>
      <c r="AO31" s="57">
        <v>0</v>
      </c>
      <c r="AP31" s="57">
        <v>0</v>
      </c>
      <c r="AQ31" s="57">
        <v>0</v>
      </c>
      <c r="AR31" s="57">
        <v>0</v>
      </c>
      <c r="AS31" s="57">
        <v>0</v>
      </c>
      <c r="AT31" s="57">
        <v>0</v>
      </c>
      <c r="AU31" s="57">
        <v>0</v>
      </c>
      <c r="AV31" s="57">
        <v>0</v>
      </c>
      <c r="AW31" s="57">
        <v>0</v>
      </c>
      <c r="AX31" s="57">
        <v>0</v>
      </c>
      <c r="AY31" s="57">
        <v>0</v>
      </c>
      <c r="AZ31" s="57">
        <v>0</v>
      </c>
      <c r="BA31" s="57">
        <v>0</v>
      </c>
      <c r="BB31" s="57">
        <v>0</v>
      </c>
      <c r="BC31" s="57">
        <v>0</v>
      </c>
      <c r="BD31" s="57">
        <v>0</v>
      </c>
      <c r="BE31" s="57">
        <v>0</v>
      </c>
      <c r="BF31" s="57">
        <v>0</v>
      </c>
      <c r="BG31" s="57">
        <v>0</v>
      </c>
      <c r="BH31" s="57">
        <v>0</v>
      </c>
      <c r="BI31" s="57">
        <v>0</v>
      </c>
      <c r="BJ31" s="57">
        <v>0</v>
      </c>
      <c r="BK31" s="57">
        <v>0</v>
      </c>
      <c r="BL31" s="57">
        <v>0</v>
      </c>
      <c r="BM31" s="57">
        <v>0</v>
      </c>
      <c r="BN31" s="57">
        <v>0</v>
      </c>
      <c r="BO31" s="57">
        <v>0</v>
      </c>
      <c r="BP31" s="57">
        <v>0</v>
      </c>
      <c r="BQ31" s="57">
        <v>0</v>
      </c>
      <c r="BR31" s="57">
        <v>0</v>
      </c>
      <c r="BS31" s="57">
        <v>0</v>
      </c>
      <c r="BT31" s="57">
        <v>0</v>
      </c>
      <c r="BU31" s="57">
        <v>0</v>
      </c>
      <c r="BV31" s="57">
        <v>0</v>
      </c>
      <c r="BW31" s="57">
        <v>0</v>
      </c>
      <c r="BX31" s="57">
        <v>0</v>
      </c>
      <c r="BY31" s="57">
        <v>0</v>
      </c>
      <c r="BZ31" s="57">
        <v>0</v>
      </c>
      <c r="CA31" s="57">
        <v>0</v>
      </c>
      <c r="CB31" s="57">
        <v>0</v>
      </c>
      <c r="CC31" s="57">
        <v>0</v>
      </c>
      <c r="CD31" s="57">
        <v>0</v>
      </c>
      <c r="CE31" s="57">
        <v>0</v>
      </c>
      <c r="CF31" s="57">
        <v>0</v>
      </c>
      <c r="CG31" s="57">
        <v>0</v>
      </c>
      <c r="CH31" s="57">
        <v>0</v>
      </c>
      <c r="CI31" s="57">
        <v>0</v>
      </c>
      <c r="CJ31" s="57">
        <v>0</v>
      </c>
      <c r="CK31" s="57">
        <v>0</v>
      </c>
      <c r="CL31" s="57">
        <v>0</v>
      </c>
      <c r="CM31" s="57">
        <v>0</v>
      </c>
      <c r="CN31" s="57">
        <v>0</v>
      </c>
      <c r="CO31" s="57">
        <v>0</v>
      </c>
      <c r="CP31" s="57">
        <v>0</v>
      </c>
      <c r="CQ31" s="57">
        <v>0</v>
      </c>
      <c r="CR31" s="57">
        <v>0</v>
      </c>
      <c r="CS31" s="57">
        <v>0</v>
      </c>
      <c r="CT31" s="57">
        <v>0</v>
      </c>
      <c r="CU31" s="57">
        <v>0</v>
      </c>
      <c r="CV31" s="57">
        <v>0</v>
      </c>
      <c r="CW31" s="57">
        <v>0</v>
      </c>
      <c r="CX31" s="57">
        <v>0</v>
      </c>
      <c r="CY31" s="57">
        <v>0</v>
      </c>
      <c r="CZ31" s="57">
        <v>0</v>
      </c>
      <c r="DA31" s="57">
        <v>0</v>
      </c>
      <c r="DB31" s="57">
        <v>0</v>
      </c>
      <c r="DC31" s="57">
        <v>0</v>
      </c>
      <c r="DD31" s="57">
        <v>0</v>
      </c>
      <c r="DE31" s="57">
        <v>0</v>
      </c>
      <c r="DF31" s="57">
        <v>0</v>
      </c>
      <c r="DG31" s="137">
        <v>0</v>
      </c>
      <c r="DH31" s="137">
        <v>0</v>
      </c>
      <c r="DI31" s="137">
        <v>0</v>
      </c>
      <c r="DJ31" s="137">
        <v>0</v>
      </c>
      <c r="DK31" s="137">
        <v>0</v>
      </c>
      <c r="DL31" s="137">
        <v>0</v>
      </c>
      <c r="DM31" s="137">
        <v>0</v>
      </c>
      <c r="DN31" s="137">
        <v>0</v>
      </c>
      <c r="DO31" s="137">
        <v>0</v>
      </c>
      <c r="DP31" s="137">
        <v>0</v>
      </c>
      <c r="DQ31" s="137">
        <v>0</v>
      </c>
      <c r="DR31" s="137">
        <v>0</v>
      </c>
      <c r="DS31" s="137">
        <v>0</v>
      </c>
      <c r="DT31" s="137">
        <v>0</v>
      </c>
      <c r="DU31" s="137">
        <v>0</v>
      </c>
      <c r="DV31" s="137">
        <v>0</v>
      </c>
      <c r="DW31" s="137">
        <v>0</v>
      </c>
      <c r="DX31" s="137">
        <v>0</v>
      </c>
      <c r="DY31" s="137">
        <v>0</v>
      </c>
      <c r="DZ31" s="137">
        <v>0</v>
      </c>
      <c r="EA31" s="137">
        <v>0</v>
      </c>
    </row>
    <row r="32" spans="1:131" x14ac:dyDescent="0.35">
      <c r="A32" s="90" t="str">
        <f>VLOOKUP(E32,'Validation List'!F33:G428,2,FALSE)</f>
        <v>January</v>
      </c>
      <c r="B32" s="90" t="str">
        <f>INDEX('NEW HIRE ROSTER'!$G:$G,MATCH(RAW!F32,'NEW HIRE ROSTER'!$A:$A,0))</f>
        <v>RAMP</v>
      </c>
      <c r="C32" s="90" t="str">
        <f>INDEX('NEW HIRE ROSTER'!$F:$F,MATCH(RAW!F32,'NEW HIRE ROSTER'!$A:$A,0))</f>
        <v>Class 10</v>
      </c>
      <c r="D32" s="90" t="str">
        <f>INDEX('Validation List'!$H:$H,MATCH(RAW!E32,'Validation List'!$F:$F,0))</f>
        <v>Jan Week 1</v>
      </c>
      <c r="E32" s="89">
        <v>45666</v>
      </c>
      <c r="F32" s="56" t="s">
        <v>1909</v>
      </c>
      <c r="G32" s="90" t="str">
        <f>VLOOKUP(F32,ML!C32:D618,2,FALSE)</f>
        <v>Jeric Amazona Mansibang</v>
      </c>
      <c r="H32" s="90" t="str">
        <f>VLOOKUP(F32,ML!C34:E620,3,FALSE)</f>
        <v>QC</v>
      </c>
      <c r="I32" s="83" t="s">
        <v>203</v>
      </c>
      <c r="J32" s="56" t="s">
        <v>209</v>
      </c>
      <c r="K32" s="56" t="s">
        <v>163</v>
      </c>
      <c r="L32" s="56" t="s">
        <v>2269</v>
      </c>
      <c r="M32" s="91">
        <v>1</v>
      </c>
      <c r="N32" s="57">
        <v>0</v>
      </c>
      <c r="O32" s="57">
        <v>0</v>
      </c>
      <c r="P32" s="57">
        <v>0</v>
      </c>
      <c r="Q32" s="57">
        <v>0</v>
      </c>
      <c r="R32" s="57">
        <v>0</v>
      </c>
      <c r="S32" s="57">
        <v>0</v>
      </c>
      <c r="T32" s="57">
        <v>0</v>
      </c>
      <c r="U32" s="57">
        <v>0</v>
      </c>
      <c r="V32" s="57">
        <v>0</v>
      </c>
      <c r="W32" s="57">
        <v>0</v>
      </c>
      <c r="X32" s="57">
        <v>0</v>
      </c>
      <c r="Y32" s="57">
        <v>0</v>
      </c>
      <c r="Z32" s="57">
        <v>0</v>
      </c>
      <c r="AA32" s="57">
        <v>0</v>
      </c>
      <c r="AB32" s="57">
        <v>0</v>
      </c>
      <c r="AC32" s="57">
        <v>0</v>
      </c>
      <c r="AD32" s="57">
        <v>0</v>
      </c>
      <c r="AE32" s="57">
        <v>0</v>
      </c>
      <c r="AF32" s="57">
        <v>0</v>
      </c>
      <c r="AG32" s="57">
        <v>0</v>
      </c>
      <c r="AH32" s="57">
        <v>0</v>
      </c>
      <c r="AI32" s="57">
        <v>0</v>
      </c>
      <c r="AJ32" s="57">
        <v>0</v>
      </c>
      <c r="AK32" s="57">
        <v>0</v>
      </c>
      <c r="AL32" s="57">
        <v>0</v>
      </c>
      <c r="AM32" s="57">
        <v>0</v>
      </c>
      <c r="AN32" s="57">
        <v>0</v>
      </c>
      <c r="AO32" s="57">
        <v>0</v>
      </c>
      <c r="AP32" s="57">
        <v>0</v>
      </c>
      <c r="AQ32" s="57">
        <v>0</v>
      </c>
      <c r="AR32" s="57">
        <v>0</v>
      </c>
      <c r="AS32" s="57">
        <v>0</v>
      </c>
      <c r="AT32" s="57">
        <v>0</v>
      </c>
      <c r="AU32" s="57">
        <v>0</v>
      </c>
      <c r="AV32" s="57">
        <v>0</v>
      </c>
      <c r="AW32" s="57">
        <v>0</v>
      </c>
      <c r="AX32" s="57">
        <v>0</v>
      </c>
      <c r="AY32" s="57">
        <v>0</v>
      </c>
      <c r="AZ32" s="57">
        <v>0</v>
      </c>
      <c r="BA32" s="57">
        <v>0</v>
      </c>
      <c r="BB32" s="57">
        <v>0</v>
      </c>
      <c r="BC32" s="57">
        <v>0</v>
      </c>
      <c r="BD32" s="57">
        <v>0</v>
      </c>
      <c r="BE32" s="57">
        <v>0</v>
      </c>
      <c r="BF32" s="57">
        <v>0</v>
      </c>
      <c r="BG32" s="57">
        <v>0</v>
      </c>
      <c r="BH32" s="57">
        <v>0</v>
      </c>
      <c r="BI32" s="57">
        <v>0</v>
      </c>
      <c r="BJ32" s="57">
        <v>0</v>
      </c>
      <c r="BK32" s="57">
        <v>0</v>
      </c>
      <c r="BL32" s="57">
        <v>0</v>
      </c>
      <c r="BM32" s="57">
        <v>0</v>
      </c>
      <c r="BN32" s="57">
        <v>0</v>
      </c>
      <c r="BO32" s="57">
        <v>0</v>
      </c>
      <c r="BP32" s="57">
        <v>0</v>
      </c>
      <c r="BQ32" s="57">
        <v>0</v>
      </c>
      <c r="BR32" s="57">
        <v>0</v>
      </c>
      <c r="BS32" s="57">
        <v>0</v>
      </c>
      <c r="BT32" s="57">
        <v>0</v>
      </c>
      <c r="BU32" s="57">
        <v>0</v>
      </c>
      <c r="BV32" s="57">
        <v>0</v>
      </c>
      <c r="BW32" s="57">
        <v>0</v>
      </c>
      <c r="BX32" s="57">
        <v>0</v>
      </c>
      <c r="BY32" s="57">
        <v>0</v>
      </c>
      <c r="BZ32" s="57">
        <v>0</v>
      </c>
      <c r="CA32" s="57">
        <v>0</v>
      </c>
      <c r="CB32" s="57">
        <v>0</v>
      </c>
      <c r="CC32" s="57">
        <v>0</v>
      </c>
      <c r="CD32" s="57">
        <v>0</v>
      </c>
      <c r="CE32" s="57">
        <v>0</v>
      </c>
      <c r="CF32" s="57">
        <v>0</v>
      </c>
      <c r="CG32" s="57">
        <v>0</v>
      </c>
      <c r="CH32" s="57">
        <v>0</v>
      </c>
      <c r="CI32" s="57">
        <v>0</v>
      </c>
      <c r="CJ32" s="57">
        <v>0</v>
      </c>
      <c r="CK32" s="57">
        <v>0</v>
      </c>
      <c r="CL32" s="57">
        <v>0</v>
      </c>
      <c r="CM32" s="57">
        <v>0</v>
      </c>
      <c r="CN32" s="57">
        <v>0</v>
      </c>
      <c r="CO32" s="57">
        <v>0</v>
      </c>
      <c r="CP32" s="57">
        <v>0</v>
      </c>
      <c r="CQ32" s="57">
        <v>0</v>
      </c>
      <c r="CR32" s="57">
        <v>0</v>
      </c>
      <c r="CS32" s="57">
        <v>0</v>
      </c>
      <c r="CT32" s="57">
        <v>0</v>
      </c>
      <c r="CU32" s="57">
        <v>0</v>
      </c>
      <c r="CV32" s="57">
        <v>0</v>
      </c>
      <c r="CW32" s="57">
        <v>0</v>
      </c>
      <c r="CX32" s="57">
        <v>0</v>
      </c>
      <c r="CY32" s="57">
        <v>0</v>
      </c>
      <c r="CZ32" s="57">
        <v>0</v>
      </c>
      <c r="DA32" s="57">
        <v>0</v>
      </c>
      <c r="DB32" s="57">
        <v>0</v>
      </c>
      <c r="DC32" s="57">
        <v>0</v>
      </c>
      <c r="DD32" s="57">
        <v>0</v>
      </c>
      <c r="DE32" s="57">
        <v>0</v>
      </c>
      <c r="DF32" s="57">
        <v>0</v>
      </c>
      <c r="DG32" s="137">
        <v>0</v>
      </c>
      <c r="DH32" s="137">
        <v>0</v>
      </c>
      <c r="DI32" s="137">
        <v>0</v>
      </c>
      <c r="DJ32" s="137">
        <v>0</v>
      </c>
      <c r="DK32" s="137">
        <v>0</v>
      </c>
      <c r="DL32" s="137">
        <v>0</v>
      </c>
      <c r="DM32" s="137">
        <v>0</v>
      </c>
      <c r="DN32" s="137">
        <v>0</v>
      </c>
      <c r="DO32" s="137">
        <v>0</v>
      </c>
      <c r="DP32" s="137">
        <v>0</v>
      </c>
      <c r="DQ32" s="137">
        <v>0</v>
      </c>
      <c r="DR32" s="137">
        <v>0</v>
      </c>
      <c r="DS32" s="137">
        <v>0</v>
      </c>
      <c r="DT32" s="137">
        <v>0</v>
      </c>
      <c r="DU32" s="137">
        <v>0</v>
      </c>
      <c r="DV32" s="137">
        <v>0</v>
      </c>
      <c r="DW32" s="137">
        <v>0</v>
      </c>
      <c r="DX32" s="137">
        <v>0</v>
      </c>
      <c r="DY32" s="137">
        <v>0</v>
      </c>
      <c r="DZ32" s="137">
        <v>0</v>
      </c>
      <c r="EA32" s="137">
        <v>0</v>
      </c>
    </row>
    <row r="33" spans="1:131" x14ac:dyDescent="0.35">
      <c r="A33" s="90" t="str">
        <f>VLOOKUP(E33,'Validation List'!F34:G429,2,FALSE)</f>
        <v>January</v>
      </c>
      <c r="B33" s="90" t="str">
        <f>INDEX('NEW HIRE ROSTER'!$G:$G,MATCH(RAW!F33,'NEW HIRE ROSTER'!$A:$A,0))</f>
        <v>RAMP</v>
      </c>
      <c r="C33" s="90" t="str">
        <f>INDEX('NEW HIRE ROSTER'!$F:$F,MATCH(RAW!F33,'NEW HIRE ROSTER'!$A:$A,0))</f>
        <v>Class 10</v>
      </c>
      <c r="D33" s="90" t="str">
        <f>INDEX('Validation List'!$H:$H,MATCH(RAW!E33,'Validation List'!$F:$F,0))</f>
        <v>Jan Week 1</v>
      </c>
      <c r="E33" s="89">
        <v>45666</v>
      </c>
      <c r="F33" s="56" t="s">
        <v>1930</v>
      </c>
      <c r="G33" s="90" t="str">
        <f>VLOOKUP(F33,ML!C33:D619,2,FALSE)</f>
        <v>Jeric Amazona Mansibang</v>
      </c>
      <c r="H33" s="90" t="str">
        <f>VLOOKUP(F33,ML!C35:E621,3,FALSE)</f>
        <v>QC</v>
      </c>
      <c r="I33" s="83" t="s">
        <v>203</v>
      </c>
      <c r="J33" s="56" t="s">
        <v>209</v>
      </c>
      <c r="K33" s="56" t="s">
        <v>163</v>
      </c>
      <c r="L33" s="56" t="s">
        <v>2270</v>
      </c>
      <c r="M33" s="91">
        <v>1</v>
      </c>
      <c r="N33" s="57">
        <v>0</v>
      </c>
      <c r="O33" s="57">
        <v>0</v>
      </c>
      <c r="P33" s="57">
        <v>0</v>
      </c>
      <c r="Q33" s="57">
        <v>0</v>
      </c>
      <c r="R33" s="57">
        <v>0</v>
      </c>
      <c r="S33" s="57">
        <v>0</v>
      </c>
      <c r="T33" s="57">
        <v>0</v>
      </c>
      <c r="U33" s="57">
        <v>0</v>
      </c>
      <c r="V33" s="57">
        <v>0</v>
      </c>
      <c r="W33" s="57">
        <v>0</v>
      </c>
      <c r="X33" s="57">
        <v>0</v>
      </c>
      <c r="Y33" s="57">
        <v>0</v>
      </c>
      <c r="Z33" s="57">
        <v>0</v>
      </c>
      <c r="AA33" s="57">
        <v>0</v>
      </c>
      <c r="AB33" s="57">
        <v>0</v>
      </c>
      <c r="AC33" s="57">
        <v>0</v>
      </c>
      <c r="AD33" s="57">
        <v>0</v>
      </c>
      <c r="AE33" s="57">
        <v>0</v>
      </c>
      <c r="AF33" s="57">
        <v>0</v>
      </c>
      <c r="AG33" s="57">
        <v>0</v>
      </c>
      <c r="AH33" s="57">
        <v>0</v>
      </c>
      <c r="AI33" s="57">
        <v>0</v>
      </c>
      <c r="AJ33" s="57">
        <v>0</v>
      </c>
      <c r="AK33" s="57">
        <v>0</v>
      </c>
      <c r="AL33" s="57">
        <v>0</v>
      </c>
      <c r="AM33" s="57">
        <v>0</v>
      </c>
      <c r="AN33" s="57">
        <v>0</v>
      </c>
      <c r="AO33" s="57">
        <v>0</v>
      </c>
      <c r="AP33" s="57">
        <v>0</v>
      </c>
      <c r="AQ33" s="57">
        <v>0</v>
      </c>
      <c r="AR33" s="57">
        <v>0</v>
      </c>
      <c r="AS33" s="57">
        <v>0</v>
      </c>
      <c r="AT33" s="57">
        <v>0</v>
      </c>
      <c r="AU33" s="57">
        <v>0</v>
      </c>
      <c r="AV33" s="57">
        <v>0</v>
      </c>
      <c r="AW33" s="57">
        <v>0</v>
      </c>
      <c r="AX33" s="57">
        <v>0</v>
      </c>
      <c r="AY33" s="57">
        <v>0</v>
      </c>
      <c r="AZ33" s="57">
        <v>0</v>
      </c>
      <c r="BA33" s="57">
        <v>0</v>
      </c>
      <c r="BB33" s="57">
        <v>0</v>
      </c>
      <c r="BC33" s="57">
        <v>0</v>
      </c>
      <c r="BD33" s="57">
        <v>0</v>
      </c>
      <c r="BE33" s="57">
        <v>0</v>
      </c>
      <c r="BF33" s="57">
        <v>0</v>
      </c>
      <c r="BG33" s="57">
        <v>0</v>
      </c>
      <c r="BH33" s="57">
        <v>0</v>
      </c>
      <c r="BI33" s="57">
        <v>0</v>
      </c>
      <c r="BJ33" s="57">
        <v>0</v>
      </c>
      <c r="BK33" s="57">
        <v>0</v>
      </c>
      <c r="BL33" s="57">
        <v>0</v>
      </c>
      <c r="BM33" s="57">
        <v>0</v>
      </c>
      <c r="BN33" s="57">
        <v>0</v>
      </c>
      <c r="BO33" s="57">
        <v>0</v>
      </c>
      <c r="BP33" s="57">
        <v>0</v>
      </c>
      <c r="BQ33" s="57">
        <v>0</v>
      </c>
      <c r="BR33" s="57">
        <v>0</v>
      </c>
      <c r="BS33" s="57">
        <v>0</v>
      </c>
      <c r="BT33" s="57">
        <v>0</v>
      </c>
      <c r="BU33" s="57">
        <v>0</v>
      </c>
      <c r="BV33" s="57">
        <v>0</v>
      </c>
      <c r="BW33" s="57">
        <v>0</v>
      </c>
      <c r="BX33" s="57">
        <v>0</v>
      </c>
      <c r="BY33" s="57">
        <v>0</v>
      </c>
      <c r="BZ33" s="57">
        <v>0</v>
      </c>
      <c r="CA33" s="57">
        <v>0</v>
      </c>
      <c r="CB33" s="57">
        <v>0</v>
      </c>
      <c r="CC33" s="57">
        <v>0</v>
      </c>
      <c r="CD33" s="57">
        <v>0</v>
      </c>
      <c r="CE33" s="57">
        <v>0</v>
      </c>
      <c r="CF33" s="57">
        <v>0</v>
      </c>
      <c r="CG33" s="57">
        <v>0</v>
      </c>
      <c r="CH33" s="57">
        <v>0</v>
      </c>
      <c r="CI33" s="57">
        <v>0</v>
      </c>
      <c r="CJ33" s="57">
        <v>0</v>
      </c>
      <c r="CK33" s="57">
        <v>0</v>
      </c>
      <c r="CL33" s="57">
        <v>0</v>
      </c>
      <c r="CM33" s="57">
        <v>0</v>
      </c>
      <c r="CN33" s="57">
        <v>0</v>
      </c>
      <c r="CO33" s="57">
        <v>0</v>
      </c>
      <c r="CP33" s="57">
        <v>0</v>
      </c>
      <c r="CQ33" s="57">
        <v>0</v>
      </c>
      <c r="CR33" s="57">
        <v>0</v>
      </c>
      <c r="CS33" s="57">
        <v>0</v>
      </c>
      <c r="CT33" s="57">
        <v>0</v>
      </c>
      <c r="CU33" s="57">
        <v>0</v>
      </c>
      <c r="CV33" s="57">
        <v>0</v>
      </c>
      <c r="CW33" s="57">
        <v>0</v>
      </c>
      <c r="CX33" s="57">
        <v>0</v>
      </c>
      <c r="CY33" s="57">
        <v>0</v>
      </c>
      <c r="CZ33" s="57">
        <v>0</v>
      </c>
      <c r="DA33" s="57">
        <v>0</v>
      </c>
      <c r="DB33" s="57">
        <v>0</v>
      </c>
      <c r="DC33" s="57">
        <v>0</v>
      </c>
      <c r="DD33" s="57">
        <v>0</v>
      </c>
      <c r="DE33" s="57">
        <v>0</v>
      </c>
      <c r="DF33" s="57">
        <v>0</v>
      </c>
      <c r="DG33" s="137">
        <v>0</v>
      </c>
      <c r="DH33" s="137">
        <v>0</v>
      </c>
      <c r="DI33" s="137">
        <v>0</v>
      </c>
      <c r="DJ33" s="137">
        <v>0</v>
      </c>
      <c r="DK33" s="137">
        <v>0</v>
      </c>
      <c r="DL33" s="137">
        <v>0</v>
      </c>
      <c r="DM33" s="137">
        <v>0</v>
      </c>
      <c r="DN33" s="137">
        <v>0</v>
      </c>
      <c r="DO33" s="137">
        <v>0</v>
      </c>
      <c r="DP33" s="137">
        <v>0</v>
      </c>
      <c r="DQ33" s="137">
        <v>0</v>
      </c>
      <c r="DR33" s="137">
        <v>0</v>
      </c>
      <c r="DS33" s="137">
        <v>0</v>
      </c>
      <c r="DT33" s="137">
        <v>0</v>
      </c>
      <c r="DU33" s="137">
        <v>0</v>
      </c>
      <c r="DV33" s="137">
        <v>0</v>
      </c>
      <c r="DW33" s="137">
        <v>0</v>
      </c>
      <c r="DX33" s="137">
        <v>0</v>
      </c>
      <c r="DY33" s="137">
        <v>0</v>
      </c>
      <c r="DZ33" s="137">
        <v>0</v>
      </c>
      <c r="EA33" s="137">
        <v>0</v>
      </c>
    </row>
    <row r="34" spans="1:131" x14ac:dyDescent="0.35">
      <c r="A34" s="90" t="str">
        <f>VLOOKUP(E34,'Validation List'!F35:G430,2,FALSE)</f>
        <v>January</v>
      </c>
      <c r="B34" s="90" t="str">
        <f>INDEX('NEW HIRE ROSTER'!$G:$G,MATCH(RAW!F34,'NEW HIRE ROSTER'!$A:$A,0))</f>
        <v>Nesting</v>
      </c>
      <c r="C34" s="90" t="str">
        <f>INDEX('NEW HIRE ROSTER'!$F:$F,MATCH(RAW!F34,'NEW HIRE ROSTER'!$A:$A,0))</f>
        <v>Class 11.2</v>
      </c>
      <c r="D34" s="90" t="str">
        <f>INDEX('Validation List'!$H:$H,MATCH(RAW!E34,'Validation List'!$F:$F,0))</f>
        <v>Jan Week 2</v>
      </c>
      <c r="E34" s="89">
        <v>45670</v>
      </c>
      <c r="F34" s="56" t="s">
        <v>2047</v>
      </c>
      <c r="G34" s="90" t="str">
        <f>VLOOKUP(F34,ML!C34:D620,2,FALSE)</f>
        <v>Khyno Elimanco Cortez</v>
      </c>
      <c r="H34" s="90" t="str">
        <f>VLOOKUP(F34,ML!C36:E622,3,FALSE)</f>
        <v>QC</v>
      </c>
      <c r="I34" s="83" t="s">
        <v>199</v>
      </c>
      <c r="J34" s="56" t="s">
        <v>209</v>
      </c>
      <c r="K34" s="56" t="s">
        <v>144</v>
      </c>
      <c r="L34" s="56" t="s">
        <v>2271</v>
      </c>
      <c r="M34" s="91">
        <v>0.98</v>
      </c>
      <c r="N34" s="57">
        <v>0</v>
      </c>
      <c r="O34" s="57">
        <v>0</v>
      </c>
      <c r="P34" s="57">
        <v>0</v>
      </c>
      <c r="Q34" s="57">
        <v>0</v>
      </c>
      <c r="R34" s="57">
        <v>0</v>
      </c>
      <c r="S34" s="57">
        <v>0</v>
      </c>
      <c r="T34" s="57">
        <v>0</v>
      </c>
      <c r="U34" s="57">
        <v>0</v>
      </c>
      <c r="V34" s="57">
        <v>0</v>
      </c>
      <c r="W34" s="57">
        <v>0</v>
      </c>
      <c r="X34" s="57">
        <v>0</v>
      </c>
      <c r="Y34" s="57">
        <v>0</v>
      </c>
      <c r="Z34" s="57">
        <v>0</v>
      </c>
      <c r="AA34" s="57">
        <v>0</v>
      </c>
      <c r="AB34" s="57">
        <v>0</v>
      </c>
      <c r="AC34" s="57">
        <v>0</v>
      </c>
      <c r="AD34" s="57">
        <v>0</v>
      </c>
      <c r="AE34" s="57">
        <v>0</v>
      </c>
      <c r="AF34" s="57">
        <v>0</v>
      </c>
      <c r="AG34" s="57">
        <v>0</v>
      </c>
      <c r="AH34" s="57">
        <v>0</v>
      </c>
      <c r="AI34" s="57">
        <v>0</v>
      </c>
      <c r="AJ34" s="57">
        <v>0</v>
      </c>
      <c r="AK34" s="57">
        <v>0</v>
      </c>
      <c r="AL34" s="57">
        <v>0</v>
      </c>
      <c r="AM34" s="57">
        <v>0</v>
      </c>
      <c r="AN34" s="57">
        <v>0</v>
      </c>
      <c r="AO34" s="57">
        <v>0</v>
      </c>
      <c r="AP34" s="57">
        <v>0</v>
      </c>
      <c r="AQ34" s="57">
        <v>0</v>
      </c>
      <c r="AR34" s="57">
        <v>0</v>
      </c>
      <c r="AS34" s="57">
        <v>0</v>
      </c>
      <c r="AT34" s="57">
        <v>0</v>
      </c>
      <c r="AU34" s="57">
        <v>0</v>
      </c>
      <c r="AV34" s="57">
        <v>0</v>
      </c>
      <c r="AW34" s="57">
        <v>0</v>
      </c>
      <c r="AX34" s="57">
        <v>0</v>
      </c>
      <c r="AY34" s="57">
        <v>0</v>
      </c>
      <c r="AZ34" s="57">
        <v>0</v>
      </c>
      <c r="BA34" s="57">
        <v>0</v>
      </c>
      <c r="BB34" s="57">
        <v>0</v>
      </c>
      <c r="BC34" s="57">
        <v>0</v>
      </c>
      <c r="BD34" s="57">
        <v>0</v>
      </c>
      <c r="BE34" s="57">
        <v>0</v>
      </c>
      <c r="BF34" s="57">
        <v>0</v>
      </c>
      <c r="BG34" s="57">
        <v>0</v>
      </c>
      <c r="BH34" s="57">
        <v>0</v>
      </c>
      <c r="BI34" s="57">
        <v>0</v>
      </c>
      <c r="BJ34" s="57">
        <v>0</v>
      </c>
      <c r="BK34" s="57">
        <v>0</v>
      </c>
      <c r="BL34" s="57">
        <v>0</v>
      </c>
      <c r="BM34" s="57">
        <v>0</v>
      </c>
      <c r="BN34" s="57">
        <v>0</v>
      </c>
      <c r="BO34" s="57">
        <v>0</v>
      </c>
      <c r="BP34" s="57">
        <v>0</v>
      </c>
      <c r="BQ34" s="57">
        <v>0</v>
      </c>
      <c r="BR34" s="57">
        <v>0</v>
      </c>
      <c r="BS34" s="57">
        <v>0</v>
      </c>
      <c r="BT34" s="57">
        <v>0</v>
      </c>
      <c r="BU34" s="57">
        <v>0</v>
      </c>
      <c r="BV34" s="57">
        <v>0</v>
      </c>
      <c r="BW34" s="57">
        <v>0</v>
      </c>
      <c r="BX34" s="57">
        <v>0</v>
      </c>
      <c r="BY34" s="57">
        <v>0</v>
      </c>
      <c r="BZ34" s="57">
        <v>0</v>
      </c>
      <c r="CA34" s="57">
        <v>0</v>
      </c>
      <c r="CB34" s="57">
        <v>0</v>
      </c>
      <c r="CC34" s="57">
        <v>0</v>
      </c>
      <c r="CD34" s="57">
        <v>0</v>
      </c>
      <c r="CE34" s="57">
        <v>0</v>
      </c>
      <c r="CF34" s="57">
        <v>0</v>
      </c>
      <c r="CG34" s="57">
        <v>0</v>
      </c>
      <c r="CH34" s="57">
        <v>0</v>
      </c>
      <c r="CI34" s="57">
        <v>0</v>
      </c>
      <c r="CJ34" s="57">
        <v>0</v>
      </c>
      <c r="CK34" s="57">
        <v>0</v>
      </c>
      <c r="CL34" s="57">
        <v>0</v>
      </c>
      <c r="CM34" s="57">
        <v>0</v>
      </c>
      <c r="CN34" s="57">
        <v>0</v>
      </c>
      <c r="CO34" s="57">
        <v>0</v>
      </c>
      <c r="CP34" s="57">
        <v>0</v>
      </c>
      <c r="CQ34" s="57">
        <v>0</v>
      </c>
      <c r="CR34" s="57">
        <v>0</v>
      </c>
      <c r="CS34" s="57">
        <v>0</v>
      </c>
      <c r="CT34" s="57">
        <v>0</v>
      </c>
      <c r="CU34" s="57">
        <v>1</v>
      </c>
      <c r="CV34" s="57">
        <v>0</v>
      </c>
      <c r="CW34" s="57">
        <v>0</v>
      </c>
      <c r="CX34" s="57">
        <v>0</v>
      </c>
      <c r="CY34" s="57">
        <v>0</v>
      </c>
      <c r="CZ34" s="57">
        <v>0</v>
      </c>
      <c r="DA34" s="57">
        <v>0</v>
      </c>
      <c r="DB34" s="57">
        <v>0</v>
      </c>
      <c r="DC34" s="57">
        <v>0</v>
      </c>
      <c r="DD34" s="57">
        <v>0</v>
      </c>
      <c r="DE34" s="57">
        <v>0</v>
      </c>
      <c r="DF34" s="57">
        <v>0</v>
      </c>
      <c r="DG34" s="137">
        <v>0</v>
      </c>
      <c r="DH34" s="137">
        <v>0</v>
      </c>
      <c r="DI34" s="137">
        <v>0</v>
      </c>
      <c r="DJ34" s="137">
        <v>0</v>
      </c>
      <c r="DK34" s="137">
        <v>0</v>
      </c>
      <c r="DL34" s="137">
        <v>0</v>
      </c>
      <c r="DM34" s="137">
        <v>0</v>
      </c>
      <c r="DN34" s="137">
        <v>0</v>
      </c>
      <c r="DO34" s="137">
        <v>0</v>
      </c>
      <c r="DP34" s="137">
        <v>0</v>
      </c>
      <c r="DQ34" s="137">
        <v>0</v>
      </c>
      <c r="DR34" s="137">
        <v>0</v>
      </c>
      <c r="DS34" s="137">
        <v>0</v>
      </c>
      <c r="DT34" s="137">
        <v>0</v>
      </c>
      <c r="DU34" s="137">
        <v>0</v>
      </c>
      <c r="DV34" s="137">
        <v>1</v>
      </c>
      <c r="DW34" s="137">
        <v>0</v>
      </c>
      <c r="DX34" s="137">
        <v>0</v>
      </c>
      <c r="DY34" s="137">
        <v>0</v>
      </c>
      <c r="DZ34" s="137">
        <v>0</v>
      </c>
      <c r="EA34" s="137">
        <v>0</v>
      </c>
    </row>
    <row r="35" spans="1:131" x14ac:dyDescent="0.35">
      <c r="A35" s="90" t="str">
        <f>VLOOKUP(E35,'Validation List'!F36:G431,2,FALSE)</f>
        <v>January</v>
      </c>
      <c r="B35" s="90" t="str">
        <f>INDEX('NEW HIRE ROSTER'!$G:$G,MATCH(RAW!F35,'NEW HIRE ROSTER'!$A:$A,0))</f>
        <v>Nesting</v>
      </c>
      <c r="C35" s="90" t="str">
        <f>INDEX('NEW HIRE ROSTER'!$F:$F,MATCH(RAW!F35,'NEW HIRE ROSTER'!$A:$A,0))</f>
        <v>Class 11.2</v>
      </c>
      <c r="D35" s="90" t="str">
        <f>INDEX('Validation List'!$H:$H,MATCH(RAW!E35,'Validation List'!$F:$F,0))</f>
        <v>Jan Week 2</v>
      </c>
      <c r="E35" s="89">
        <v>45670</v>
      </c>
      <c r="F35" s="56" t="s">
        <v>2044</v>
      </c>
      <c r="G35" s="90" t="str">
        <f>VLOOKUP(F35,ML!C35:D621,2,FALSE)</f>
        <v>Khyno Elimanco Cortez</v>
      </c>
      <c r="H35" s="90" t="str">
        <f>VLOOKUP(F35,ML!C37:E623,3,FALSE)</f>
        <v>QC</v>
      </c>
      <c r="I35" s="83" t="s">
        <v>199</v>
      </c>
      <c r="J35" s="56" t="s">
        <v>209</v>
      </c>
      <c r="K35" s="56" t="s">
        <v>163</v>
      </c>
      <c r="L35" s="56" t="s">
        <v>2272</v>
      </c>
      <c r="M35" s="91">
        <v>1</v>
      </c>
      <c r="N35" s="57">
        <v>0</v>
      </c>
      <c r="O35" s="57">
        <v>0</v>
      </c>
      <c r="P35" s="57">
        <v>0</v>
      </c>
      <c r="Q35" s="57">
        <v>0</v>
      </c>
      <c r="R35" s="57">
        <v>0</v>
      </c>
      <c r="S35" s="57">
        <v>0</v>
      </c>
      <c r="T35" s="57">
        <v>0</v>
      </c>
      <c r="U35" s="57">
        <v>0</v>
      </c>
      <c r="V35" s="57">
        <v>0</v>
      </c>
      <c r="W35" s="57">
        <v>0</v>
      </c>
      <c r="X35" s="57">
        <v>0</v>
      </c>
      <c r="Y35" s="57">
        <v>0</v>
      </c>
      <c r="Z35" s="57">
        <v>0</v>
      </c>
      <c r="AA35" s="57">
        <v>0</v>
      </c>
      <c r="AB35" s="57">
        <v>0</v>
      </c>
      <c r="AC35" s="57">
        <v>0</v>
      </c>
      <c r="AD35" s="57">
        <v>0</v>
      </c>
      <c r="AE35" s="57">
        <v>0</v>
      </c>
      <c r="AF35" s="57">
        <v>0</v>
      </c>
      <c r="AG35" s="57">
        <v>0</v>
      </c>
      <c r="AH35" s="57">
        <v>0</v>
      </c>
      <c r="AI35" s="57">
        <v>0</v>
      </c>
      <c r="AJ35" s="57">
        <v>0</v>
      </c>
      <c r="AK35" s="57">
        <v>0</v>
      </c>
      <c r="AL35" s="57">
        <v>0</v>
      </c>
      <c r="AM35" s="57">
        <v>0</v>
      </c>
      <c r="AN35" s="57">
        <v>0</v>
      </c>
      <c r="AO35" s="57">
        <v>0</v>
      </c>
      <c r="AP35" s="57">
        <v>0</v>
      </c>
      <c r="AQ35" s="57">
        <v>0</v>
      </c>
      <c r="AR35" s="57">
        <v>0</v>
      </c>
      <c r="AS35" s="57">
        <v>0</v>
      </c>
      <c r="AT35" s="57">
        <v>0</v>
      </c>
      <c r="AU35" s="57">
        <v>0</v>
      </c>
      <c r="AV35" s="57">
        <v>0</v>
      </c>
      <c r="AW35" s="57">
        <v>0</v>
      </c>
      <c r="AX35" s="57">
        <v>0</v>
      </c>
      <c r="AY35" s="57">
        <v>0</v>
      </c>
      <c r="AZ35" s="57">
        <v>0</v>
      </c>
      <c r="BA35" s="57">
        <v>0</v>
      </c>
      <c r="BB35" s="57">
        <v>0</v>
      </c>
      <c r="BC35" s="57">
        <v>0</v>
      </c>
      <c r="BD35" s="57">
        <v>0</v>
      </c>
      <c r="BE35" s="57">
        <v>0</v>
      </c>
      <c r="BF35" s="57">
        <v>0</v>
      </c>
      <c r="BG35" s="57">
        <v>0</v>
      </c>
      <c r="BH35" s="57">
        <v>0</v>
      </c>
      <c r="BI35" s="57">
        <v>0</v>
      </c>
      <c r="BJ35" s="57">
        <v>0</v>
      </c>
      <c r="BK35" s="57">
        <v>0</v>
      </c>
      <c r="BL35" s="57">
        <v>0</v>
      </c>
      <c r="BM35" s="57">
        <v>0</v>
      </c>
      <c r="BN35" s="57">
        <v>0</v>
      </c>
      <c r="BO35" s="57">
        <v>0</v>
      </c>
      <c r="BP35" s="57">
        <v>0</v>
      </c>
      <c r="BQ35" s="57">
        <v>0</v>
      </c>
      <c r="BR35" s="57">
        <v>0</v>
      </c>
      <c r="BS35" s="57">
        <v>0</v>
      </c>
      <c r="BT35" s="57">
        <v>0</v>
      </c>
      <c r="BU35" s="57">
        <v>0</v>
      </c>
      <c r="BV35" s="57">
        <v>0</v>
      </c>
      <c r="BW35" s="57">
        <v>0</v>
      </c>
      <c r="BX35" s="57">
        <v>0</v>
      </c>
      <c r="BY35" s="57">
        <v>0</v>
      </c>
      <c r="BZ35" s="57">
        <v>0</v>
      </c>
      <c r="CA35" s="57">
        <v>0</v>
      </c>
      <c r="CB35" s="57">
        <v>0</v>
      </c>
      <c r="CC35" s="57">
        <v>0</v>
      </c>
      <c r="CD35" s="57">
        <v>0</v>
      </c>
      <c r="CE35" s="57">
        <v>0</v>
      </c>
      <c r="CF35" s="57">
        <v>0</v>
      </c>
      <c r="CG35" s="57">
        <v>0</v>
      </c>
      <c r="CH35" s="57">
        <v>0</v>
      </c>
      <c r="CI35" s="57">
        <v>0</v>
      </c>
      <c r="CJ35" s="57">
        <v>0</v>
      </c>
      <c r="CK35" s="57">
        <v>0</v>
      </c>
      <c r="CL35" s="57">
        <v>0</v>
      </c>
      <c r="CM35" s="57">
        <v>0</v>
      </c>
      <c r="CN35" s="57">
        <v>0</v>
      </c>
      <c r="CO35" s="57">
        <v>0</v>
      </c>
      <c r="CP35" s="57">
        <v>0</v>
      </c>
      <c r="CQ35" s="57">
        <v>0</v>
      </c>
      <c r="CR35" s="57">
        <v>0</v>
      </c>
      <c r="CS35" s="57">
        <v>0</v>
      </c>
      <c r="CT35" s="57">
        <v>0</v>
      </c>
      <c r="CU35" s="57">
        <v>0</v>
      </c>
      <c r="CV35" s="57">
        <v>0</v>
      </c>
      <c r="CW35" s="57">
        <v>0</v>
      </c>
      <c r="CX35" s="57">
        <v>0</v>
      </c>
      <c r="CY35" s="57">
        <v>0</v>
      </c>
      <c r="CZ35" s="57">
        <v>0</v>
      </c>
      <c r="DA35" s="57">
        <v>0</v>
      </c>
      <c r="DB35" s="57">
        <v>0</v>
      </c>
      <c r="DC35" s="57">
        <v>0</v>
      </c>
      <c r="DD35" s="57">
        <v>0</v>
      </c>
      <c r="DE35" s="57">
        <v>0</v>
      </c>
      <c r="DF35" s="57">
        <v>0</v>
      </c>
      <c r="DG35" s="137">
        <v>0</v>
      </c>
      <c r="DH35" s="137">
        <v>0</v>
      </c>
      <c r="DI35" s="137">
        <v>0</v>
      </c>
      <c r="DJ35" s="137">
        <v>0</v>
      </c>
      <c r="DK35" s="137">
        <v>0</v>
      </c>
      <c r="DL35" s="137">
        <v>0</v>
      </c>
      <c r="DM35" s="137">
        <v>0</v>
      </c>
      <c r="DN35" s="137">
        <v>0</v>
      </c>
      <c r="DO35" s="137">
        <v>0</v>
      </c>
      <c r="DP35" s="137">
        <v>0</v>
      </c>
      <c r="DQ35" s="137">
        <v>0</v>
      </c>
      <c r="DR35" s="137">
        <v>0</v>
      </c>
      <c r="DS35" s="137">
        <v>0</v>
      </c>
      <c r="DT35" s="137">
        <v>0</v>
      </c>
      <c r="DU35" s="137">
        <v>0</v>
      </c>
      <c r="DV35" s="137">
        <v>0</v>
      </c>
      <c r="DW35" s="137">
        <v>0</v>
      </c>
      <c r="DX35" s="137">
        <v>0</v>
      </c>
      <c r="DY35" s="137">
        <v>0</v>
      </c>
      <c r="DZ35" s="137">
        <v>0</v>
      </c>
      <c r="EA35" s="137">
        <v>0</v>
      </c>
    </row>
    <row r="36" spans="1:131" x14ac:dyDescent="0.35">
      <c r="A36" s="90" t="str">
        <f>VLOOKUP(E36,'Validation List'!F37:G432,2,FALSE)</f>
        <v>January</v>
      </c>
      <c r="B36" s="90" t="str">
        <f>INDEX('NEW HIRE ROSTER'!$G:$G,MATCH(RAW!F36,'NEW HIRE ROSTER'!$A:$A,0))</f>
        <v>RAMP</v>
      </c>
      <c r="C36" s="90" t="str">
        <f>INDEX('NEW HIRE ROSTER'!$F:$F,MATCH(RAW!F36,'NEW HIRE ROSTER'!$A:$A,0))</f>
        <v>Class 10</v>
      </c>
      <c r="D36" s="90" t="str">
        <f>INDEX('Validation List'!$H:$H,MATCH(RAW!E36,'Validation List'!$F:$F,0))</f>
        <v>Jan Week 2</v>
      </c>
      <c r="E36" s="89">
        <v>45670</v>
      </c>
      <c r="F36" s="56" t="s">
        <v>1930</v>
      </c>
      <c r="G36" s="90" t="str">
        <f>VLOOKUP(F36,ML!C36:D622,2,FALSE)</f>
        <v>Jeric Amazona Mansibang</v>
      </c>
      <c r="H36" s="90" t="str">
        <f>VLOOKUP(F36,ML!C38:E624,3,FALSE)</f>
        <v>QC</v>
      </c>
      <c r="I36" s="83" t="s">
        <v>203</v>
      </c>
      <c r="J36" s="56" t="s">
        <v>209</v>
      </c>
      <c r="K36" s="56" t="s">
        <v>155</v>
      </c>
      <c r="L36" s="56" t="s">
        <v>2273</v>
      </c>
      <c r="M36" s="91">
        <v>1</v>
      </c>
      <c r="N36" s="57">
        <v>0</v>
      </c>
      <c r="O36" s="57">
        <v>0</v>
      </c>
      <c r="P36" s="57">
        <v>0</v>
      </c>
      <c r="Q36" s="57">
        <v>0</v>
      </c>
      <c r="R36" s="57">
        <v>0</v>
      </c>
      <c r="S36" s="57">
        <v>0</v>
      </c>
      <c r="T36" s="57">
        <v>0</v>
      </c>
      <c r="U36" s="57">
        <v>0</v>
      </c>
      <c r="V36" s="57">
        <v>0</v>
      </c>
      <c r="W36" s="57">
        <v>0</v>
      </c>
      <c r="X36" s="57">
        <v>0</v>
      </c>
      <c r="Y36" s="57">
        <v>0</v>
      </c>
      <c r="Z36" s="57">
        <v>0</v>
      </c>
      <c r="AA36" s="57">
        <v>0</v>
      </c>
      <c r="AB36" s="57">
        <v>0</v>
      </c>
      <c r="AC36" s="57">
        <v>0</v>
      </c>
      <c r="AD36" s="57">
        <v>0</v>
      </c>
      <c r="AE36" s="57">
        <v>0</v>
      </c>
      <c r="AF36" s="57">
        <v>0</v>
      </c>
      <c r="AG36" s="57">
        <v>0</v>
      </c>
      <c r="AH36" s="57">
        <v>0</v>
      </c>
      <c r="AI36" s="57">
        <v>0</v>
      </c>
      <c r="AJ36" s="57">
        <v>0</v>
      </c>
      <c r="AK36" s="57">
        <v>0</v>
      </c>
      <c r="AL36" s="57">
        <v>0</v>
      </c>
      <c r="AM36" s="57">
        <v>0</v>
      </c>
      <c r="AN36" s="57">
        <v>0</v>
      </c>
      <c r="AO36" s="57">
        <v>0</v>
      </c>
      <c r="AP36" s="57">
        <v>0</v>
      </c>
      <c r="AQ36" s="57">
        <v>0</v>
      </c>
      <c r="AR36" s="57">
        <v>0</v>
      </c>
      <c r="AS36" s="57">
        <v>0</v>
      </c>
      <c r="AT36" s="57">
        <v>0</v>
      </c>
      <c r="AU36" s="57">
        <v>0</v>
      </c>
      <c r="AV36" s="57">
        <v>0</v>
      </c>
      <c r="AW36" s="57">
        <v>0</v>
      </c>
      <c r="AX36" s="57">
        <v>0</v>
      </c>
      <c r="AY36" s="57">
        <v>0</v>
      </c>
      <c r="AZ36" s="57">
        <v>0</v>
      </c>
      <c r="BA36" s="57">
        <v>0</v>
      </c>
      <c r="BB36" s="57">
        <v>0</v>
      </c>
      <c r="BC36" s="57">
        <v>0</v>
      </c>
      <c r="BD36" s="57">
        <v>0</v>
      </c>
      <c r="BE36" s="57">
        <v>0</v>
      </c>
      <c r="BF36" s="57">
        <v>0</v>
      </c>
      <c r="BG36" s="57">
        <v>0</v>
      </c>
      <c r="BH36" s="57">
        <v>0</v>
      </c>
      <c r="BI36" s="57">
        <v>0</v>
      </c>
      <c r="BJ36" s="57">
        <v>0</v>
      </c>
      <c r="BK36" s="57">
        <v>0</v>
      </c>
      <c r="BL36" s="57">
        <v>0</v>
      </c>
      <c r="BM36" s="57">
        <v>0</v>
      </c>
      <c r="BN36" s="57">
        <v>0</v>
      </c>
      <c r="BO36" s="57">
        <v>0</v>
      </c>
      <c r="BP36" s="57">
        <v>0</v>
      </c>
      <c r="BQ36" s="57">
        <v>0</v>
      </c>
      <c r="BR36" s="57">
        <v>0</v>
      </c>
      <c r="BS36" s="57">
        <v>0</v>
      </c>
      <c r="BT36" s="57">
        <v>0</v>
      </c>
      <c r="BU36" s="57">
        <v>0</v>
      </c>
      <c r="BV36" s="57">
        <v>0</v>
      </c>
      <c r="BW36" s="57">
        <v>0</v>
      </c>
      <c r="BX36" s="57">
        <v>0</v>
      </c>
      <c r="BY36" s="57">
        <v>0</v>
      </c>
      <c r="BZ36" s="57">
        <v>0</v>
      </c>
      <c r="CA36" s="57">
        <v>0</v>
      </c>
      <c r="CB36" s="57">
        <v>0</v>
      </c>
      <c r="CC36" s="57">
        <v>0</v>
      </c>
      <c r="CD36" s="57">
        <v>0</v>
      </c>
      <c r="CE36" s="57">
        <v>0</v>
      </c>
      <c r="CF36" s="57">
        <v>0</v>
      </c>
      <c r="CG36" s="57">
        <v>0</v>
      </c>
      <c r="CH36" s="57">
        <v>0</v>
      </c>
      <c r="CI36" s="57">
        <v>0</v>
      </c>
      <c r="CJ36" s="57">
        <v>0</v>
      </c>
      <c r="CK36" s="57">
        <v>0</v>
      </c>
      <c r="CL36" s="57">
        <v>0</v>
      </c>
      <c r="CM36" s="57">
        <v>0</v>
      </c>
      <c r="CN36" s="57">
        <v>0</v>
      </c>
      <c r="CO36" s="57">
        <v>0</v>
      </c>
      <c r="CP36" s="57">
        <v>0</v>
      </c>
      <c r="CQ36" s="57">
        <v>0</v>
      </c>
      <c r="CR36" s="57">
        <v>0</v>
      </c>
      <c r="CS36" s="57">
        <v>0</v>
      </c>
      <c r="CT36" s="57">
        <v>0</v>
      </c>
      <c r="CU36" s="57">
        <v>0</v>
      </c>
      <c r="CV36" s="57">
        <v>0</v>
      </c>
      <c r="CW36" s="57">
        <v>0</v>
      </c>
      <c r="CX36" s="57">
        <v>0</v>
      </c>
      <c r="CY36" s="57">
        <v>0</v>
      </c>
      <c r="CZ36" s="57">
        <v>0</v>
      </c>
      <c r="DA36" s="57">
        <v>0</v>
      </c>
      <c r="DB36" s="57">
        <v>0</v>
      </c>
      <c r="DC36" s="57">
        <v>0</v>
      </c>
      <c r="DD36" s="57">
        <v>0</v>
      </c>
      <c r="DE36" s="57">
        <v>0</v>
      </c>
      <c r="DF36" s="57">
        <v>0</v>
      </c>
      <c r="DG36" s="137">
        <v>0</v>
      </c>
      <c r="DH36" s="137">
        <v>0</v>
      </c>
      <c r="DI36" s="137">
        <v>0</v>
      </c>
      <c r="DJ36" s="137">
        <v>0</v>
      </c>
      <c r="DK36" s="137">
        <v>0</v>
      </c>
      <c r="DL36" s="137">
        <v>0</v>
      </c>
      <c r="DM36" s="137">
        <v>0</v>
      </c>
      <c r="DN36" s="137">
        <v>0</v>
      </c>
      <c r="DO36" s="137">
        <v>0</v>
      </c>
      <c r="DP36" s="137">
        <v>0</v>
      </c>
      <c r="DQ36" s="137">
        <v>0</v>
      </c>
      <c r="DR36" s="137">
        <v>0</v>
      </c>
      <c r="DS36" s="137">
        <v>0</v>
      </c>
      <c r="DT36" s="137">
        <v>0</v>
      </c>
      <c r="DU36" s="137">
        <v>0</v>
      </c>
      <c r="DV36" s="137">
        <v>0</v>
      </c>
      <c r="DW36" s="137">
        <v>0</v>
      </c>
      <c r="DX36" s="137">
        <v>0</v>
      </c>
      <c r="DY36" s="137">
        <v>0</v>
      </c>
      <c r="DZ36" s="137">
        <v>0</v>
      </c>
      <c r="EA36" s="137">
        <v>0</v>
      </c>
    </row>
    <row r="37" spans="1:131" x14ac:dyDescent="0.35">
      <c r="A37" s="90" t="str">
        <f>VLOOKUP(E37,'Validation List'!F38:G433,2,FALSE)</f>
        <v>January</v>
      </c>
      <c r="B37" s="90" t="str">
        <f>INDEX('NEW HIRE ROSTER'!$G:$G,MATCH(RAW!F37,'NEW HIRE ROSTER'!$A:$A,0))</f>
        <v>RAMP</v>
      </c>
      <c r="C37" s="90" t="str">
        <f>INDEX('NEW HIRE ROSTER'!$F:$F,MATCH(RAW!F37,'NEW HIRE ROSTER'!$A:$A,0))</f>
        <v>Class 10</v>
      </c>
      <c r="D37" s="90" t="str">
        <f>INDEX('Validation List'!$H:$H,MATCH(RAW!E37,'Validation List'!$F:$F,0))</f>
        <v>Jan Week 2</v>
      </c>
      <c r="E37" s="89">
        <v>45670</v>
      </c>
      <c r="F37" s="56" t="s">
        <v>1930</v>
      </c>
      <c r="G37" s="90" t="str">
        <f>VLOOKUP(F37,ML!C37:D623,2,FALSE)</f>
        <v>Jeric Amazona Mansibang</v>
      </c>
      <c r="H37" s="90" t="str">
        <f>VLOOKUP(F37,ML!C39:E625,3,FALSE)</f>
        <v>QC</v>
      </c>
      <c r="I37" s="83" t="s">
        <v>203</v>
      </c>
      <c r="J37" s="56" t="s">
        <v>209</v>
      </c>
      <c r="K37" s="56" t="s">
        <v>155</v>
      </c>
      <c r="L37" s="56" t="s">
        <v>2274</v>
      </c>
      <c r="M37" s="91">
        <v>1</v>
      </c>
      <c r="N37" s="57">
        <v>0</v>
      </c>
      <c r="O37" s="57">
        <v>0</v>
      </c>
      <c r="P37" s="57">
        <v>0</v>
      </c>
      <c r="Q37" s="57">
        <v>0</v>
      </c>
      <c r="R37" s="57">
        <v>0</v>
      </c>
      <c r="S37" s="57">
        <v>0</v>
      </c>
      <c r="T37" s="57">
        <v>0</v>
      </c>
      <c r="U37" s="57">
        <v>0</v>
      </c>
      <c r="V37" s="57">
        <v>0</v>
      </c>
      <c r="W37" s="57">
        <v>0</v>
      </c>
      <c r="X37" s="57">
        <v>0</v>
      </c>
      <c r="Y37" s="57">
        <v>0</v>
      </c>
      <c r="Z37" s="57">
        <v>0</v>
      </c>
      <c r="AA37" s="57">
        <v>0</v>
      </c>
      <c r="AB37" s="57">
        <v>0</v>
      </c>
      <c r="AC37" s="57">
        <v>0</v>
      </c>
      <c r="AD37" s="57">
        <v>0</v>
      </c>
      <c r="AE37" s="57">
        <v>0</v>
      </c>
      <c r="AF37" s="57">
        <v>0</v>
      </c>
      <c r="AG37" s="57">
        <v>0</v>
      </c>
      <c r="AH37" s="57">
        <v>0</v>
      </c>
      <c r="AI37" s="57">
        <v>0</v>
      </c>
      <c r="AJ37" s="57">
        <v>0</v>
      </c>
      <c r="AK37" s="57">
        <v>0</v>
      </c>
      <c r="AL37" s="57">
        <v>0</v>
      </c>
      <c r="AM37" s="57">
        <v>0</v>
      </c>
      <c r="AN37" s="57">
        <v>0</v>
      </c>
      <c r="AO37" s="57">
        <v>0</v>
      </c>
      <c r="AP37" s="57">
        <v>0</v>
      </c>
      <c r="AQ37" s="57">
        <v>0</v>
      </c>
      <c r="AR37" s="57">
        <v>0</v>
      </c>
      <c r="AS37" s="57">
        <v>0</v>
      </c>
      <c r="AT37" s="57">
        <v>0</v>
      </c>
      <c r="AU37" s="57">
        <v>0</v>
      </c>
      <c r="AV37" s="57">
        <v>0</v>
      </c>
      <c r="AW37" s="57">
        <v>0</v>
      </c>
      <c r="AX37" s="57">
        <v>0</v>
      </c>
      <c r="AY37" s="57">
        <v>0</v>
      </c>
      <c r="AZ37" s="57">
        <v>0</v>
      </c>
      <c r="BA37" s="57">
        <v>0</v>
      </c>
      <c r="BB37" s="57">
        <v>0</v>
      </c>
      <c r="BC37" s="57">
        <v>0</v>
      </c>
      <c r="BD37" s="57">
        <v>0</v>
      </c>
      <c r="BE37" s="57">
        <v>0</v>
      </c>
      <c r="BF37" s="57">
        <v>0</v>
      </c>
      <c r="BG37" s="57">
        <v>0</v>
      </c>
      <c r="BH37" s="57">
        <v>0</v>
      </c>
      <c r="BI37" s="57">
        <v>0</v>
      </c>
      <c r="BJ37" s="57">
        <v>0</v>
      </c>
      <c r="BK37" s="57">
        <v>0</v>
      </c>
      <c r="BL37" s="57">
        <v>0</v>
      </c>
      <c r="BM37" s="57">
        <v>0</v>
      </c>
      <c r="BN37" s="57">
        <v>0</v>
      </c>
      <c r="BO37" s="57">
        <v>0</v>
      </c>
      <c r="BP37" s="57">
        <v>0</v>
      </c>
      <c r="BQ37" s="57">
        <v>0</v>
      </c>
      <c r="BR37" s="57">
        <v>0</v>
      </c>
      <c r="BS37" s="57">
        <v>0</v>
      </c>
      <c r="BT37" s="57">
        <v>0</v>
      </c>
      <c r="BU37" s="57">
        <v>0</v>
      </c>
      <c r="BV37" s="57">
        <v>0</v>
      </c>
      <c r="BW37" s="57">
        <v>0</v>
      </c>
      <c r="BX37" s="57">
        <v>0</v>
      </c>
      <c r="BY37" s="57">
        <v>0</v>
      </c>
      <c r="BZ37" s="57">
        <v>0</v>
      </c>
      <c r="CA37" s="57">
        <v>0</v>
      </c>
      <c r="CB37" s="57">
        <v>0</v>
      </c>
      <c r="CC37" s="57">
        <v>0</v>
      </c>
      <c r="CD37" s="57">
        <v>0</v>
      </c>
      <c r="CE37" s="57">
        <v>0</v>
      </c>
      <c r="CF37" s="57">
        <v>0</v>
      </c>
      <c r="CG37" s="57">
        <v>0</v>
      </c>
      <c r="CH37" s="57">
        <v>0</v>
      </c>
      <c r="CI37" s="57">
        <v>0</v>
      </c>
      <c r="CJ37" s="57">
        <v>0</v>
      </c>
      <c r="CK37" s="57">
        <v>0</v>
      </c>
      <c r="CL37" s="57">
        <v>0</v>
      </c>
      <c r="CM37" s="57">
        <v>0</v>
      </c>
      <c r="CN37" s="57">
        <v>0</v>
      </c>
      <c r="CO37" s="57">
        <v>0</v>
      </c>
      <c r="CP37" s="57">
        <v>0</v>
      </c>
      <c r="CQ37" s="57">
        <v>0</v>
      </c>
      <c r="CR37" s="57">
        <v>0</v>
      </c>
      <c r="CS37" s="57">
        <v>0</v>
      </c>
      <c r="CT37" s="57">
        <v>0</v>
      </c>
      <c r="CU37" s="57">
        <v>0</v>
      </c>
      <c r="CV37" s="57">
        <v>0</v>
      </c>
      <c r="CW37" s="57">
        <v>0</v>
      </c>
      <c r="CX37" s="57">
        <v>0</v>
      </c>
      <c r="CY37" s="57">
        <v>0</v>
      </c>
      <c r="CZ37" s="57">
        <v>0</v>
      </c>
      <c r="DA37" s="57">
        <v>0</v>
      </c>
      <c r="DB37" s="57">
        <v>0</v>
      </c>
      <c r="DC37" s="57">
        <v>0</v>
      </c>
      <c r="DD37" s="57">
        <v>0</v>
      </c>
      <c r="DE37" s="57">
        <v>0</v>
      </c>
      <c r="DF37" s="57">
        <v>0</v>
      </c>
      <c r="DG37" s="137">
        <v>0</v>
      </c>
      <c r="DH37" s="137">
        <v>0</v>
      </c>
      <c r="DI37" s="137">
        <v>0</v>
      </c>
      <c r="DJ37" s="137">
        <v>0</v>
      </c>
      <c r="DK37" s="137">
        <v>0</v>
      </c>
      <c r="DL37" s="137">
        <v>0</v>
      </c>
      <c r="DM37" s="137">
        <v>0</v>
      </c>
      <c r="DN37" s="137">
        <v>0</v>
      </c>
      <c r="DO37" s="137">
        <v>0</v>
      </c>
      <c r="DP37" s="137">
        <v>0</v>
      </c>
      <c r="DQ37" s="137">
        <v>0</v>
      </c>
      <c r="DR37" s="137">
        <v>0</v>
      </c>
      <c r="DS37" s="137">
        <v>0</v>
      </c>
      <c r="DT37" s="137">
        <v>0</v>
      </c>
      <c r="DU37" s="137">
        <v>0</v>
      </c>
      <c r="DV37" s="137">
        <v>0</v>
      </c>
      <c r="DW37" s="137">
        <v>0</v>
      </c>
      <c r="DX37" s="137">
        <v>0</v>
      </c>
      <c r="DY37" s="137">
        <v>0</v>
      </c>
      <c r="DZ37" s="137">
        <v>0</v>
      </c>
      <c r="EA37" s="137">
        <v>0</v>
      </c>
    </row>
    <row r="38" spans="1:131" x14ac:dyDescent="0.35">
      <c r="A38" s="90" t="str">
        <f>VLOOKUP(E38,'Validation List'!F39:G434,2,FALSE)</f>
        <v>January</v>
      </c>
      <c r="B38" s="90" t="str">
        <f>INDEX('NEW HIRE ROSTER'!$G:$G,MATCH(RAW!F38,'NEW HIRE ROSTER'!$A:$A,0))</f>
        <v>RAMP</v>
      </c>
      <c r="C38" s="90" t="str">
        <f>INDEX('NEW HIRE ROSTER'!$F:$F,MATCH(RAW!F38,'NEW HIRE ROSTER'!$A:$A,0))</f>
        <v>Class 10</v>
      </c>
      <c r="D38" s="90" t="str">
        <f>INDEX('Validation List'!$H:$H,MATCH(RAW!E38,'Validation List'!$F:$F,0))</f>
        <v>Jan Week 2</v>
      </c>
      <c r="E38" s="89">
        <v>45670</v>
      </c>
      <c r="F38" s="56" t="s">
        <v>1909</v>
      </c>
      <c r="G38" s="90" t="str">
        <f>VLOOKUP(F38,ML!C2:D600,2,FALSE)</f>
        <v>Jeric Amazona Mansibang</v>
      </c>
      <c r="H38" s="90" t="str">
        <f>VLOOKUP(F38,ML!C2:E600,3,FALSE)</f>
        <v>QC</v>
      </c>
      <c r="I38" s="83" t="s">
        <v>203</v>
      </c>
      <c r="J38" s="56" t="s">
        <v>209</v>
      </c>
      <c r="K38" s="56" t="s">
        <v>163</v>
      </c>
      <c r="L38" s="56" t="s">
        <v>2275</v>
      </c>
      <c r="M38" s="91">
        <v>1</v>
      </c>
      <c r="N38" s="57">
        <v>0</v>
      </c>
      <c r="O38" s="57">
        <v>0</v>
      </c>
      <c r="P38" s="57">
        <v>0</v>
      </c>
      <c r="Q38" s="57">
        <v>0</v>
      </c>
      <c r="R38" s="57">
        <v>0</v>
      </c>
      <c r="S38" s="57">
        <v>0</v>
      </c>
      <c r="T38" s="57">
        <v>0</v>
      </c>
      <c r="U38" s="57">
        <v>0</v>
      </c>
      <c r="V38" s="57">
        <v>0</v>
      </c>
      <c r="W38" s="57">
        <v>0</v>
      </c>
      <c r="X38" s="57">
        <v>0</v>
      </c>
      <c r="Y38" s="57">
        <v>0</v>
      </c>
      <c r="Z38" s="57">
        <v>0</v>
      </c>
      <c r="AA38" s="57">
        <v>0</v>
      </c>
      <c r="AB38" s="57">
        <v>0</v>
      </c>
      <c r="AC38" s="57">
        <v>0</v>
      </c>
      <c r="AD38" s="57">
        <v>0</v>
      </c>
      <c r="AE38" s="57">
        <v>0</v>
      </c>
      <c r="AF38" s="57">
        <v>0</v>
      </c>
      <c r="AG38" s="57">
        <v>0</v>
      </c>
      <c r="AH38" s="57">
        <v>0</v>
      </c>
      <c r="AI38" s="57">
        <v>0</v>
      </c>
      <c r="AJ38" s="57">
        <v>0</v>
      </c>
      <c r="AK38" s="57">
        <v>0</v>
      </c>
      <c r="AL38" s="57">
        <v>0</v>
      </c>
      <c r="AM38" s="57">
        <v>0</v>
      </c>
      <c r="AN38" s="57">
        <v>0</v>
      </c>
      <c r="AO38" s="57">
        <v>0</v>
      </c>
      <c r="AP38" s="57">
        <v>0</v>
      </c>
      <c r="AQ38" s="57">
        <v>0</v>
      </c>
      <c r="AR38" s="57">
        <v>0</v>
      </c>
      <c r="AS38" s="57">
        <v>0</v>
      </c>
      <c r="AT38" s="57">
        <v>0</v>
      </c>
      <c r="AU38" s="57">
        <v>0</v>
      </c>
      <c r="AV38" s="57">
        <v>0</v>
      </c>
      <c r="AW38" s="57">
        <v>0</v>
      </c>
      <c r="AX38" s="57">
        <v>0</v>
      </c>
      <c r="AY38" s="57">
        <v>0</v>
      </c>
      <c r="AZ38" s="57">
        <v>0</v>
      </c>
      <c r="BA38" s="57">
        <v>0</v>
      </c>
      <c r="BB38" s="57">
        <v>0</v>
      </c>
      <c r="BC38" s="57">
        <v>0</v>
      </c>
      <c r="BD38" s="57">
        <v>0</v>
      </c>
      <c r="BE38" s="57">
        <v>0</v>
      </c>
      <c r="BF38" s="57">
        <v>0</v>
      </c>
      <c r="BG38" s="57">
        <v>0</v>
      </c>
      <c r="BH38" s="57">
        <v>0</v>
      </c>
      <c r="BI38" s="57">
        <v>0</v>
      </c>
      <c r="BJ38" s="57">
        <v>0</v>
      </c>
      <c r="BK38" s="57">
        <v>0</v>
      </c>
      <c r="BL38" s="57">
        <v>0</v>
      </c>
      <c r="BM38" s="57">
        <v>0</v>
      </c>
      <c r="BN38" s="57">
        <v>0</v>
      </c>
      <c r="BO38" s="57">
        <v>0</v>
      </c>
      <c r="BP38" s="57">
        <v>0</v>
      </c>
      <c r="BQ38" s="57">
        <v>0</v>
      </c>
      <c r="BR38" s="57">
        <v>0</v>
      </c>
      <c r="BS38" s="57">
        <v>0</v>
      </c>
      <c r="BT38" s="57">
        <v>0</v>
      </c>
      <c r="BU38" s="57">
        <v>0</v>
      </c>
      <c r="BV38" s="57">
        <v>0</v>
      </c>
      <c r="BW38" s="57">
        <v>0</v>
      </c>
      <c r="BX38" s="57">
        <v>0</v>
      </c>
      <c r="BY38" s="57">
        <v>0</v>
      </c>
      <c r="BZ38" s="57">
        <v>0</v>
      </c>
      <c r="CA38" s="57">
        <v>0</v>
      </c>
      <c r="CB38" s="57">
        <v>0</v>
      </c>
      <c r="CC38" s="57">
        <v>0</v>
      </c>
      <c r="CD38" s="57">
        <v>0</v>
      </c>
      <c r="CE38" s="57">
        <v>0</v>
      </c>
      <c r="CF38" s="57">
        <v>0</v>
      </c>
      <c r="CG38" s="57">
        <v>0</v>
      </c>
      <c r="CH38" s="57">
        <v>0</v>
      </c>
      <c r="CI38" s="57">
        <v>0</v>
      </c>
      <c r="CJ38" s="57">
        <v>0</v>
      </c>
      <c r="CK38" s="57">
        <v>0</v>
      </c>
      <c r="CL38" s="57">
        <v>0</v>
      </c>
      <c r="CM38" s="57">
        <v>0</v>
      </c>
      <c r="CN38" s="57">
        <v>0</v>
      </c>
      <c r="CO38" s="57">
        <v>0</v>
      </c>
      <c r="CP38" s="57">
        <v>0</v>
      </c>
      <c r="CQ38" s="57">
        <v>0</v>
      </c>
      <c r="CR38" s="57">
        <v>0</v>
      </c>
      <c r="CS38" s="57">
        <v>0</v>
      </c>
      <c r="CT38" s="57">
        <v>0</v>
      </c>
      <c r="CU38" s="57">
        <v>0</v>
      </c>
      <c r="CV38" s="57">
        <v>0</v>
      </c>
      <c r="CW38" s="57">
        <v>0</v>
      </c>
      <c r="CX38" s="57">
        <v>0</v>
      </c>
      <c r="CY38" s="57">
        <v>0</v>
      </c>
      <c r="CZ38" s="57">
        <v>0</v>
      </c>
      <c r="DA38" s="57">
        <v>0</v>
      </c>
      <c r="DB38" s="57">
        <v>0</v>
      </c>
      <c r="DC38" s="57">
        <v>0</v>
      </c>
      <c r="DD38" s="57">
        <v>0</v>
      </c>
      <c r="DE38" s="57">
        <v>0</v>
      </c>
      <c r="DF38" s="57">
        <v>0</v>
      </c>
      <c r="DG38" s="137">
        <v>0</v>
      </c>
      <c r="DH38" s="137">
        <v>0</v>
      </c>
      <c r="DI38" s="137">
        <v>0</v>
      </c>
      <c r="DJ38" s="137">
        <v>0</v>
      </c>
      <c r="DK38" s="137">
        <v>0</v>
      </c>
      <c r="DL38" s="137">
        <v>0</v>
      </c>
      <c r="DM38" s="137">
        <v>0</v>
      </c>
      <c r="DN38" s="137">
        <v>0</v>
      </c>
      <c r="DO38" s="137">
        <v>0</v>
      </c>
      <c r="DP38" s="137">
        <v>0</v>
      </c>
      <c r="DQ38" s="137">
        <v>0</v>
      </c>
      <c r="DR38" s="137">
        <v>0</v>
      </c>
      <c r="DS38" s="137">
        <v>0</v>
      </c>
      <c r="DT38" s="137">
        <v>0</v>
      </c>
      <c r="DU38" s="137">
        <v>0</v>
      </c>
      <c r="DV38" s="137">
        <v>0</v>
      </c>
      <c r="DW38" s="137">
        <v>0</v>
      </c>
      <c r="DX38" s="137">
        <v>0</v>
      </c>
      <c r="DY38" s="137">
        <v>0</v>
      </c>
      <c r="DZ38" s="137">
        <v>0</v>
      </c>
      <c r="EA38" s="137">
        <v>0</v>
      </c>
    </row>
    <row r="39" spans="1:131" x14ac:dyDescent="0.35">
      <c r="A39" s="90" t="str">
        <f>VLOOKUP(E39,'Validation List'!F40:G435,2,FALSE)</f>
        <v>January</v>
      </c>
      <c r="B39" s="90" t="str">
        <f>INDEX('NEW HIRE ROSTER'!$G:$G,MATCH(RAW!F39,'NEW HIRE ROSTER'!$A:$A,0))</f>
        <v>RAMP</v>
      </c>
      <c r="C39" s="90" t="str">
        <f>INDEX('NEW HIRE ROSTER'!$F:$F,MATCH(RAW!F39,'NEW HIRE ROSTER'!$A:$A,0))</f>
        <v>Class 10</v>
      </c>
      <c r="D39" s="90" t="str">
        <f>INDEX('Validation List'!$H:$H,MATCH(RAW!E39,'Validation List'!$F:$F,0))</f>
        <v>Jan Week 2</v>
      </c>
      <c r="E39" s="89">
        <v>45670</v>
      </c>
      <c r="F39" s="56" t="s">
        <v>1909</v>
      </c>
      <c r="G39" s="90" t="str">
        <f>VLOOKUP(F39,ML!C3:D601,2,FALSE)</f>
        <v>Jeric Amazona Mansibang</v>
      </c>
      <c r="H39" s="90" t="str">
        <f>VLOOKUP(F39,ML!C3:E601,3,FALSE)</f>
        <v>QC</v>
      </c>
      <c r="I39" s="83" t="s">
        <v>203</v>
      </c>
      <c r="J39" s="56" t="s">
        <v>209</v>
      </c>
      <c r="K39" s="56" t="s">
        <v>163</v>
      </c>
      <c r="L39" s="56" t="s">
        <v>2276</v>
      </c>
      <c r="M39" s="91">
        <v>1</v>
      </c>
      <c r="N39" s="57">
        <v>0</v>
      </c>
      <c r="O39" s="57">
        <v>0</v>
      </c>
      <c r="P39" s="57">
        <v>0</v>
      </c>
      <c r="Q39" s="57">
        <v>0</v>
      </c>
      <c r="R39" s="57">
        <v>0</v>
      </c>
      <c r="S39" s="57">
        <v>0</v>
      </c>
      <c r="T39" s="57">
        <v>0</v>
      </c>
      <c r="U39" s="57">
        <v>0</v>
      </c>
      <c r="V39" s="57">
        <v>0</v>
      </c>
      <c r="W39" s="57">
        <v>0</v>
      </c>
      <c r="X39" s="57">
        <v>0</v>
      </c>
      <c r="Y39" s="57">
        <v>0</v>
      </c>
      <c r="Z39" s="57">
        <v>0</v>
      </c>
      <c r="AA39" s="57">
        <v>0</v>
      </c>
      <c r="AB39" s="57">
        <v>0</v>
      </c>
      <c r="AC39" s="57">
        <v>0</v>
      </c>
      <c r="AD39" s="57">
        <v>0</v>
      </c>
      <c r="AE39" s="57">
        <v>0</v>
      </c>
      <c r="AF39" s="57">
        <v>0</v>
      </c>
      <c r="AG39" s="57">
        <v>0</v>
      </c>
      <c r="AH39" s="57">
        <v>0</v>
      </c>
      <c r="AI39" s="57">
        <v>0</v>
      </c>
      <c r="AJ39" s="57">
        <v>0</v>
      </c>
      <c r="AK39" s="57">
        <v>0</v>
      </c>
      <c r="AL39" s="57">
        <v>0</v>
      </c>
      <c r="AM39" s="57">
        <v>0</v>
      </c>
      <c r="AN39" s="57">
        <v>0</v>
      </c>
      <c r="AO39" s="57">
        <v>0</v>
      </c>
      <c r="AP39" s="57">
        <v>0</v>
      </c>
      <c r="AQ39" s="57">
        <v>0</v>
      </c>
      <c r="AR39" s="57">
        <v>0</v>
      </c>
      <c r="AS39" s="57">
        <v>0</v>
      </c>
      <c r="AT39" s="57">
        <v>0</v>
      </c>
      <c r="AU39" s="57">
        <v>0</v>
      </c>
      <c r="AV39" s="57">
        <v>0</v>
      </c>
      <c r="AW39" s="57">
        <v>0</v>
      </c>
      <c r="AX39" s="57">
        <v>0</v>
      </c>
      <c r="AY39" s="57">
        <v>0</v>
      </c>
      <c r="AZ39" s="57">
        <v>0</v>
      </c>
      <c r="BA39" s="57">
        <v>0</v>
      </c>
      <c r="BB39" s="57">
        <v>0</v>
      </c>
      <c r="BC39" s="57">
        <v>0</v>
      </c>
      <c r="BD39" s="57">
        <v>0</v>
      </c>
      <c r="BE39" s="57">
        <v>0</v>
      </c>
      <c r="BF39" s="57">
        <v>0</v>
      </c>
      <c r="BG39" s="57">
        <v>0</v>
      </c>
      <c r="BH39" s="57">
        <v>0</v>
      </c>
      <c r="BI39" s="57">
        <v>0</v>
      </c>
      <c r="BJ39" s="57">
        <v>0</v>
      </c>
      <c r="BK39" s="57">
        <v>0</v>
      </c>
      <c r="BL39" s="57">
        <v>0</v>
      </c>
      <c r="BM39" s="57">
        <v>0</v>
      </c>
      <c r="BN39" s="57">
        <v>0</v>
      </c>
      <c r="BO39" s="57">
        <v>0</v>
      </c>
      <c r="BP39" s="57">
        <v>0</v>
      </c>
      <c r="BQ39" s="57">
        <v>0</v>
      </c>
      <c r="BR39" s="57">
        <v>0</v>
      </c>
      <c r="BS39" s="57">
        <v>0</v>
      </c>
      <c r="BT39" s="57">
        <v>0</v>
      </c>
      <c r="BU39" s="57">
        <v>0</v>
      </c>
      <c r="BV39" s="57">
        <v>0</v>
      </c>
      <c r="BW39" s="57">
        <v>0</v>
      </c>
      <c r="BX39" s="57">
        <v>0</v>
      </c>
      <c r="BY39" s="57">
        <v>0</v>
      </c>
      <c r="BZ39" s="57">
        <v>0</v>
      </c>
      <c r="CA39" s="57">
        <v>0</v>
      </c>
      <c r="CB39" s="57">
        <v>0</v>
      </c>
      <c r="CC39" s="57">
        <v>0</v>
      </c>
      <c r="CD39" s="57">
        <v>0</v>
      </c>
      <c r="CE39" s="57">
        <v>0</v>
      </c>
      <c r="CF39" s="57">
        <v>0</v>
      </c>
      <c r="CG39" s="57">
        <v>0</v>
      </c>
      <c r="CH39" s="57">
        <v>0</v>
      </c>
      <c r="CI39" s="57">
        <v>0</v>
      </c>
      <c r="CJ39" s="57">
        <v>0</v>
      </c>
      <c r="CK39" s="57">
        <v>0</v>
      </c>
      <c r="CL39" s="57">
        <v>0</v>
      </c>
      <c r="CM39" s="57">
        <v>0</v>
      </c>
      <c r="CN39" s="57">
        <v>0</v>
      </c>
      <c r="CO39" s="57">
        <v>0</v>
      </c>
      <c r="CP39" s="57">
        <v>0</v>
      </c>
      <c r="CQ39" s="57">
        <v>0</v>
      </c>
      <c r="CR39" s="57">
        <v>0</v>
      </c>
      <c r="CS39" s="57">
        <v>0</v>
      </c>
      <c r="CT39" s="57">
        <v>0</v>
      </c>
      <c r="CU39" s="57">
        <v>0</v>
      </c>
      <c r="CV39" s="57">
        <v>0</v>
      </c>
      <c r="CW39" s="57">
        <v>0</v>
      </c>
      <c r="CX39" s="57">
        <v>0</v>
      </c>
      <c r="CY39" s="57">
        <v>0</v>
      </c>
      <c r="CZ39" s="57">
        <v>0</v>
      </c>
      <c r="DA39" s="57">
        <v>0</v>
      </c>
      <c r="DB39" s="57">
        <v>0</v>
      </c>
      <c r="DC39" s="57">
        <v>0</v>
      </c>
      <c r="DD39" s="57">
        <v>0</v>
      </c>
      <c r="DE39" s="57">
        <v>0</v>
      </c>
      <c r="DF39" s="57">
        <v>0</v>
      </c>
      <c r="DG39" s="137">
        <v>0</v>
      </c>
      <c r="DH39" s="137">
        <v>0</v>
      </c>
      <c r="DI39" s="137">
        <v>0</v>
      </c>
      <c r="DJ39" s="137">
        <v>0</v>
      </c>
      <c r="DK39" s="137">
        <v>0</v>
      </c>
      <c r="DL39" s="137">
        <v>0</v>
      </c>
      <c r="DM39" s="137">
        <v>0</v>
      </c>
      <c r="DN39" s="137">
        <v>0</v>
      </c>
      <c r="DO39" s="137">
        <v>0</v>
      </c>
      <c r="DP39" s="137">
        <v>0</v>
      </c>
      <c r="DQ39" s="137">
        <v>0</v>
      </c>
      <c r="DR39" s="137">
        <v>0</v>
      </c>
      <c r="DS39" s="137">
        <v>0</v>
      </c>
      <c r="DT39" s="137">
        <v>0</v>
      </c>
      <c r="DU39" s="137">
        <v>0</v>
      </c>
      <c r="DV39" s="137">
        <v>0</v>
      </c>
      <c r="DW39" s="137">
        <v>0</v>
      </c>
      <c r="DX39" s="137">
        <v>0</v>
      </c>
      <c r="DY39" s="137">
        <v>0</v>
      </c>
      <c r="DZ39" s="137">
        <v>0</v>
      </c>
      <c r="EA39" s="137">
        <v>0</v>
      </c>
    </row>
    <row r="40" spans="1:131" x14ac:dyDescent="0.35">
      <c r="A40" s="90" t="str">
        <f>VLOOKUP(E40,'Validation List'!F41:G436,2,FALSE)</f>
        <v>January</v>
      </c>
      <c r="B40" s="90" t="str">
        <f>INDEX('NEW HIRE ROSTER'!$G:$G,MATCH(RAW!F40,'NEW HIRE ROSTER'!$A:$A,0))</f>
        <v>RAMP</v>
      </c>
      <c r="C40" s="90" t="str">
        <f>INDEX('NEW HIRE ROSTER'!$F:$F,MATCH(RAW!F40,'NEW HIRE ROSTER'!$A:$A,0))</f>
        <v>Class 10</v>
      </c>
      <c r="D40" s="90" t="str">
        <f>INDEX('Validation List'!$H:$H,MATCH(RAW!E40,'Validation List'!$F:$F,0))</f>
        <v>Jan Week 2</v>
      </c>
      <c r="E40" s="89">
        <v>45670</v>
      </c>
      <c r="F40" s="56" t="s">
        <v>1909</v>
      </c>
      <c r="G40" s="90" t="str">
        <f>VLOOKUP(F40,ML!C4:D602,2,FALSE)</f>
        <v>Jeric Amazona Mansibang</v>
      </c>
      <c r="H40" s="90" t="str">
        <f>VLOOKUP(F40,ML!C4:E602,3,FALSE)</f>
        <v>QC</v>
      </c>
      <c r="I40" s="83" t="s">
        <v>203</v>
      </c>
      <c r="J40" s="56" t="s">
        <v>209</v>
      </c>
      <c r="K40" s="56" t="s">
        <v>163</v>
      </c>
      <c r="L40" s="56" t="s">
        <v>2277</v>
      </c>
      <c r="M40" s="91">
        <v>1</v>
      </c>
      <c r="N40" s="57">
        <v>0</v>
      </c>
      <c r="O40" s="57">
        <v>0</v>
      </c>
      <c r="P40" s="57">
        <v>0</v>
      </c>
      <c r="Q40" s="57">
        <v>0</v>
      </c>
      <c r="R40" s="57">
        <v>0</v>
      </c>
      <c r="S40" s="57">
        <v>0</v>
      </c>
      <c r="T40" s="57">
        <v>0</v>
      </c>
      <c r="U40" s="57">
        <v>0</v>
      </c>
      <c r="V40" s="57">
        <v>0</v>
      </c>
      <c r="W40" s="57">
        <v>0</v>
      </c>
      <c r="X40" s="57">
        <v>0</v>
      </c>
      <c r="Y40" s="57">
        <v>0</v>
      </c>
      <c r="Z40" s="57">
        <v>0</v>
      </c>
      <c r="AA40" s="57">
        <v>0</v>
      </c>
      <c r="AB40" s="57">
        <v>0</v>
      </c>
      <c r="AC40" s="57">
        <v>0</v>
      </c>
      <c r="AD40" s="57">
        <v>0</v>
      </c>
      <c r="AE40" s="57">
        <v>0</v>
      </c>
      <c r="AF40" s="57">
        <v>0</v>
      </c>
      <c r="AG40" s="57">
        <v>0</v>
      </c>
      <c r="AH40" s="57">
        <v>0</v>
      </c>
      <c r="AI40" s="57">
        <v>0</v>
      </c>
      <c r="AJ40" s="57">
        <v>0</v>
      </c>
      <c r="AK40" s="57">
        <v>0</v>
      </c>
      <c r="AL40" s="57">
        <v>0</v>
      </c>
      <c r="AM40" s="57">
        <v>0</v>
      </c>
      <c r="AN40" s="57">
        <v>0</v>
      </c>
      <c r="AO40" s="57">
        <v>0</v>
      </c>
      <c r="AP40" s="57">
        <v>0</v>
      </c>
      <c r="AQ40" s="57">
        <v>0</v>
      </c>
      <c r="AR40" s="57">
        <v>0</v>
      </c>
      <c r="AS40" s="57">
        <v>0</v>
      </c>
      <c r="AT40" s="57">
        <v>0</v>
      </c>
      <c r="AU40" s="57">
        <v>0</v>
      </c>
      <c r="AV40" s="57">
        <v>0</v>
      </c>
      <c r="AW40" s="57">
        <v>0</v>
      </c>
      <c r="AX40" s="57">
        <v>0</v>
      </c>
      <c r="AY40" s="57">
        <v>0</v>
      </c>
      <c r="AZ40" s="57">
        <v>0</v>
      </c>
      <c r="BA40" s="57">
        <v>0</v>
      </c>
      <c r="BB40" s="57">
        <v>0</v>
      </c>
      <c r="BC40" s="57">
        <v>0</v>
      </c>
      <c r="BD40" s="57">
        <v>0</v>
      </c>
      <c r="BE40" s="57">
        <v>0</v>
      </c>
      <c r="BF40" s="57">
        <v>0</v>
      </c>
      <c r="BG40" s="57">
        <v>0</v>
      </c>
      <c r="BH40" s="57">
        <v>0</v>
      </c>
      <c r="BI40" s="57">
        <v>0</v>
      </c>
      <c r="BJ40" s="57">
        <v>0</v>
      </c>
      <c r="BK40" s="57">
        <v>0</v>
      </c>
      <c r="BL40" s="57">
        <v>0</v>
      </c>
      <c r="BM40" s="57">
        <v>0</v>
      </c>
      <c r="BN40" s="57">
        <v>0</v>
      </c>
      <c r="BO40" s="57">
        <v>0</v>
      </c>
      <c r="BP40" s="57">
        <v>0</v>
      </c>
      <c r="BQ40" s="57">
        <v>0</v>
      </c>
      <c r="BR40" s="57">
        <v>0</v>
      </c>
      <c r="BS40" s="57">
        <v>0</v>
      </c>
      <c r="BT40" s="57">
        <v>0</v>
      </c>
      <c r="BU40" s="57">
        <v>0</v>
      </c>
      <c r="BV40" s="57">
        <v>0</v>
      </c>
      <c r="BW40" s="57">
        <v>0</v>
      </c>
      <c r="BX40" s="57">
        <v>0</v>
      </c>
      <c r="BY40" s="57">
        <v>0</v>
      </c>
      <c r="BZ40" s="57">
        <v>0</v>
      </c>
      <c r="CA40" s="57">
        <v>0</v>
      </c>
      <c r="CB40" s="57">
        <v>0</v>
      </c>
      <c r="CC40" s="57">
        <v>0</v>
      </c>
      <c r="CD40" s="57">
        <v>0</v>
      </c>
      <c r="CE40" s="57">
        <v>0</v>
      </c>
      <c r="CF40" s="57">
        <v>0</v>
      </c>
      <c r="CG40" s="57">
        <v>0</v>
      </c>
      <c r="CH40" s="57">
        <v>0</v>
      </c>
      <c r="CI40" s="57">
        <v>0</v>
      </c>
      <c r="CJ40" s="57">
        <v>0</v>
      </c>
      <c r="CK40" s="57">
        <v>0</v>
      </c>
      <c r="CL40" s="57">
        <v>0</v>
      </c>
      <c r="CM40" s="57">
        <v>0</v>
      </c>
      <c r="CN40" s="57">
        <v>0</v>
      </c>
      <c r="CO40" s="57">
        <v>0</v>
      </c>
      <c r="CP40" s="57">
        <v>0</v>
      </c>
      <c r="CQ40" s="57">
        <v>0</v>
      </c>
      <c r="CR40" s="57">
        <v>0</v>
      </c>
      <c r="CS40" s="57">
        <v>0</v>
      </c>
      <c r="CT40" s="57">
        <v>0</v>
      </c>
      <c r="CU40" s="57">
        <v>0</v>
      </c>
      <c r="CV40" s="57">
        <v>0</v>
      </c>
      <c r="CW40" s="57">
        <v>0</v>
      </c>
      <c r="CX40" s="57">
        <v>0</v>
      </c>
      <c r="CY40" s="57">
        <v>0</v>
      </c>
      <c r="CZ40" s="57">
        <v>0</v>
      </c>
      <c r="DA40" s="57">
        <v>0</v>
      </c>
      <c r="DB40" s="57">
        <v>0</v>
      </c>
      <c r="DC40" s="57">
        <v>0</v>
      </c>
      <c r="DD40" s="57">
        <v>0</v>
      </c>
      <c r="DE40" s="57">
        <v>0</v>
      </c>
      <c r="DF40" s="57">
        <v>0</v>
      </c>
      <c r="DG40" s="137">
        <v>0</v>
      </c>
      <c r="DH40" s="137">
        <v>0</v>
      </c>
      <c r="DI40" s="137">
        <v>0</v>
      </c>
      <c r="DJ40" s="137">
        <v>0</v>
      </c>
      <c r="DK40" s="137">
        <v>0</v>
      </c>
      <c r="DL40" s="137">
        <v>0</v>
      </c>
      <c r="DM40" s="137">
        <v>0</v>
      </c>
      <c r="DN40" s="137">
        <v>0</v>
      </c>
      <c r="DO40" s="137">
        <v>0</v>
      </c>
      <c r="DP40" s="137">
        <v>0</v>
      </c>
      <c r="DQ40" s="137">
        <v>0</v>
      </c>
      <c r="DR40" s="137">
        <v>0</v>
      </c>
      <c r="DS40" s="137">
        <v>0</v>
      </c>
      <c r="DT40" s="137">
        <v>0</v>
      </c>
      <c r="DU40" s="137">
        <v>0</v>
      </c>
      <c r="DV40" s="137">
        <v>0</v>
      </c>
      <c r="DW40" s="137">
        <v>0</v>
      </c>
      <c r="DX40" s="137">
        <v>0</v>
      </c>
      <c r="DY40" s="137">
        <v>0</v>
      </c>
      <c r="DZ40" s="137">
        <v>0</v>
      </c>
      <c r="EA40" s="137">
        <v>0</v>
      </c>
    </row>
    <row r="41" spans="1:131" x14ac:dyDescent="0.35">
      <c r="A41" s="90" t="e">
        <f>VLOOKUP(E41,'Validation List'!F42:G437,2,FALSE)</f>
        <v>#N/A</v>
      </c>
      <c r="B41" s="90" t="str">
        <f>INDEX('NEW HIRE ROSTER'!$G:$G,MATCH(RAW!F41,'NEW HIRE ROSTER'!$A:$A,0))</f>
        <v>RAMP</v>
      </c>
      <c r="C41" s="90" t="str">
        <f>INDEX('NEW HIRE ROSTER'!$F:$F,MATCH(RAW!F41,'NEW HIRE ROSTER'!$A:$A,0))</f>
        <v>Class 8</v>
      </c>
      <c r="D41" s="90" t="str">
        <f>INDEX('Validation List'!$H:$H,MATCH(RAW!E41,'Validation List'!$F:$F,0))</f>
        <v>Jan Week 1</v>
      </c>
      <c r="E41" s="89">
        <v>45659</v>
      </c>
      <c r="F41" s="56" t="s">
        <v>964</v>
      </c>
      <c r="G41" s="90" t="str">
        <f>VLOOKUP(F41,ML!C5:D603,2,FALSE)</f>
        <v>Cres Marvin Alexander Alvaro</v>
      </c>
      <c r="H41" s="90" t="str">
        <f>VLOOKUP(F41,ML!C5:E603,3,FALSE)</f>
        <v>CEBU</v>
      </c>
      <c r="I41" s="83" t="s">
        <v>191</v>
      </c>
      <c r="J41" s="56" t="s">
        <v>209</v>
      </c>
      <c r="K41" s="56" t="s">
        <v>158</v>
      </c>
      <c r="L41" s="56" t="s">
        <v>2278</v>
      </c>
      <c r="M41" s="91">
        <v>1</v>
      </c>
      <c r="N41" s="57">
        <v>0</v>
      </c>
      <c r="O41" s="57">
        <v>0</v>
      </c>
      <c r="P41" s="57">
        <v>0</v>
      </c>
      <c r="Q41" s="57">
        <v>0</v>
      </c>
      <c r="R41" s="57">
        <v>0</v>
      </c>
      <c r="S41" s="57">
        <v>0</v>
      </c>
      <c r="T41" s="57">
        <v>0</v>
      </c>
      <c r="U41" s="57">
        <v>0</v>
      </c>
      <c r="V41" s="57">
        <v>0</v>
      </c>
      <c r="W41" s="57">
        <v>0</v>
      </c>
      <c r="X41" s="57">
        <v>0</v>
      </c>
      <c r="Y41" s="57">
        <v>0</v>
      </c>
      <c r="Z41" s="57">
        <v>0</v>
      </c>
      <c r="AA41" s="57">
        <v>0</v>
      </c>
      <c r="AB41" s="57">
        <v>0</v>
      </c>
      <c r="AC41" s="57">
        <v>0</v>
      </c>
      <c r="AD41" s="57">
        <v>0</v>
      </c>
      <c r="AE41" s="57">
        <v>0</v>
      </c>
      <c r="AF41" s="57">
        <v>0</v>
      </c>
      <c r="AG41" s="57">
        <v>0</v>
      </c>
      <c r="AH41" s="57">
        <v>0</v>
      </c>
      <c r="AI41" s="57">
        <v>0</v>
      </c>
      <c r="AJ41" s="57">
        <v>0</v>
      </c>
      <c r="AK41" s="57">
        <v>0</v>
      </c>
      <c r="AL41" s="57">
        <v>0</v>
      </c>
      <c r="AM41" s="57">
        <v>0</v>
      </c>
      <c r="AN41" s="57">
        <v>0</v>
      </c>
      <c r="AO41" s="57">
        <v>0</v>
      </c>
      <c r="AP41" s="57">
        <v>0</v>
      </c>
      <c r="AQ41" s="57">
        <v>0</v>
      </c>
      <c r="AR41" s="57">
        <v>0</v>
      </c>
      <c r="AS41" s="57">
        <v>0</v>
      </c>
      <c r="AT41" s="57">
        <v>0</v>
      </c>
      <c r="AU41" s="57">
        <v>0</v>
      </c>
      <c r="AV41" s="57">
        <v>0</v>
      </c>
      <c r="AW41" s="57">
        <v>0</v>
      </c>
      <c r="AX41" s="57">
        <v>0</v>
      </c>
      <c r="AY41" s="57">
        <v>0</v>
      </c>
      <c r="AZ41" s="57">
        <v>0</v>
      </c>
      <c r="BA41" s="57">
        <v>0</v>
      </c>
      <c r="BB41" s="57">
        <v>0</v>
      </c>
      <c r="BC41" s="57">
        <v>0</v>
      </c>
      <c r="BD41" s="57">
        <v>0</v>
      </c>
      <c r="BE41" s="57">
        <v>0</v>
      </c>
      <c r="BF41" s="57">
        <v>0</v>
      </c>
      <c r="BG41" s="57">
        <v>0</v>
      </c>
      <c r="BH41" s="57">
        <v>0</v>
      </c>
      <c r="BI41" s="57">
        <v>0</v>
      </c>
      <c r="BJ41" s="57">
        <v>0</v>
      </c>
      <c r="BK41" s="57">
        <v>0</v>
      </c>
      <c r="BL41" s="57">
        <v>0</v>
      </c>
      <c r="BM41" s="57">
        <v>0</v>
      </c>
      <c r="BN41" s="57">
        <v>0</v>
      </c>
      <c r="BO41" s="57">
        <v>0</v>
      </c>
      <c r="BP41" s="57">
        <v>0</v>
      </c>
      <c r="BQ41" s="57">
        <v>0</v>
      </c>
      <c r="BR41" s="57">
        <v>0</v>
      </c>
      <c r="BS41" s="57">
        <v>0</v>
      </c>
      <c r="BT41" s="57">
        <v>0</v>
      </c>
      <c r="BU41" s="57">
        <v>0</v>
      </c>
      <c r="BV41" s="57">
        <v>0</v>
      </c>
      <c r="BW41" s="57">
        <v>0</v>
      </c>
      <c r="BX41" s="57">
        <v>0</v>
      </c>
      <c r="BY41" s="57">
        <v>0</v>
      </c>
      <c r="BZ41" s="57">
        <v>0</v>
      </c>
      <c r="CA41" s="57">
        <v>0</v>
      </c>
      <c r="CB41" s="57">
        <v>0</v>
      </c>
      <c r="CC41" s="57">
        <v>0</v>
      </c>
      <c r="CD41" s="57">
        <v>0</v>
      </c>
      <c r="CE41" s="57">
        <v>0</v>
      </c>
      <c r="CF41" s="57">
        <v>0</v>
      </c>
      <c r="CG41" s="57">
        <v>0</v>
      </c>
      <c r="CH41" s="57">
        <v>0</v>
      </c>
      <c r="CI41" s="57">
        <v>0</v>
      </c>
      <c r="CJ41" s="57">
        <v>0</v>
      </c>
      <c r="CK41" s="57">
        <v>0</v>
      </c>
      <c r="CL41" s="57">
        <v>0</v>
      </c>
      <c r="CM41" s="57">
        <v>0</v>
      </c>
      <c r="CN41" s="57">
        <v>0</v>
      </c>
      <c r="CO41" s="57">
        <v>0</v>
      </c>
      <c r="CP41" s="57">
        <v>0</v>
      </c>
      <c r="CQ41" s="57">
        <v>0</v>
      </c>
      <c r="CR41" s="57">
        <v>0</v>
      </c>
      <c r="CS41" s="57">
        <v>0</v>
      </c>
      <c r="CT41" s="57">
        <v>0</v>
      </c>
      <c r="CU41" s="57">
        <v>0</v>
      </c>
      <c r="CV41" s="57">
        <v>0</v>
      </c>
      <c r="CW41" s="57">
        <v>0</v>
      </c>
      <c r="CX41" s="57">
        <v>0</v>
      </c>
      <c r="CY41" s="57">
        <v>0</v>
      </c>
      <c r="CZ41" s="57">
        <v>0</v>
      </c>
      <c r="DA41" s="57">
        <v>0</v>
      </c>
      <c r="DB41" s="57">
        <v>0</v>
      </c>
      <c r="DC41" s="57">
        <v>0</v>
      </c>
      <c r="DD41" s="57">
        <v>0</v>
      </c>
      <c r="DE41" s="57">
        <v>0</v>
      </c>
      <c r="DF41" s="57">
        <v>0</v>
      </c>
      <c r="DG41" s="137">
        <v>0</v>
      </c>
      <c r="DH41" s="137">
        <v>0</v>
      </c>
      <c r="DI41" s="137">
        <v>0</v>
      </c>
      <c r="DJ41" s="137">
        <v>0</v>
      </c>
      <c r="DK41" s="137">
        <v>0</v>
      </c>
      <c r="DL41" s="137">
        <v>0</v>
      </c>
      <c r="DM41" s="137">
        <v>0</v>
      </c>
      <c r="DN41" s="137">
        <v>0</v>
      </c>
      <c r="DO41" s="137">
        <v>0</v>
      </c>
      <c r="DP41" s="137">
        <v>0</v>
      </c>
      <c r="DQ41" s="137">
        <v>0</v>
      </c>
      <c r="DR41" s="137">
        <v>0</v>
      </c>
      <c r="DS41" s="137">
        <v>0</v>
      </c>
      <c r="DT41" s="137">
        <v>0</v>
      </c>
      <c r="DU41" s="137">
        <v>0</v>
      </c>
      <c r="DV41" s="137">
        <v>0</v>
      </c>
      <c r="DW41" s="137">
        <v>0</v>
      </c>
      <c r="DX41" s="137">
        <v>0</v>
      </c>
      <c r="DY41" s="137">
        <v>0</v>
      </c>
      <c r="DZ41" s="137">
        <v>0</v>
      </c>
      <c r="EA41" s="137">
        <v>0</v>
      </c>
    </row>
    <row r="42" spans="1:131" x14ac:dyDescent="0.35">
      <c r="A42" s="90" t="e">
        <f>VLOOKUP(E42,'Validation List'!F43:G438,2,FALSE)</f>
        <v>#N/A</v>
      </c>
      <c r="B42" s="90" t="str">
        <f>INDEX('NEW HIRE ROSTER'!$G:$G,MATCH(RAW!F42,'NEW HIRE ROSTER'!$A:$A,0))</f>
        <v>RAMP</v>
      </c>
      <c r="C42" s="90" t="str">
        <f>INDEX('NEW HIRE ROSTER'!$F:$F,MATCH(RAW!F42,'NEW HIRE ROSTER'!$A:$A,0))</f>
        <v>Class 8</v>
      </c>
      <c r="D42" s="90" t="str">
        <f>INDEX('Validation List'!$H:$H,MATCH(RAW!E42,'Validation List'!$F:$F,0))</f>
        <v>Jan Week 1</v>
      </c>
      <c r="E42" s="89">
        <v>45660</v>
      </c>
      <c r="F42" s="56" t="s">
        <v>979</v>
      </c>
      <c r="G42" s="90" t="str">
        <f>VLOOKUP(F42,ML!C6:D604,2,FALSE)</f>
        <v>Cres Marvin Alexander Alvaro</v>
      </c>
      <c r="H42" s="90" t="str">
        <f>VLOOKUP(F42,ML!C6:E604,3,FALSE)</f>
        <v>CEBU</v>
      </c>
      <c r="I42" s="83" t="s">
        <v>191</v>
      </c>
      <c r="J42" s="56" t="s">
        <v>209</v>
      </c>
      <c r="K42" s="56" t="s">
        <v>158</v>
      </c>
      <c r="L42" s="56" t="s">
        <v>2279</v>
      </c>
      <c r="M42" s="91">
        <v>1</v>
      </c>
      <c r="N42" s="57">
        <v>0</v>
      </c>
      <c r="O42" s="57">
        <v>0</v>
      </c>
      <c r="P42" s="57">
        <v>0</v>
      </c>
      <c r="Q42" s="57">
        <v>0</v>
      </c>
      <c r="R42" s="57">
        <v>0</v>
      </c>
      <c r="S42" s="57">
        <v>0</v>
      </c>
      <c r="T42" s="57">
        <v>0</v>
      </c>
      <c r="U42" s="57">
        <v>0</v>
      </c>
      <c r="V42" s="57">
        <v>0</v>
      </c>
      <c r="W42" s="57">
        <v>0</v>
      </c>
      <c r="X42" s="57">
        <v>0</v>
      </c>
      <c r="Y42" s="57">
        <v>0</v>
      </c>
      <c r="Z42" s="57">
        <v>0</v>
      </c>
      <c r="AA42" s="57">
        <v>0</v>
      </c>
      <c r="AB42" s="57">
        <v>0</v>
      </c>
      <c r="AC42" s="57">
        <v>0</v>
      </c>
      <c r="AD42" s="57">
        <v>0</v>
      </c>
      <c r="AE42" s="57">
        <v>0</v>
      </c>
      <c r="AF42" s="57">
        <v>0</v>
      </c>
      <c r="AG42" s="57">
        <v>0</v>
      </c>
      <c r="AH42" s="57">
        <v>0</v>
      </c>
      <c r="AI42" s="57">
        <v>0</v>
      </c>
      <c r="AJ42" s="57">
        <v>0</v>
      </c>
      <c r="AK42" s="57">
        <v>0</v>
      </c>
      <c r="AL42" s="57">
        <v>0</v>
      </c>
      <c r="AM42" s="57">
        <v>0</v>
      </c>
      <c r="AN42" s="57">
        <v>0</v>
      </c>
      <c r="AO42" s="57">
        <v>0</v>
      </c>
      <c r="AP42" s="57">
        <v>0</v>
      </c>
      <c r="AQ42" s="57">
        <v>0</v>
      </c>
      <c r="AR42" s="57">
        <v>0</v>
      </c>
      <c r="AS42" s="57">
        <v>0</v>
      </c>
      <c r="AT42" s="57">
        <v>0</v>
      </c>
      <c r="AU42" s="57">
        <v>0</v>
      </c>
      <c r="AV42" s="57">
        <v>0</v>
      </c>
      <c r="AW42" s="57">
        <v>0</v>
      </c>
      <c r="AX42" s="57">
        <v>0</v>
      </c>
      <c r="AY42" s="57">
        <v>0</v>
      </c>
      <c r="AZ42" s="57">
        <v>0</v>
      </c>
      <c r="BA42" s="57">
        <v>0</v>
      </c>
      <c r="BB42" s="57">
        <v>0</v>
      </c>
      <c r="BC42" s="57">
        <v>0</v>
      </c>
      <c r="BD42" s="57">
        <v>0</v>
      </c>
      <c r="BE42" s="57">
        <v>0</v>
      </c>
      <c r="BF42" s="57">
        <v>0</v>
      </c>
      <c r="BG42" s="57">
        <v>0</v>
      </c>
      <c r="BH42" s="57">
        <v>0</v>
      </c>
      <c r="BI42" s="57">
        <v>0</v>
      </c>
      <c r="BJ42" s="57">
        <v>0</v>
      </c>
      <c r="BK42" s="57">
        <v>0</v>
      </c>
      <c r="BL42" s="57">
        <v>0</v>
      </c>
      <c r="BM42" s="57">
        <v>0</v>
      </c>
      <c r="BN42" s="57">
        <v>0</v>
      </c>
      <c r="BO42" s="57">
        <v>0</v>
      </c>
      <c r="BP42" s="57">
        <v>0</v>
      </c>
      <c r="BQ42" s="57">
        <v>0</v>
      </c>
      <c r="BR42" s="57">
        <v>0</v>
      </c>
      <c r="BS42" s="57">
        <v>0</v>
      </c>
      <c r="BT42" s="57">
        <v>0</v>
      </c>
      <c r="BU42" s="57">
        <v>0</v>
      </c>
      <c r="BV42" s="57">
        <v>0</v>
      </c>
      <c r="BW42" s="57">
        <v>0</v>
      </c>
      <c r="BX42" s="57">
        <v>0</v>
      </c>
      <c r="BY42" s="57">
        <v>0</v>
      </c>
      <c r="BZ42" s="57">
        <v>0</v>
      </c>
      <c r="CA42" s="57">
        <v>0</v>
      </c>
      <c r="CB42" s="57">
        <v>0</v>
      </c>
      <c r="CC42" s="57">
        <v>0</v>
      </c>
      <c r="CD42" s="57">
        <v>0</v>
      </c>
      <c r="CE42" s="57">
        <v>0</v>
      </c>
      <c r="CF42" s="57">
        <v>0</v>
      </c>
      <c r="CG42" s="57">
        <v>0</v>
      </c>
      <c r="CH42" s="57">
        <v>0</v>
      </c>
      <c r="CI42" s="57">
        <v>0</v>
      </c>
      <c r="CJ42" s="57">
        <v>0</v>
      </c>
      <c r="CK42" s="57">
        <v>0</v>
      </c>
      <c r="CL42" s="57">
        <v>0</v>
      </c>
      <c r="CM42" s="57">
        <v>0</v>
      </c>
      <c r="CN42" s="57">
        <v>0</v>
      </c>
      <c r="CO42" s="57">
        <v>0</v>
      </c>
      <c r="CP42" s="57">
        <v>0</v>
      </c>
      <c r="CQ42" s="57">
        <v>0</v>
      </c>
      <c r="CR42" s="57">
        <v>0</v>
      </c>
      <c r="CS42" s="57">
        <v>0</v>
      </c>
      <c r="CT42" s="57">
        <v>0</v>
      </c>
      <c r="CU42" s="57">
        <v>0</v>
      </c>
      <c r="CV42" s="57">
        <v>0</v>
      </c>
      <c r="CW42" s="57">
        <v>0</v>
      </c>
      <c r="CX42" s="57">
        <v>0</v>
      </c>
      <c r="CY42" s="57">
        <v>0</v>
      </c>
      <c r="CZ42" s="57">
        <v>0</v>
      </c>
      <c r="DA42" s="57">
        <v>0</v>
      </c>
      <c r="DB42" s="57">
        <v>0</v>
      </c>
      <c r="DC42" s="57">
        <v>0</v>
      </c>
      <c r="DD42" s="57">
        <v>0</v>
      </c>
      <c r="DE42" s="57">
        <v>0</v>
      </c>
      <c r="DF42" s="57">
        <v>0</v>
      </c>
      <c r="DG42" s="137">
        <v>0</v>
      </c>
      <c r="DH42" s="137">
        <v>0</v>
      </c>
      <c r="DI42" s="137">
        <v>0</v>
      </c>
      <c r="DJ42" s="137">
        <v>0</v>
      </c>
      <c r="DK42" s="137">
        <v>0</v>
      </c>
      <c r="DL42" s="137">
        <v>0</v>
      </c>
      <c r="DM42" s="137">
        <v>0</v>
      </c>
      <c r="DN42" s="137">
        <v>0</v>
      </c>
      <c r="DO42" s="137">
        <v>0</v>
      </c>
      <c r="DP42" s="137">
        <v>0</v>
      </c>
      <c r="DQ42" s="137">
        <v>0</v>
      </c>
      <c r="DR42" s="137">
        <v>0</v>
      </c>
      <c r="DS42" s="137">
        <v>0</v>
      </c>
      <c r="DT42" s="137">
        <v>0</v>
      </c>
      <c r="DU42" s="137">
        <v>0</v>
      </c>
      <c r="DV42" s="137">
        <v>0</v>
      </c>
      <c r="DW42" s="137">
        <v>0</v>
      </c>
      <c r="DX42" s="137">
        <v>0</v>
      </c>
      <c r="DY42" s="137">
        <v>0</v>
      </c>
      <c r="DZ42" s="137">
        <v>0</v>
      </c>
      <c r="EA42" s="137">
        <v>0</v>
      </c>
    </row>
    <row r="43" spans="1:131" x14ac:dyDescent="0.35">
      <c r="A43" s="90" t="e">
        <f>VLOOKUP(E43,'Validation List'!F44:G439,2,FALSE)</f>
        <v>#N/A</v>
      </c>
      <c r="B43" s="90" t="str">
        <f>INDEX('NEW HIRE ROSTER'!$G:$G,MATCH(RAW!F43,'NEW HIRE ROSTER'!$A:$A,0))</f>
        <v>RAMP</v>
      </c>
      <c r="C43" s="90" t="str">
        <f>INDEX('NEW HIRE ROSTER'!$F:$F,MATCH(RAW!F43,'NEW HIRE ROSTER'!$A:$A,0))</f>
        <v>Class 8</v>
      </c>
      <c r="D43" s="90" t="str">
        <f>INDEX('Validation List'!$H:$H,MATCH(RAW!E43,'Validation List'!$F:$F,0))</f>
        <v>Jan Week 1</v>
      </c>
      <c r="E43" s="89">
        <v>45663</v>
      </c>
      <c r="F43" s="56" t="s">
        <v>994</v>
      </c>
      <c r="G43" s="90" t="str">
        <f>VLOOKUP(F43,ML!C7:D605,2,FALSE)</f>
        <v>Cres Marvin Alexander Alvaro</v>
      </c>
      <c r="H43" s="90" t="str">
        <f>VLOOKUP(F43,ML!C7:E605,3,FALSE)</f>
        <v>CEBU</v>
      </c>
      <c r="I43" s="83" t="s">
        <v>191</v>
      </c>
      <c r="J43" s="56" t="s">
        <v>209</v>
      </c>
      <c r="K43" s="56" t="s">
        <v>158</v>
      </c>
      <c r="L43" s="56" t="s">
        <v>2280</v>
      </c>
      <c r="M43" s="91">
        <v>1</v>
      </c>
      <c r="N43" s="57">
        <v>0</v>
      </c>
      <c r="O43" s="57">
        <v>0</v>
      </c>
      <c r="P43" s="57">
        <v>0</v>
      </c>
      <c r="Q43" s="57">
        <v>0</v>
      </c>
      <c r="R43" s="57">
        <v>0</v>
      </c>
      <c r="S43" s="57">
        <v>0</v>
      </c>
      <c r="T43" s="57">
        <v>0</v>
      </c>
      <c r="U43" s="57">
        <v>0</v>
      </c>
      <c r="V43" s="57">
        <v>0</v>
      </c>
      <c r="W43" s="57">
        <v>0</v>
      </c>
      <c r="X43" s="57">
        <v>0</v>
      </c>
      <c r="Y43" s="57">
        <v>0</v>
      </c>
      <c r="Z43" s="57">
        <v>0</v>
      </c>
      <c r="AA43" s="57">
        <v>0</v>
      </c>
      <c r="AB43" s="57">
        <v>0</v>
      </c>
      <c r="AC43" s="57">
        <v>0</v>
      </c>
      <c r="AD43" s="57">
        <v>0</v>
      </c>
      <c r="AE43" s="57">
        <v>0</v>
      </c>
      <c r="AF43" s="57">
        <v>0</v>
      </c>
      <c r="AG43" s="57">
        <v>0</v>
      </c>
      <c r="AH43" s="57">
        <v>0</v>
      </c>
      <c r="AI43" s="57">
        <v>0</v>
      </c>
      <c r="AJ43" s="57">
        <v>0</v>
      </c>
      <c r="AK43" s="57">
        <v>0</v>
      </c>
      <c r="AL43" s="57">
        <v>0</v>
      </c>
      <c r="AM43" s="57">
        <v>0</v>
      </c>
      <c r="AN43" s="57">
        <v>0</v>
      </c>
      <c r="AO43" s="57">
        <v>0</v>
      </c>
      <c r="AP43" s="57">
        <v>0</v>
      </c>
      <c r="AQ43" s="57">
        <v>0</v>
      </c>
      <c r="AR43" s="57">
        <v>0</v>
      </c>
      <c r="AS43" s="57">
        <v>0</v>
      </c>
      <c r="AT43" s="57">
        <v>0</v>
      </c>
      <c r="AU43" s="57">
        <v>0</v>
      </c>
      <c r="AV43" s="57">
        <v>0</v>
      </c>
      <c r="AW43" s="57">
        <v>0</v>
      </c>
      <c r="AX43" s="57">
        <v>0</v>
      </c>
      <c r="AY43" s="57">
        <v>0</v>
      </c>
      <c r="AZ43" s="57">
        <v>0</v>
      </c>
      <c r="BA43" s="57">
        <v>0</v>
      </c>
      <c r="BB43" s="57">
        <v>0</v>
      </c>
      <c r="BC43" s="57">
        <v>0</v>
      </c>
      <c r="BD43" s="57">
        <v>0</v>
      </c>
      <c r="BE43" s="57">
        <v>0</v>
      </c>
      <c r="BF43" s="57">
        <v>0</v>
      </c>
      <c r="BG43" s="57">
        <v>0</v>
      </c>
      <c r="BH43" s="57">
        <v>0</v>
      </c>
      <c r="BI43" s="57">
        <v>0</v>
      </c>
      <c r="BJ43" s="57">
        <v>0</v>
      </c>
      <c r="BK43" s="57">
        <v>0</v>
      </c>
      <c r="BL43" s="57">
        <v>0</v>
      </c>
      <c r="BM43" s="57">
        <v>0</v>
      </c>
      <c r="BN43" s="57">
        <v>0</v>
      </c>
      <c r="BO43" s="57">
        <v>0</v>
      </c>
      <c r="BP43" s="57">
        <v>0</v>
      </c>
      <c r="BQ43" s="57">
        <v>0</v>
      </c>
      <c r="BR43" s="57">
        <v>0</v>
      </c>
      <c r="BS43" s="57">
        <v>0</v>
      </c>
      <c r="BT43" s="57">
        <v>0</v>
      </c>
      <c r="BU43" s="57">
        <v>0</v>
      </c>
      <c r="BV43" s="57">
        <v>0</v>
      </c>
      <c r="BW43" s="57">
        <v>0</v>
      </c>
      <c r="BX43" s="57">
        <v>0</v>
      </c>
      <c r="BY43" s="57">
        <v>0</v>
      </c>
      <c r="BZ43" s="57">
        <v>0</v>
      </c>
      <c r="CA43" s="57">
        <v>0</v>
      </c>
      <c r="CB43" s="57">
        <v>0</v>
      </c>
      <c r="CC43" s="57">
        <v>0</v>
      </c>
      <c r="CD43" s="57">
        <v>0</v>
      </c>
      <c r="CE43" s="57">
        <v>0</v>
      </c>
      <c r="CF43" s="57">
        <v>0</v>
      </c>
      <c r="CG43" s="57">
        <v>0</v>
      </c>
      <c r="CH43" s="57">
        <v>0</v>
      </c>
      <c r="CI43" s="57">
        <v>0</v>
      </c>
      <c r="CJ43" s="57">
        <v>0</v>
      </c>
      <c r="CK43" s="57">
        <v>0</v>
      </c>
      <c r="CL43" s="57">
        <v>0</v>
      </c>
      <c r="CM43" s="57">
        <v>0</v>
      </c>
      <c r="CN43" s="57">
        <v>0</v>
      </c>
      <c r="CO43" s="57">
        <v>0</v>
      </c>
      <c r="CP43" s="57">
        <v>0</v>
      </c>
      <c r="CQ43" s="57">
        <v>0</v>
      </c>
      <c r="CR43" s="57">
        <v>0</v>
      </c>
      <c r="CS43" s="57">
        <v>0</v>
      </c>
      <c r="CT43" s="57">
        <v>0</v>
      </c>
      <c r="CU43" s="57">
        <v>0</v>
      </c>
      <c r="CV43" s="57">
        <v>0</v>
      </c>
      <c r="CW43" s="57">
        <v>0</v>
      </c>
      <c r="CX43" s="57">
        <v>0</v>
      </c>
      <c r="CY43" s="57">
        <v>0</v>
      </c>
      <c r="CZ43" s="57">
        <v>0</v>
      </c>
      <c r="DA43" s="57">
        <v>0</v>
      </c>
      <c r="DB43" s="57">
        <v>0</v>
      </c>
      <c r="DC43" s="57">
        <v>0</v>
      </c>
      <c r="DD43" s="57">
        <v>0</v>
      </c>
      <c r="DE43" s="57">
        <v>0</v>
      </c>
      <c r="DF43" s="57">
        <v>0</v>
      </c>
      <c r="DG43" s="137">
        <v>0</v>
      </c>
      <c r="DH43" s="137">
        <v>0</v>
      </c>
      <c r="DI43" s="137">
        <v>0</v>
      </c>
      <c r="DJ43" s="137">
        <v>0</v>
      </c>
      <c r="DK43" s="137">
        <v>0</v>
      </c>
      <c r="DL43" s="137">
        <v>0</v>
      </c>
      <c r="DM43" s="137">
        <v>0</v>
      </c>
      <c r="DN43" s="137">
        <v>0</v>
      </c>
      <c r="DO43" s="137">
        <v>0</v>
      </c>
      <c r="DP43" s="137">
        <v>0</v>
      </c>
      <c r="DQ43" s="137">
        <v>0</v>
      </c>
      <c r="DR43" s="137">
        <v>0</v>
      </c>
      <c r="DS43" s="137">
        <v>0</v>
      </c>
      <c r="DT43" s="137">
        <v>0</v>
      </c>
      <c r="DU43" s="137">
        <v>0</v>
      </c>
      <c r="DV43" s="137">
        <v>0</v>
      </c>
      <c r="DW43" s="137">
        <v>0</v>
      </c>
      <c r="DX43" s="137">
        <v>0</v>
      </c>
      <c r="DY43" s="137">
        <v>0</v>
      </c>
      <c r="DZ43" s="137">
        <v>0</v>
      </c>
      <c r="EA43" s="137">
        <v>0</v>
      </c>
    </row>
    <row r="44" spans="1:131" x14ac:dyDescent="0.35">
      <c r="A44" s="90" t="e">
        <f>VLOOKUP(E44,'Validation List'!F45:G440,2,FALSE)</f>
        <v>#N/A</v>
      </c>
      <c r="B44" s="90" t="str">
        <f>INDEX('NEW HIRE ROSTER'!$G:$G,MATCH(RAW!F44,'NEW HIRE ROSTER'!$A:$A,0))</f>
        <v>RAMP</v>
      </c>
      <c r="C44" s="90" t="str">
        <f>INDEX('NEW HIRE ROSTER'!$F:$F,MATCH(RAW!F44,'NEW HIRE ROSTER'!$A:$A,0))</f>
        <v>Class 8</v>
      </c>
      <c r="D44" s="90" t="str">
        <f>INDEX('Validation List'!$H:$H,MATCH(RAW!E44,'Validation List'!$F:$F,0))</f>
        <v>Jan Week 1</v>
      </c>
      <c r="E44" s="89">
        <v>45663</v>
      </c>
      <c r="F44" s="56" t="s">
        <v>958</v>
      </c>
      <c r="G44" s="90" t="str">
        <f>VLOOKUP(F44,ML!C8:D606,2,FALSE)</f>
        <v>Cres Marvin Alexander Alvaro</v>
      </c>
      <c r="H44" s="90" t="str">
        <f>VLOOKUP(F44,ML!C8:E606,3,FALSE)</f>
        <v>CEBU</v>
      </c>
      <c r="I44" s="83" t="s">
        <v>191</v>
      </c>
      <c r="J44" s="56" t="s">
        <v>209</v>
      </c>
      <c r="K44" s="56" t="s">
        <v>163</v>
      </c>
      <c r="L44" s="56" t="s">
        <v>2281</v>
      </c>
      <c r="M44" s="91">
        <v>1</v>
      </c>
      <c r="N44" s="57">
        <v>0</v>
      </c>
      <c r="O44" s="57">
        <v>0</v>
      </c>
      <c r="P44" s="57">
        <v>0</v>
      </c>
      <c r="Q44" s="57">
        <v>0</v>
      </c>
      <c r="R44" s="57">
        <v>0</v>
      </c>
      <c r="S44" s="57">
        <v>0</v>
      </c>
      <c r="T44" s="57">
        <v>0</v>
      </c>
      <c r="U44" s="57">
        <v>0</v>
      </c>
      <c r="V44" s="57">
        <v>0</v>
      </c>
      <c r="W44" s="57">
        <v>0</v>
      </c>
      <c r="X44" s="57">
        <v>0</v>
      </c>
      <c r="Y44" s="57">
        <v>0</v>
      </c>
      <c r="Z44" s="57">
        <v>0</v>
      </c>
      <c r="AA44" s="57">
        <v>0</v>
      </c>
      <c r="AB44" s="57">
        <v>0</v>
      </c>
      <c r="AC44" s="57">
        <v>0</v>
      </c>
      <c r="AD44" s="57">
        <v>0</v>
      </c>
      <c r="AE44" s="57">
        <v>0</v>
      </c>
      <c r="AF44" s="57">
        <v>0</v>
      </c>
      <c r="AG44" s="57">
        <v>0</v>
      </c>
      <c r="AH44" s="57">
        <v>0</v>
      </c>
      <c r="AI44" s="57">
        <v>0</v>
      </c>
      <c r="AJ44" s="57">
        <v>0</v>
      </c>
      <c r="AK44" s="57">
        <v>0</v>
      </c>
      <c r="AL44" s="57">
        <v>0</v>
      </c>
      <c r="AM44" s="57">
        <v>0</v>
      </c>
      <c r="AN44" s="57">
        <v>0</v>
      </c>
      <c r="AO44" s="57">
        <v>0</v>
      </c>
      <c r="AP44" s="57">
        <v>0</v>
      </c>
      <c r="AQ44" s="57">
        <v>0</v>
      </c>
      <c r="AR44" s="57">
        <v>0</v>
      </c>
      <c r="AS44" s="57">
        <v>0</v>
      </c>
      <c r="AT44" s="57">
        <v>0</v>
      </c>
      <c r="AU44" s="57">
        <v>0</v>
      </c>
      <c r="AV44" s="57">
        <v>0</v>
      </c>
      <c r="AW44" s="57">
        <v>0</v>
      </c>
      <c r="AX44" s="57">
        <v>0</v>
      </c>
      <c r="AY44" s="57">
        <v>0</v>
      </c>
      <c r="AZ44" s="57">
        <v>0</v>
      </c>
      <c r="BA44" s="57">
        <v>0</v>
      </c>
      <c r="BB44" s="57">
        <v>0</v>
      </c>
      <c r="BC44" s="57">
        <v>0</v>
      </c>
      <c r="BD44" s="57">
        <v>0</v>
      </c>
      <c r="BE44" s="57">
        <v>0</v>
      </c>
      <c r="BF44" s="57">
        <v>0</v>
      </c>
      <c r="BG44" s="57">
        <v>0</v>
      </c>
      <c r="BH44" s="57">
        <v>0</v>
      </c>
      <c r="BI44" s="57">
        <v>0</v>
      </c>
      <c r="BJ44" s="57">
        <v>0</v>
      </c>
      <c r="BK44" s="57">
        <v>0</v>
      </c>
      <c r="BL44" s="57">
        <v>0</v>
      </c>
      <c r="BM44" s="57">
        <v>0</v>
      </c>
      <c r="BN44" s="57">
        <v>0</v>
      </c>
      <c r="BO44" s="57">
        <v>0</v>
      </c>
      <c r="BP44" s="57">
        <v>0</v>
      </c>
      <c r="BQ44" s="57">
        <v>0</v>
      </c>
      <c r="BR44" s="57">
        <v>0</v>
      </c>
      <c r="BS44" s="57">
        <v>0</v>
      </c>
      <c r="BT44" s="57">
        <v>0</v>
      </c>
      <c r="BU44" s="57">
        <v>0</v>
      </c>
      <c r="BV44" s="57">
        <v>0</v>
      </c>
      <c r="BW44" s="57">
        <v>0</v>
      </c>
      <c r="BX44" s="57">
        <v>0</v>
      </c>
      <c r="BY44" s="57">
        <v>0</v>
      </c>
      <c r="BZ44" s="57">
        <v>0</v>
      </c>
      <c r="CA44" s="57">
        <v>0</v>
      </c>
      <c r="CB44" s="57">
        <v>0</v>
      </c>
      <c r="CC44" s="57">
        <v>0</v>
      </c>
      <c r="CD44" s="57">
        <v>0</v>
      </c>
      <c r="CE44" s="57">
        <v>0</v>
      </c>
      <c r="CF44" s="57">
        <v>0</v>
      </c>
      <c r="CG44" s="57">
        <v>0</v>
      </c>
      <c r="CH44" s="57">
        <v>0</v>
      </c>
      <c r="CI44" s="57">
        <v>0</v>
      </c>
      <c r="CJ44" s="57">
        <v>0</v>
      </c>
      <c r="CK44" s="57">
        <v>0</v>
      </c>
      <c r="CL44" s="57">
        <v>0</v>
      </c>
      <c r="CM44" s="57">
        <v>0</v>
      </c>
      <c r="CN44" s="57">
        <v>0</v>
      </c>
      <c r="CO44" s="57">
        <v>0</v>
      </c>
      <c r="CP44" s="57">
        <v>0</v>
      </c>
      <c r="CQ44" s="57">
        <v>0</v>
      </c>
      <c r="CR44" s="57">
        <v>0</v>
      </c>
      <c r="CS44" s="57">
        <v>0</v>
      </c>
      <c r="CT44" s="57">
        <v>0</v>
      </c>
      <c r="CU44" s="57">
        <v>0</v>
      </c>
      <c r="CV44" s="57">
        <v>0</v>
      </c>
      <c r="CW44" s="57">
        <v>0</v>
      </c>
      <c r="CX44" s="57">
        <v>0</v>
      </c>
      <c r="CY44" s="57">
        <v>0</v>
      </c>
      <c r="CZ44" s="57">
        <v>0</v>
      </c>
      <c r="DA44" s="57">
        <v>0</v>
      </c>
      <c r="DB44" s="57">
        <v>0</v>
      </c>
      <c r="DC44" s="57">
        <v>0</v>
      </c>
      <c r="DD44" s="57">
        <v>0</v>
      </c>
      <c r="DE44" s="57">
        <v>0</v>
      </c>
      <c r="DF44" s="57">
        <v>0</v>
      </c>
      <c r="DG44" s="137">
        <v>0</v>
      </c>
      <c r="DH44" s="137">
        <v>0</v>
      </c>
      <c r="DI44" s="137">
        <v>0</v>
      </c>
      <c r="DJ44" s="137">
        <v>0</v>
      </c>
      <c r="DK44" s="137">
        <v>0</v>
      </c>
      <c r="DL44" s="137">
        <v>0</v>
      </c>
      <c r="DM44" s="137">
        <v>0</v>
      </c>
      <c r="DN44" s="137">
        <v>0</v>
      </c>
      <c r="DO44" s="137">
        <v>0</v>
      </c>
      <c r="DP44" s="137">
        <v>0</v>
      </c>
      <c r="DQ44" s="137">
        <v>0</v>
      </c>
      <c r="DR44" s="137">
        <v>0</v>
      </c>
      <c r="DS44" s="137">
        <v>0</v>
      </c>
      <c r="DT44" s="137">
        <v>0</v>
      </c>
      <c r="DU44" s="137">
        <v>0</v>
      </c>
      <c r="DV44" s="137">
        <v>0</v>
      </c>
      <c r="DW44" s="137">
        <v>0</v>
      </c>
      <c r="DX44" s="137">
        <v>0</v>
      </c>
      <c r="DY44" s="137">
        <v>0</v>
      </c>
      <c r="DZ44" s="137">
        <v>0</v>
      </c>
      <c r="EA44" s="137">
        <v>0</v>
      </c>
    </row>
    <row r="45" spans="1:131" x14ac:dyDescent="0.35">
      <c r="A45" s="90" t="e">
        <f>VLOOKUP(E45,'Validation List'!F46:G441,2,FALSE)</f>
        <v>#N/A</v>
      </c>
      <c r="B45" s="90" t="str">
        <f>INDEX('NEW HIRE ROSTER'!$G:$G,MATCH(RAW!F45,'NEW HIRE ROSTER'!$A:$A,0))</f>
        <v>RAMP</v>
      </c>
      <c r="C45" s="90" t="str">
        <f>INDEX('NEW HIRE ROSTER'!$F:$F,MATCH(RAW!F45,'NEW HIRE ROSTER'!$A:$A,0))</f>
        <v>Class 10</v>
      </c>
      <c r="D45" s="90" t="str">
        <f>INDEX('Validation List'!$H:$H,MATCH(RAW!E45,'Validation List'!$F:$F,0))</f>
        <v>Jan Week 1</v>
      </c>
      <c r="E45" s="89">
        <v>45664</v>
      </c>
      <c r="F45" s="56" t="s">
        <v>1912</v>
      </c>
      <c r="G45" s="90" t="str">
        <f>VLOOKUP(F45,ML!C9:D607,2,FALSE)</f>
        <v>Jeric Amazona Mansibang</v>
      </c>
      <c r="H45" s="90" t="str">
        <f>VLOOKUP(F45,ML!C9:E607,3,FALSE)</f>
        <v>QC</v>
      </c>
      <c r="I45" s="83" t="s">
        <v>203</v>
      </c>
      <c r="J45" s="56" t="s">
        <v>209</v>
      </c>
      <c r="K45" s="56" t="s">
        <v>163</v>
      </c>
      <c r="L45" s="56" t="s">
        <v>2283</v>
      </c>
      <c r="M45" s="91">
        <v>1</v>
      </c>
      <c r="N45" s="57">
        <v>0</v>
      </c>
      <c r="O45" s="57">
        <v>0</v>
      </c>
      <c r="P45" s="57">
        <v>0</v>
      </c>
      <c r="Q45" s="57">
        <v>0</v>
      </c>
      <c r="R45" s="57">
        <v>0</v>
      </c>
      <c r="S45" s="57">
        <v>0</v>
      </c>
      <c r="T45" s="57">
        <v>0</v>
      </c>
      <c r="U45" s="57">
        <v>0</v>
      </c>
      <c r="V45" s="57">
        <v>0</v>
      </c>
      <c r="W45" s="57">
        <v>0</v>
      </c>
      <c r="X45" s="57">
        <v>0</v>
      </c>
      <c r="Y45" s="57">
        <v>0</v>
      </c>
      <c r="Z45" s="57">
        <v>0</v>
      </c>
      <c r="AA45" s="57">
        <v>0</v>
      </c>
      <c r="AB45" s="57">
        <v>0</v>
      </c>
      <c r="AC45" s="57">
        <v>0</v>
      </c>
      <c r="AD45" s="57">
        <v>0</v>
      </c>
      <c r="AE45" s="57">
        <v>0</v>
      </c>
      <c r="AF45" s="57">
        <v>0</v>
      </c>
      <c r="AG45" s="57">
        <v>0</v>
      </c>
      <c r="AH45" s="57">
        <v>0</v>
      </c>
      <c r="AI45" s="57">
        <v>0</v>
      </c>
      <c r="AJ45" s="57">
        <v>0</v>
      </c>
      <c r="AK45" s="57">
        <v>0</v>
      </c>
      <c r="AL45" s="57">
        <v>0</v>
      </c>
      <c r="AM45" s="57">
        <v>0</v>
      </c>
      <c r="AN45" s="57">
        <v>0</v>
      </c>
      <c r="AO45" s="57">
        <v>0</v>
      </c>
      <c r="AP45" s="57">
        <v>0</v>
      </c>
      <c r="AQ45" s="57">
        <v>0</v>
      </c>
      <c r="AR45" s="57">
        <v>0</v>
      </c>
      <c r="AS45" s="57">
        <v>0</v>
      </c>
      <c r="AT45" s="57">
        <v>0</v>
      </c>
      <c r="AU45" s="57">
        <v>0</v>
      </c>
      <c r="AV45" s="57">
        <v>0</v>
      </c>
      <c r="AW45" s="57">
        <v>0</v>
      </c>
      <c r="AX45" s="57">
        <v>0</v>
      </c>
      <c r="AY45" s="57">
        <v>0</v>
      </c>
      <c r="AZ45" s="57">
        <v>0</v>
      </c>
      <c r="BA45" s="57">
        <v>0</v>
      </c>
      <c r="BB45" s="57">
        <v>0</v>
      </c>
      <c r="BC45" s="57">
        <v>0</v>
      </c>
      <c r="BD45" s="57">
        <v>0</v>
      </c>
      <c r="BE45" s="57">
        <v>0</v>
      </c>
      <c r="BF45" s="57">
        <v>0</v>
      </c>
      <c r="BG45" s="57">
        <v>0</v>
      </c>
      <c r="BH45" s="57">
        <v>0</v>
      </c>
      <c r="BI45" s="57">
        <v>0</v>
      </c>
      <c r="BJ45" s="57">
        <v>0</v>
      </c>
      <c r="BK45" s="57">
        <v>0</v>
      </c>
      <c r="BL45" s="57">
        <v>0</v>
      </c>
      <c r="BM45" s="57">
        <v>0</v>
      </c>
      <c r="BN45" s="57">
        <v>0</v>
      </c>
      <c r="BO45" s="57">
        <v>0</v>
      </c>
      <c r="BP45" s="57">
        <v>0</v>
      </c>
      <c r="BQ45" s="57">
        <v>0</v>
      </c>
      <c r="BR45" s="57">
        <v>0</v>
      </c>
      <c r="BS45" s="57">
        <v>0</v>
      </c>
      <c r="BT45" s="57">
        <v>0</v>
      </c>
      <c r="BU45" s="57">
        <v>0</v>
      </c>
      <c r="BV45" s="57">
        <v>0</v>
      </c>
      <c r="BW45" s="57">
        <v>0</v>
      </c>
      <c r="BX45" s="57">
        <v>0</v>
      </c>
      <c r="BY45" s="57">
        <v>0</v>
      </c>
      <c r="BZ45" s="57">
        <v>0</v>
      </c>
      <c r="CA45" s="57">
        <v>0</v>
      </c>
      <c r="CB45" s="57">
        <v>0</v>
      </c>
      <c r="CC45" s="57">
        <v>0</v>
      </c>
      <c r="CD45" s="57">
        <v>0</v>
      </c>
      <c r="CE45" s="57">
        <v>0</v>
      </c>
      <c r="CF45" s="57">
        <v>0</v>
      </c>
      <c r="CG45" s="57">
        <v>0</v>
      </c>
      <c r="CH45" s="57">
        <v>0</v>
      </c>
      <c r="CI45" s="57">
        <v>0</v>
      </c>
      <c r="CJ45" s="57">
        <v>0</v>
      </c>
      <c r="CK45" s="57">
        <v>0</v>
      </c>
      <c r="CL45" s="57">
        <v>0</v>
      </c>
      <c r="CM45" s="57">
        <v>0</v>
      </c>
      <c r="CN45" s="57">
        <v>0</v>
      </c>
      <c r="CO45" s="57">
        <v>0</v>
      </c>
      <c r="CP45" s="57">
        <v>0</v>
      </c>
      <c r="CQ45" s="57">
        <v>0</v>
      </c>
      <c r="CR45" s="57">
        <v>0</v>
      </c>
      <c r="CS45" s="57">
        <v>0</v>
      </c>
      <c r="CT45" s="57">
        <v>0</v>
      </c>
      <c r="CU45" s="57">
        <v>0</v>
      </c>
      <c r="CV45" s="57">
        <v>0</v>
      </c>
      <c r="CW45" s="57">
        <v>0</v>
      </c>
      <c r="CX45" s="57">
        <v>0</v>
      </c>
      <c r="CY45" s="57">
        <v>0</v>
      </c>
      <c r="CZ45" s="57">
        <v>0</v>
      </c>
      <c r="DA45" s="57">
        <v>0</v>
      </c>
      <c r="DB45" s="57">
        <v>0</v>
      </c>
      <c r="DC45" s="57">
        <v>0</v>
      </c>
      <c r="DD45" s="57">
        <v>0</v>
      </c>
      <c r="DE45" s="57">
        <v>0</v>
      </c>
      <c r="DF45" s="57">
        <v>0</v>
      </c>
      <c r="DG45" s="137">
        <v>0</v>
      </c>
      <c r="DH45" s="137">
        <v>0</v>
      </c>
      <c r="DI45" s="137">
        <v>0</v>
      </c>
      <c r="DJ45" s="137">
        <v>0</v>
      </c>
      <c r="DK45" s="137">
        <v>0</v>
      </c>
      <c r="DL45" s="137">
        <v>0</v>
      </c>
      <c r="DM45" s="137">
        <v>0</v>
      </c>
      <c r="DN45" s="137">
        <v>0</v>
      </c>
      <c r="DO45" s="137">
        <v>0</v>
      </c>
      <c r="DP45" s="137">
        <v>0</v>
      </c>
      <c r="DQ45" s="137">
        <v>0</v>
      </c>
      <c r="DR45" s="137">
        <v>0</v>
      </c>
      <c r="DS45" s="137">
        <v>0</v>
      </c>
      <c r="DT45" s="137">
        <v>0</v>
      </c>
      <c r="DU45" s="137">
        <v>0</v>
      </c>
      <c r="DV45" s="137">
        <v>0</v>
      </c>
      <c r="DW45" s="137">
        <v>0</v>
      </c>
      <c r="DX45" s="137">
        <v>0</v>
      </c>
      <c r="DY45" s="137">
        <v>0</v>
      </c>
      <c r="DZ45" s="137">
        <v>0</v>
      </c>
      <c r="EA45" s="137">
        <v>0</v>
      </c>
    </row>
    <row r="46" spans="1:131" s="147" customFormat="1" x14ac:dyDescent="0.35">
      <c r="A46" s="90" t="e">
        <f>VLOOKUP(E46,'Validation List'!F47:G442,2,FALSE)</f>
        <v>#N/A</v>
      </c>
      <c r="B46" s="133" t="str">
        <f>INDEX('NEW HIRE ROSTER'!$G:$G,MATCH(RAW!F46,'NEW HIRE ROSTER'!$A:$A,0))</f>
        <v>Nesting</v>
      </c>
      <c r="C46" s="133" t="str">
        <f>INDEX('NEW HIRE ROSTER'!$F:$F,MATCH(RAW!F46,'NEW HIRE ROSTER'!$A:$A,0))</f>
        <v>Class 11.1</v>
      </c>
      <c r="D46" s="133" t="str">
        <f>INDEX('Validation List'!$H:$H,MATCH(RAW!E46,'Validation List'!$F:$F,0))</f>
        <v>Jan Week 1</v>
      </c>
      <c r="E46" s="134">
        <v>45665</v>
      </c>
      <c r="F46" s="133" t="s">
        <v>1984</v>
      </c>
      <c r="G46" s="133" t="str">
        <f>VLOOKUP(F46,ML!C10:D608,2,FALSE)</f>
        <v>Robin Antolihao Llamido</v>
      </c>
      <c r="H46" s="133" t="str">
        <f>VLOOKUP(F46,ML!C10:E608,3,FALSE)</f>
        <v>QC</v>
      </c>
      <c r="I46" s="133" t="s">
        <v>2379</v>
      </c>
      <c r="J46" s="133" t="s">
        <v>209</v>
      </c>
      <c r="K46" s="133" t="s">
        <v>2407</v>
      </c>
      <c r="L46" s="133" t="s">
        <v>1983</v>
      </c>
      <c r="M46" s="135">
        <v>1</v>
      </c>
      <c r="N46" s="136">
        <v>0</v>
      </c>
      <c r="O46" s="136">
        <v>0</v>
      </c>
      <c r="P46" s="136">
        <v>0</v>
      </c>
      <c r="Q46" s="136">
        <v>0</v>
      </c>
      <c r="R46" s="136">
        <v>0</v>
      </c>
      <c r="S46" s="136">
        <v>0</v>
      </c>
      <c r="T46" s="136">
        <v>0</v>
      </c>
      <c r="U46" s="136">
        <v>0</v>
      </c>
      <c r="V46" s="136">
        <v>0</v>
      </c>
      <c r="W46" s="136">
        <v>0</v>
      </c>
      <c r="X46" s="136">
        <v>0</v>
      </c>
      <c r="Y46" s="136">
        <v>0</v>
      </c>
      <c r="Z46" s="136">
        <v>0</v>
      </c>
      <c r="AA46" s="136">
        <v>0</v>
      </c>
      <c r="AB46" s="136">
        <v>0</v>
      </c>
      <c r="AC46" s="136">
        <v>0</v>
      </c>
      <c r="AD46" s="136">
        <v>0</v>
      </c>
      <c r="AE46" s="136">
        <v>0</v>
      </c>
      <c r="AF46" s="136">
        <v>0</v>
      </c>
      <c r="AG46" s="136">
        <v>0</v>
      </c>
      <c r="AH46" s="136">
        <v>0</v>
      </c>
      <c r="AI46" s="136">
        <v>0</v>
      </c>
      <c r="AJ46" s="136">
        <v>0</v>
      </c>
      <c r="AK46" s="136">
        <v>0</v>
      </c>
      <c r="AL46" s="136">
        <v>0</v>
      </c>
      <c r="AM46" s="136">
        <v>0</v>
      </c>
      <c r="AN46" s="136">
        <v>0</v>
      </c>
      <c r="AO46" s="136">
        <v>0</v>
      </c>
      <c r="AP46" s="136">
        <v>0</v>
      </c>
      <c r="AQ46" s="136">
        <v>0</v>
      </c>
      <c r="AR46" s="136">
        <v>0</v>
      </c>
      <c r="AS46" s="136">
        <v>0</v>
      </c>
      <c r="AT46" s="136">
        <v>0</v>
      </c>
      <c r="AU46" s="136">
        <v>0</v>
      </c>
      <c r="AV46" s="136">
        <v>0</v>
      </c>
      <c r="AW46" s="136">
        <v>0</v>
      </c>
      <c r="AX46" s="136">
        <v>0</v>
      </c>
      <c r="AY46" s="136">
        <v>0</v>
      </c>
      <c r="AZ46" s="136">
        <v>0</v>
      </c>
      <c r="BA46" s="136">
        <v>0</v>
      </c>
      <c r="BB46" s="136">
        <v>0</v>
      </c>
      <c r="BC46" s="136">
        <v>0</v>
      </c>
      <c r="BD46" s="136">
        <v>0</v>
      </c>
      <c r="BE46" s="136">
        <v>0</v>
      </c>
      <c r="BF46" s="136">
        <v>0</v>
      </c>
      <c r="BG46" s="136">
        <v>0</v>
      </c>
      <c r="BH46" s="136">
        <v>0</v>
      </c>
      <c r="BI46" s="136">
        <v>0</v>
      </c>
      <c r="BJ46" s="136">
        <v>0</v>
      </c>
      <c r="BK46" s="136">
        <v>0</v>
      </c>
      <c r="BL46" s="136">
        <v>0</v>
      </c>
      <c r="BM46" s="136">
        <v>0</v>
      </c>
      <c r="BN46" s="136">
        <v>0</v>
      </c>
      <c r="BO46" s="136">
        <v>0</v>
      </c>
      <c r="BP46" s="136">
        <v>0</v>
      </c>
      <c r="BQ46" s="136">
        <v>0</v>
      </c>
      <c r="BR46" s="136">
        <v>0</v>
      </c>
      <c r="BS46" s="136">
        <v>0</v>
      </c>
      <c r="BT46" s="136">
        <v>0</v>
      </c>
      <c r="BU46" s="136">
        <v>0</v>
      </c>
      <c r="BV46" s="136">
        <v>0</v>
      </c>
      <c r="BW46" s="136">
        <v>0</v>
      </c>
      <c r="BX46" s="136">
        <v>0</v>
      </c>
      <c r="BY46" s="136">
        <v>0</v>
      </c>
      <c r="BZ46" s="136">
        <v>0</v>
      </c>
      <c r="CA46" s="136">
        <v>0</v>
      </c>
      <c r="CB46" s="136">
        <v>0</v>
      </c>
      <c r="CC46" s="136">
        <v>0</v>
      </c>
      <c r="CD46" s="136">
        <v>0</v>
      </c>
      <c r="CE46" s="136">
        <v>0</v>
      </c>
      <c r="CF46" s="136">
        <v>0</v>
      </c>
      <c r="CG46" s="136">
        <v>0</v>
      </c>
      <c r="CH46" s="136">
        <v>0</v>
      </c>
      <c r="CI46" s="136">
        <v>0</v>
      </c>
      <c r="CJ46" s="136">
        <v>0</v>
      </c>
      <c r="CK46" s="136">
        <v>0</v>
      </c>
      <c r="CL46" s="136">
        <v>0</v>
      </c>
      <c r="CM46" s="136">
        <v>0</v>
      </c>
      <c r="CN46" s="136">
        <v>0</v>
      </c>
      <c r="CO46" s="136">
        <v>0</v>
      </c>
      <c r="CP46" s="136">
        <v>0</v>
      </c>
      <c r="CQ46" s="136">
        <v>0</v>
      </c>
      <c r="CR46" s="136">
        <v>0</v>
      </c>
      <c r="CS46" s="136">
        <v>0</v>
      </c>
      <c r="CT46" s="136">
        <v>0</v>
      </c>
      <c r="CU46" s="136">
        <v>0</v>
      </c>
      <c r="CV46" s="136">
        <v>0</v>
      </c>
      <c r="CW46" s="136">
        <v>0</v>
      </c>
      <c r="CX46" s="136">
        <v>0</v>
      </c>
      <c r="CY46" s="136">
        <v>0</v>
      </c>
      <c r="CZ46" s="136">
        <v>0</v>
      </c>
      <c r="DA46" s="136">
        <v>0</v>
      </c>
      <c r="DB46" s="136">
        <v>0</v>
      </c>
      <c r="DC46" s="136">
        <v>0</v>
      </c>
      <c r="DD46" s="136">
        <v>0</v>
      </c>
      <c r="DE46" s="136">
        <v>0</v>
      </c>
      <c r="DF46" s="136">
        <v>0</v>
      </c>
      <c r="DG46" s="147">
        <v>0</v>
      </c>
      <c r="DH46" s="147">
        <v>0</v>
      </c>
      <c r="DI46" s="147">
        <v>0</v>
      </c>
      <c r="DJ46" s="147">
        <v>0</v>
      </c>
      <c r="DK46" s="147">
        <v>0</v>
      </c>
      <c r="DL46" s="147">
        <v>0</v>
      </c>
      <c r="DM46" s="147">
        <v>0</v>
      </c>
      <c r="DN46" s="147">
        <v>0</v>
      </c>
      <c r="DO46" s="147">
        <v>0</v>
      </c>
      <c r="DP46" s="147">
        <v>0</v>
      </c>
      <c r="DQ46" s="147">
        <v>0</v>
      </c>
      <c r="DR46" s="147">
        <v>0</v>
      </c>
      <c r="DS46" s="147">
        <v>0</v>
      </c>
      <c r="DT46" s="147">
        <v>0</v>
      </c>
      <c r="DU46" s="147">
        <v>0</v>
      </c>
      <c r="DV46" s="147">
        <v>0</v>
      </c>
      <c r="DW46" s="147">
        <v>0</v>
      </c>
      <c r="DX46" s="147">
        <v>0</v>
      </c>
      <c r="DY46" s="147">
        <v>0</v>
      </c>
      <c r="DZ46" s="147">
        <v>0</v>
      </c>
      <c r="EA46" s="147">
        <v>0</v>
      </c>
    </row>
    <row r="47" spans="1:131" x14ac:dyDescent="0.35">
      <c r="A47" s="90" t="e">
        <f>VLOOKUP(E47,'Validation List'!F48:G443,2,FALSE)</f>
        <v>#N/A</v>
      </c>
      <c r="B47" s="90" t="str">
        <f>INDEX('NEW HIRE ROSTER'!$G:$G,MATCH(RAW!F47,'NEW HIRE ROSTER'!$A:$A,0))</f>
        <v>Nesting</v>
      </c>
      <c r="C47" s="90" t="str">
        <f>INDEX('NEW HIRE ROSTER'!$F:$F,MATCH(RAW!F47,'NEW HIRE ROSTER'!$A:$A,0))</f>
        <v>Class 11.2</v>
      </c>
      <c r="D47" s="90" t="str">
        <f>INDEX('Validation List'!$H:$H,MATCH(RAW!E47,'Validation List'!$F:$F,0))</f>
        <v>Jan Week 2</v>
      </c>
      <c r="E47" s="89">
        <v>45671</v>
      </c>
      <c r="F47" s="56" t="s">
        <v>2035</v>
      </c>
      <c r="G47" s="90" t="str">
        <f>VLOOKUP(F47,ML!C31:D629,2,FALSE)</f>
        <v>Khyno Elimanco Cortez</v>
      </c>
      <c r="H47" s="90" t="str">
        <f>VLOOKUP(F47,ML!C31:E629,3,FALSE)</f>
        <v>QC</v>
      </c>
      <c r="I47" s="83" t="s">
        <v>2381</v>
      </c>
      <c r="J47" s="56" t="s">
        <v>209</v>
      </c>
      <c r="K47" s="56" t="s">
        <v>163</v>
      </c>
      <c r="L47" s="56" t="s">
        <v>2387</v>
      </c>
      <c r="M47" s="91">
        <v>0.94</v>
      </c>
      <c r="N47" s="57">
        <v>0</v>
      </c>
      <c r="O47" s="57">
        <v>0</v>
      </c>
      <c r="P47" s="57">
        <v>0</v>
      </c>
      <c r="Q47" s="57">
        <v>0</v>
      </c>
      <c r="R47" s="57">
        <v>0</v>
      </c>
      <c r="S47" s="57">
        <v>0</v>
      </c>
      <c r="T47" s="57">
        <v>0</v>
      </c>
      <c r="U47" s="57">
        <v>0</v>
      </c>
      <c r="V47" s="57">
        <v>0</v>
      </c>
      <c r="W47" s="57">
        <v>0</v>
      </c>
      <c r="X47" s="57">
        <v>0</v>
      </c>
      <c r="Y47" s="57">
        <v>0</v>
      </c>
      <c r="Z47" s="57">
        <v>0</v>
      </c>
      <c r="AA47" s="57">
        <v>0</v>
      </c>
      <c r="AB47" s="57">
        <v>0</v>
      </c>
      <c r="AC47" s="57">
        <v>0</v>
      </c>
      <c r="AD47" s="57">
        <v>0</v>
      </c>
      <c r="AE47" s="57">
        <v>0</v>
      </c>
      <c r="AF47" s="57">
        <v>0</v>
      </c>
      <c r="AG47" s="57">
        <v>0</v>
      </c>
      <c r="AH47" s="57">
        <v>0</v>
      </c>
      <c r="AI47" s="57">
        <v>0</v>
      </c>
      <c r="AJ47" s="57">
        <v>0</v>
      </c>
      <c r="AK47" s="57">
        <v>0</v>
      </c>
      <c r="AL47" s="57">
        <v>0</v>
      </c>
      <c r="AM47" s="57">
        <v>0</v>
      </c>
      <c r="AN47" s="57">
        <v>0</v>
      </c>
      <c r="AO47" s="57">
        <v>0</v>
      </c>
      <c r="AP47" s="57">
        <v>0</v>
      </c>
      <c r="AQ47" s="57">
        <v>0</v>
      </c>
      <c r="AR47" s="57">
        <v>0</v>
      </c>
      <c r="AS47" s="57">
        <v>0</v>
      </c>
      <c r="AT47" s="57">
        <v>0</v>
      </c>
      <c r="AU47" s="57">
        <v>0</v>
      </c>
      <c r="AV47" s="57">
        <v>0</v>
      </c>
      <c r="AW47" s="57">
        <v>1</v>
      </c>
      <c r="AX47" s="57">
        <v>0</v>
      </c>
      <c r="AY47" s="57">
        <v>0</v>
      </c>
      <c r="AZ47" s="57">
        <v>0</v>
      </c>
      <c r="BA47" s="57">
        <v>0</v>
      </c>
      <c r="BB47" s="57">
        <v>0</v>
      </c>
      <c r="BC47" s="57">
        <v>0</v>
      </c>
      <c r="BD47" s="57">
        <v>0</v>
      </c>
      <c r="BE47" s="57">
        <v>0</v>
      </c>
      <c r="BF47" s="57">
        <v>0</v>
      </c>
      <c r="BG47" s="57">
        <v>0</v>
      </c>
      <c r="BH47" s="57">
        <v>0</v>
      </c>
      <c r="BI47" s="57">
        <v>0</v>
      </c>
      <c r="BJ47" s="57">
        <v>0</v>
      </c>
      <c r="BK47" s="57">
        <v>0</v>
      </c>
      <c r="BL47" s="57">
        <v>0</v>
      </c>
      <c r="BM47" s="57">
        <v>0</v>
      </c>
      <c r="BN47" s="57">
        <v>0</v>
      </c>
      <c r="BO47" s="57">
        <v>0</v>
      </c>
      <c r="BP47" s="57">
        <v>0</v>
      </c>
      <c r="BQ47" s="57">
        <v>0</v>
      </c>
      <c r="BR47" s="57">
        <v>0</v>
      </c>
      <c r="BS47" s="57">
        <v>0</v>
      </c>
      <c r="BT47" s="57">
        <v>0</v>
      </c>
      <c r="BU47" s="57">
        <v>0</v>
      </c>
      <c r="BV47" s="57">
        <v>0</v>
      </c>
      <c r="BW47" s="57">
        <v>0</v>
      </c>
      <c r="BX47" s="57">
        <v>0</v>
      </c>
      <c r="BY47" s="57">
        <v>0</v>
      </c>
      <c r="BZ47" s="57">
        <v>0</v>
      </c>
      <c r="CA47" s="57">
        <v>0</v>
      </c>
      <c r="CB47" s="57">
        <v>0</v>
      </c>
      <c r="CC47" s="57">
        <v>0</v>
      </c>
      <c r="CD47" s="57">
        <v>0</v>
      </c>
      <c r="CE47" s="57">
        <v>0</v>
      </c>
      <c r="CF47" s="57">
        <v>0</v>
      </c>
      <c r="CG47" s="57">
        <v>0</v>
      </c>
      <c r="CH47" s="57">
        <v>0</v>
      </c>
      <c r="CI47" s="57">
        <v>0</v>
      </c>
      <c r="CJ47" s="57">
        <v>0</v>
      </c>
      <c r="CK47" s="57">
        <v>0</v>
      </c>
      <c r="CL47" s="57">
        <v>0</v>
      </c>
      <c r="CM47" s="57">
        <v>0</v>
      </c>
      <c r="CN47" s="57">
        <v>0</v>
      </c>
      <c r="CO47" s="57">
        <v>0</v>
      </c>
      <c r="CP47" s="57">
        <v>0</v>
      </c>
      <c r="CQ47" s="57">
        <v>0</v>
      </c>
      <c r="CR47" s="57">
        <v>0</v>
      </c>
      <c r="CS47" s="57">
        <v>0</v>
      </c>
      <c r="CT47" s="57">
        <v>0</v>
      </c>
      <c r="CU47" s="57">
        <v>0</v>
      </c>
      <c r="CV47" s="57">
        <v>0</v>
      </c>
      <c r="CW47" s="57">
        <v>0</v>
      </c>
      <c r="CX47" s="57">
        <v>0</v>
      </c>
      <c r="CY47" s="57">
        <v>0</v>
      </c>
      <c r="CZ47" s="57">
        <v>0</v>
      </c>
      <c r="DA47" s="57">
        <v>0</v>
      </c>
      <c r="DB47" s="57">
        <v>0</v>
      </c>
      <c r="DC47" s="57">
        <v>0</v>
      </c>
      <c r="DD47" s="57">
        <v>0</v>
      </c>
      <c r="DE47" s="57">
        <v>0</v>
      </c>
      <c r="DF47" s="57">
        <v>0</v>
      </c>
      <c r="DG47" s="137">
        <v>0</v>
      </c>
      <c r="DH47" s="137">
        <v>0</v>
      </c>
      <c r="DI47" s="137">
        <v>0</v>
      </c>
      <c r="DJ47" s="137">
        <v>0</v>
      </c>
      <c r="DK47" s="137">
        <v>0</v>
      </c>
      <c r="DL47" s="137">
        <v>0</v>
      </c>
      <c r="DM47" s="137">
        <v>0</v>
      </c>
      <c r="DN47" s="137">
        <v>0</v>
      </c>
      <c r="DO47" s="137">
        <v>0</v>
      </c>
      <c r="DP47" s="137">
        <v>0</v>
      </c>
      <c r="DQ47" s="137">
        <v>0</v>
      </c>
      <c r="DR47" s="137">
        <v>0</v>
      </c>
      <c r="DS47" s="137">
        <v>0</v>
      </c>
      <c r="DT47" s="137">
        <v>0</v>
      </c>
      <c r="DU47" s="137">
        <v>0</v>
      </c>
      <c r="DV47" s="137">
        <v>0</v>
      </c>
      <c r="DW47" s="137">
        <v>0</v>
      </c>
      <c r="DX47" s="137">
        <v>0</v>
      </c>
      <c r="DY47" s="137">
        <v>0</v>
      </c>
      <c r="DZ47" s="137">
        <v>0</v>
      </c>
      <c r="EA47" s="137">
        <v>0</v>
      </c>
    </row>
    <row r="48" spans="1:131" x14ac:dyDescent="0.35">
      <c r="A48" s="90" t="e">
        <f>VLOOKUP(E48,'Validation List'!F49:G444,2,FALSE)</f>
        <v>#N/A</v>
      </c>
      <c r="B48" s="90" t="str">
        <f>INDEX('NEW HIRE ROSTER'!$G:$G,MATCH(RAW!F48,'NEW HIRE ROSTER'!$A:$A,0))</f>
        <v>Nesting</v>
      </c>
      <c r="C48" s="90" t="str">
        <f>INDEX('NEW HIRE ROSTER'!$F:$F,MATCH(RAW!F48,'NEW HIRE ROSTER'!$A:$A,0))</f>
        <v>Class 11.2</v>
      </c>
      <c r="D48" s="90" t="str">
        <f>INDEX('Validation List'!$H:$H,MATCH(RAW!E48,'Validation List'!$F:$F,0))</f>
        <v>Jan Week 2</v>
      </c>
      <c r="E48" s="89">
        <v>45671</v>
      </c>
      <c r="F48" s="56" t="s">
        <v>2011</v>
      </c>
      <c r="G48" s="90" t="str">
        <f>VLOOKUP(F48,ML!C32:D630,2,FALSE)</f>
        <v>Khyno Elimanco Cortez</v>
      </c>
      <c r="H48" s="90" t="str">
        <f>VLOOKUP(F48,ML!C32:E630,3,FALSE)</f>
        <v>QC</v>
      </c>
      <c r="I48" s="83" t="s">
        <v>2382</v>
      </c>
      <c r="J48" s="56" t="s">
        <v>209</v>
      </c>
      <c r="K48" s="56" t="s">
        <v>144</v>
      </c>
      <c r="L48" s="56" t="s">
        <v>2388</v>
      </c>
      <c r="M48" s="154">
        <v>0.98</v>
      </c>
      <c r="N48" s="57">
        <v>0</v>
      </c>
      <c r="O48" s="57">
        <v>0</v>
      </c>
      <c r="P48" s="57">
        <v>0</v>
      </c>
      <c r="Q48" s="57">
        <v>0</v>
      </c>
      <c r="R48" s="57">
        <v>0</v>
      </c>
      <c r="S48" s="57">
        <v>0</v>
      </c>
      <c r="T48" s="57">
        <v>0</v>
      </c>
      <c r="U48" s="57">
        <v>0</v>
      </c>
      <c r="V48" s="57">
        <v>0</v>
      </c>
      <c r="W48" s="57">
        <v>0</v>
      </c>
      <c r="X48" s="57">
        <v>0</v>
      </c>
      <c r="Y48" s="57">
        <v>0</v>
      </c>
      <c r="Z48" s="57">
        <v>0</v>
      </c>
      <c r="AA48" s="57">
        <v>0</v>
      </c>
      <c r="AB48" s="57">
        <v>0</v>
      </c>
      <c r="AC48" s="57">
        <v>0</v>
      </c>
      <c r="AD48" s="57">
        <v>0</v>
      </c>
      <c r="AE48" s="57">
        <v>0</v>
      </c>
      <c r="AF48" s="57">
        <v>0</v>
      </c>
      <c r="AG48" s="57">
        <v>0</v>
      </c>
      <c r="AH48" s="57">
        <v>0</v>
      </c>
      <c r="AI48" s="57">
        <v>0</v>
      </c>
      <c r="AJ48" s="57">
        <v>0</v>
      </c>
      <c r="AK48" s="57">
        <v>0</v>
      </c>
      <c r="AL48" s="57">
        <v>0</v>
      </c>
      <c r="AM48" s="57">
        <v>0</v>
      </c>
      <c r="AN48" s="57">
        <v>0</v>
      </c>
      <c r="AO48" s="57">
        <v>0</v>
      </c>
      <c r="AP48" s="57">
        <v>0</v>
      </c>
      <c r="AQ48" s="57">
        <v>0</v>
      </c>
      <c r="AR48" s="57">
        <v>0</v>
      </c>
      <c r="AS48" s="57">
        <v>0</v>
      </c>
      <c r="AT48" s="57">
        <v>0</v>
      </c>
      <c r="AU48" s="57">
        <v>0</v>
      </c>
      <c r="AV48" s="57">
        <v>0</v>
      </c>
      <c r="AW48" s="57">
        <v>0</v>
      </c>
      <c r="AX48" s="57">
        <v>0</v>
      </c>
      <c r="AY48" s="57">
        <v>0</v>
      </c>
      <c r="AZ48" s="57">
        <v>0</v>
      </c>
      <c r="BA48" s="57">
        <v>0</v>
      </c>
      <c r="BB48" s="57">
        <v>0</v>
      </c>
      <c r="BC48" s="57">
        <v>0</v>
      </c>
      <c r="BD48" s="57">
        <v>0</v>
      </c>
      <c r="BE48" s="57">
        <v>0</v>
      </c>
      <c r="BF48" s="57">
        <v>0</v>
      </c>
      <c r="BG48" s="57">
        <v>0</v>
      </c>
      <c r="BH48" s="57">
        <v>0</v>
      </c>
      <c r="BI48" s="57">
        <v>0</v>
      </c>
      <c r="BJ48" s="57">
        <v>0</v>
      </c>
      <c r="BK48" s="57">
        <v>0</v>
      </c>
      <c r="BL48" s="57">
        <v>0</v>
      </c>
      <c r="BM48" s="57">
        <v>0</v>
      </c>
      <c r="BN48" s="57">
        <v>0</v>
      </c>
      <c r="BO48" s="57">
        <v>0</v>
      </c>
      <c r="BP48" s="57">
        <v>0</v>
      </c>
      <c r="BQ48" s="57">
        <v>0</v>
      </c>
      <c r="BR48" s="57">
        <v>0</v>
      </c>
      <c r="BS48" s="57">
        <v>0</v>
      </c>
      <c r="BT48" s="57">
        <v>0</v>
      </c>
      <c r="BU48" s="57">
        <v>0</v>
      </c>
      <c r="BV48" s="57">
        <v>0</v>
      </c>
      <c r="BW48" s="57">
        <v>0</v>
      </c>
      <c r="BX48" s="57">
        <v>0</v>
      </c>
      <c r="BY48" s="57">
        <v>0</v>
      </c>
      <c r="BZ48" s="57">
        <v>0</v>
      </c>
      <c r="CA48" s="57">
        <v>0</v>
      </c>
      <c r="CB48" s="57">
        <v>0</v>
      </c>
      <c r="CC48" s="57">
        <v>1</v>
      </c>
      <c r="CD48" s="57">
        <v>0</v>
      </c>
      <c r="CE48" s="57">
        <v>0</v>
      </c>
      <c r="CF48" s="57">
        <v>0</v>
      </c>
      <c r="CG48" s="57">
        <v>0</v>
      </c>
      <c r="CH48" s="57">
        <v>0</v>
      </c>
      <c r="CI48" s="57">
        <v>0</v>
      </c>
      <c r="CJ48" s="57">
        <v>0</v>
      </c>
      <c r="CK48" s="57">
        <v>0</v>
      </c>
      <c r="CL48" s="57">
        <v>0</v>
      </c>
      <c r="CM48" s="57">
        <v>0</v>
      </c>
      <c r="CN48" s="57">
        <v>0</v>
      </c>
      <c r="CO48" s="57">
        <v>0</v>
      </c>
      <c r="CP48" s="57">
        <v>0</v>
      </c>
      <c r="CQ48" s="57">
        <v>0</v>
      </c>
      <c r="CR48" s="57">
        <v>0</v>
      </c>
      <c r="CS48" s="57">
        <v>0</v>
      </c>
      <c r="CT48" s="57">
        <v>0</v>
      </c>
      <c r="CU48" s="57">
        <v>0</v>
      </c>
      <c r="CV48" s="57">
        <v>0</v>
      </c>
      <c r="CW48" s="57">
        <v>0</v>
      </c>
      <c r="CX48" s="57">
        <v>0</v>
      </c>
      <c r="CY48" s="57">
        <v>0</v>
      </c>
      <c r="CZ48" s="57">
        <v>0</v>
      </c>
      <c r="DA48" s="57">
        <v>0</v>
      </c>
      <c r="DB48" s="57">
        <v>1</v>
      </c>
      <c r="DC48" s="57">
        <v>0</v>
      </c>
      <c r="DD48" s="57">
        <v>0</v>
      </c>
      <c r="DE48" s="57">
        <v>0</v>
      </c>
      <c r="DF48" s="57">
        <v>0</v>
      </c>
      <c r="DG48" s="137">
        <v>0</v>
      </c>
      <c r="DH48" s="137">
        <v>0</v>
      </c>
      <c r="DI48" s="137">
        <v>0</v>
      </c>
      <c r="DJ48" s="137">
        <v>0</v>
      </c>
      <c r="DK48" s="137">
        <v>0</v>
      </c>
      <c r="DL48" s="137">
        <v>0</v>
      </c>
      <c r="DM48" s="137">
        <v>0</v>
      </c>
      <c r="DN48" s="137">
        <v>0</v>
      </c>
      <c r="DO48" s="137">
        <v>0</v>
      </c>
      <c r="DP48" s="137">
        <v>0</v>
      </c>
      <c r="DQ48" s="137">
        <v>0</v>
      </c>
      <c r="DR48" s="137">
        <v>0</v>
      </c>
      <c r="DS48" s="137">
        <v>0</v>
      </c>
      <c r="DT48" s="137">
        <v>0</v>
      </c>
      <c r="DU48" s="137">
        <v>0</v>
      </c>
      <c r="DV48" s="137">
        <v>0</v>
      </c>
      <c r="DW48" s="137">
        <v>0</v>
      </c>
      <c r="DX48" s="137">
        <v>0</v>
      </c>
      <c r="DY48" s="137">
        <v>0</v>
      </c>
      <c r="DZ48" s="137">
        <v>0</v>
      </c>
      <c r="EA48" s="137">
        <v>0</v>
      </c>
    </row>
    <row r="49" spans="1:131" x14ac:dyDescent="0.35">
      <c r="A49" s="90" t="e">
        <f>VLOOKUP(E49,'Validation List'!F50:G445,2,FALSE)</f>
        <v>#N/A</v>
      </c>
      <c r="B49" s="90" t="str">
        <f>INDEX('NEW HIRE ROSTER'!$G:$G,MATCH(RAW!F49,'NEW HIRE ROSTER'!$A:$A,0))</f>
        <v>Nesting</v>
      </c>
      <c r="C49" s="90" t="str">
        <f>INDEX('NEW HIRE ROSTER'!$F:$F,MATCH(RAW!F49,'NEW HIRE ROSTER'!$A:$A,0))</f>
        <v>Class 11.2</v>
      </c>
      <c r="D49" s="90" t="str">
        <f>INDEX('Validation List'!$H:$H,MATCH(RAW!E49,'Validation List'!$F:$F,0))</f>
        <v>Jan Week 2</v>
      </c>
      <c r="E49" s="89">
        <v>45671</v>
      </c>
      <c r="F49" s="56" t="s">
        <v>2020</v>
      </c>
      <c r="G49" s="90" t="str">
        <f>VLOOKUP(F49,ML!C33:D631,2,FALSE)</f>
        <v>Khyno Elimanco Cortez</v>
      </c>
      <c r="H49" s="90" t="str">
        <f>VLOOKUP(F49,ML!C33:E631,3,FALSE)</f>
        <v>QC</v>
      </c>
      <c r="I49" s="83" t="s">
        <v>2383</v>
      </c>
      <c r="J49" s="56" t="s">
        <v>209</v>
      </c>
      <c r="K49" s="56" t="s">
        <v>163</v>
      </c>
      <c r="L49" s="56" t="s">
        <v>2389</v>
      </c>
      <c r="M49" s="154">
        <v>0.94</v>
      </c>
      <c r="N49" s="57">
        <v>0</v>
      </c>
      <c r="O49" s="57">
        <v>0</v>
      </c>
      <c r="P49" s="57">
        <v>0</v>
      </c>
      <c r="Q49" s="57">
        <v>0</v>
      </c>
      <c r="R49" s="57">
        <v>0</v>
      </c>
      <c r="S49" s="57">
        <v>0</v>
      </c>
      <c r="T49" s="57">
        <v>1</v>
      </c>
      <c r="U49" s="57">
        <v>0</v>
      </c>
      <c r="V49" s="57">
        <v>0</v>
      </c>
      <c r="W49" s="57">
        <v>0</v>
      </c>
      <c r="X49" s="57">
        <v>0</v>
      </c>
      <c r="Y49" s="57">
        <v>0</v>
      </c>
      <c r="Z49" s="57">
        <v>0</v>
      </c>
      <c r="AA49" s="57">
        <v>0</v>
      </c>
      <c r="AB49" s="57">
        <v>0</v>
      </c>
      <c r="AC49" s="57">
        <v>0</v>
      </c>
      <c r="AD49" s="57">
        <v>0</v>
      </c>
      <c r="AE49" s="57">
        <v>0</v>
      </c>
      <c r="AF49" s="57">
        <v>0</v>
      </c>
      <c r="AG49" s="57">
        <v>0</v>
      </c>
      <c r="AH49" s="57">
        <v>0</v>
      </c>
      <c r="AI49" s="57">
        <v>0</v>
      </c>
      <c r="AJ49" s="57">
        <v>0</v>
      </c>
      <c r="AK49" s="57">
        <v>0</v>
      </c>
      <c r="AL49" s="57">
        <v>0</v>
      </c>
      <c r="AM49" s="57">
        <v>0</v>
      </c>
      <c r="AN49" s="57">
        <v>0</v>
      </c>
      <c r="AO49" s="57">
        <v>0</v>
      </c>
      <c r="AP49" s="57">
        <v>0</v>
      </c>
      <c r="AQ49" s="57">
        <v>0</v>
      </c>
      <c r="AR49" s="57">
        <v>0</v>
      </c>
      <c r="AS49" s="57">
        <v>0</v>
      </c>
      <c r="AT49" s="57">
        <v>0</v>
      </c>
      <c r="AU49" s="57">
        <v>0</v>
      </c>
      <c r="AV49" s="57">
        <v>0</v>
      </c>
      <c r="AW49" s="57">
        <v>0</v>
      </c>
      <c r="AX49" s="57">
        <v>0</v>
      </c>
      <c r="AY49" s="57">
        <v>0</v>
      </c>
      <c r="AZ49" s="57">
        <v>0</v>
      </c>
      <c r="BA49" s="57">
        <v>0</v>
      </c>
      <c r="BB49" s="57">
        <v>0</v>
      </c>
      <c r="BC49" s="57">
        <v>0</v>
      </c>
      <c r="BD49" s="57">
        <v>0</v>
      </c>
      <c r="BE49" s="57">
        <v>0</v>
      </c>
      <c r="BF49" s="57">
        <v>0</v>
      </c>
      <c r="BG49" s="57">
        <v>0</v>
      </c>
      <c r="BH49" s="57">
        <v>0</v>
      </c>
      <c r="BI49" s="57">
        <v>0</v>
      </c>
      <c r="BJ49" s="57">
        <v>0</v>
      </c>
      <c r="BK49" s="57">
        <v>0</v>
      </c>
      <c r="BL49" s="57">
        <v>0</v>
      </c>
      <c r="BM49" s="57">
        <v>0</v>
      </c>
      <c r="BN49" s="57">
        <v>0</v>
      </c>
      <c r="BO49" s="57">
        <v>0</v>
      </c>
      <c r="BP49" s="57">
        <v>0</v>
      </c>
      <c r="BQ49" s="57">
        <v>0</v>
      </c>
      <c r="BR49" s="57">
        <v>0</v>
      </c>
      <c r="BS49" s="57">
        <v>0</v>
      </c>
      <c r="BT49" s="57">
        <v>0</v>
      </c>
      <c r="BU49" s="57">
        <v>0</v>
      </c>
      <c r="BV49" s="57">
        <v>0</v>
      </c>
      <c r="BW49" s="57">
        <v>0</v>
      </c>
      <c r="BX49" s="57">
        <v>0</v>
      </c>
      <c r="BY49" s="57">
        <v>0</v>
      </c>
      <c r="BZ49" s="57">
        <v>0</v>
      </c>
      <c r="CA49" s="57">
        <v>0</v>
      </c>
      <c r="CB49" s="57">
        <v>0</v>
      </c>
      <c r="CC49" s="57">
        <v>0</v>
      </c>
      <c r="CD49" s="57">
        <v>0</v>
      </c>
      <c r="CE49" s="57">
        <v>0</v>
      </c>
      <c r="CF49" s="57">
        <v>0</v>
      </c>
      <c r="CG49" s="57">
        <v>0</v>
      </c>
      <c r="CH49" s="57">
        <v>0</v>
      </c>
      <c r="CI49" s="57">
        <v>0</v>
      </c>
      <c r="CJ49" s="57">
        <v>0</v>
      </c>
      <c r="CK49" s="57">
        <v>0</v>
      </c>
      <c r="CL49" s="57">
        <v>0</v>
      </c>
      <c r="CM49" s="57">
        <v>0</v>
      </c>
      <c r="CN49" s="57">
        <v>0</v>
      </c>
      <c r="CO49" s="57">
        <v>0</v>
      </c>
      <c r="CP49" s="57">
        <v>0</v>
      </c>
      <c r="CQ49" s="57">
        <v>0</v>
      </c>
      <c r="CR49" s="57">
        <v>0</v>
      </c>
      <c r="CS49" s="57">
        <v>0</v>
      </c>
      <c r="CT49" s="57">
        <v>0</v>
      </c>
      <c r="CU49" s="57">
        <v>0</v>
      </c>
      <c r="CV49" s="57">
        <v>0</v>
      </c>
      <c r="CW49" s="57">
        <v>0</v>
      </c>
      <c r="CX49" s="57">
        <v>0</v>
      </c>
      <c r="CY49" s="57">
        <v>0</v>
      </c>
      <c r="CZ49" s="57">
        <v>0</v>
      </c>
      <c r="DA49" s="57">
        <v>0</v>
      </c>
      <c r="DB49" s="57">
        <v>0</v>
      </c>
      <c r="DC49" s="57">
        <v>0</v>
      </c>
      <c r="DD49" s="57">
        <v>0</v>
      </c>
      <c r="DE49" s="57">
        <v>0</v>
      </c>
      <c r="DF49" s="57">
        <v>0</v>
      </c>
      <c r="DG49" s="137">
        <v>0</v>
      </c>
      <c r="DH49" s="137">
        <v>0</v>
      </c>
      <c r="DI49" s="137">
        <v>0</v>
      </c>
      <c r="DJ49" s="137">
        <v>0</v>
      </c>
      <c r="DK49" s="137">
        <v>0</v>
      </c>
      <c r="DL49" s="137">
        <v>0</v>
      </c>
      <c r="DM49" s="137">
        <v>0</v>
      </c>
      <c r="DN49" s="137">
        <v>0</v>
      </c>
      <c r="DO49" s="137">
        <v>0</v>
      </c>
      <c r="DP49" s="137">
        <v>0</v>
      </c>
      <c r="DQ49" s="137">
        <v>0</v>
      </c>
      <c r="DR49" s="137">
        <v>0</v>
      </c>
      <c r="DS49" s="137">
        <v>0</v>
      </c>
      <c r="DT49" s="137">
        <v>0</v>
      </c>
      <c r="DU49" s="137">
        <v>0</v>
      </c>
      <c r="DV49" s="137">
        <v>0</v>
      </c>
      <c r="DW49" s="137">
        <v>0</v>
      </c>
      <c r="DX49" s="137">
        <v>0</v>
      </c>
      <c r="DY49" s="137">
        <v>0</v>
      </c>
      <c r="DZ49" s="137">
        <v>0</v>
      </c>
      <c r="EA49" s="137">
        <v>0</v>
      </c>
    </row>
    <row r="50" spans="1:131" x14ac:dyDescent="0.35">
      <c r="A50" s="90" t="e">
        <f>VLOOKUP(E50,'Validation List'!F51:G446,2,FALSE)</f>
        <v>#N/A</v>
      </c>
      <c r="B50" s="90" t="str">
        <f>INDEX('NEW HIRE ROSTER'!$G:$G,MATCH(RAW!F50,'NEW HIRE ROSTER'!$A:$A,0))</f>
        <v>Nesting</v>
      </c>
      <c r="C50" s="90" t="str">
        <f>INDEX('NEW HIRE ROSTER'!$F:$F,MATCH(RAW!F50,'NEW HIRE ROSTER'!$A:$A,0))</f>
        <v>Class 11.2</v>
      </c>
      <c r="D50" s="90" t="str">
        <f>INDEX('Validation List'!$H:$H,MATCH(RAW!E50,'Validation List'!$F:$F,0))</f>
        <v>Jan Week 1</v>
      </c>
      <c r="E50" s="89">
        <v>45666</v>
      </c>
      <c r="F50" s="56" t="s">
        <v>2047</v>
      </c>
      <c r="G50" s="90" t="str">
        <f>VLOOKUP(F50,ML!C34:D632,2,FALSE)</f>
        <v>Khyno Elimanco Cortez</v>
      </c>
      <c r="H50" s="90" t="str">
        <f>VLOOKUP(F50,ML!C34:E632,3,FALSE)</f>
        <v>QC</v>
      </c>
      <c r="I50" s="83" t="s">
        <v>2384</v>
      </c>
      <c r="J50" s="56" t="s">
        <v>209</v>
      </c>
      <c r="K50" s="56" t="s">
        <v>144</v>
      </c>
      <c r="L50" s="56" t="s">
        <v>2390</v>
      </c>
      <c r="M50" s="154">
        <v>0.99</v>
      </c>
      <c r="N50" s="57">
        <v>0</v>
      </c>
      <c r="O50" s="57">
        <v>0</v>
      </c>
      <c r="P50" s="57">
        <v>0</v>
      </c>
      <c r="Q50" s="57">
        <v>0</v>
      </c>
      <c r="R50" s="57">
        <v>0</v>
      </c>
      <c r="S50" s="57">
        <v>0</v>
      </c>
      <c r="T50" s="57">
        <v>1</v>
      </c>
      <c r="U50" s="57">
        <v>0</v>
      </c>
      <c r="V50" s="57">
        <v>0</v>
      </c>
      <c r="W50" s="57">
        <v>0</v>
      </c>
      <c r="X50" s="57">
        <v>0</v>
      </c>
      <c r="Y50" s="57">
        <v>0</v>
      </c>
      <c r="Z50" s="57">
        <v>0</v>
      </c>
      <c r="AA50" s="57">
        <v>0</v>
      </c>
      <c r="AB50" s="57">
        <v>0</v>
      </c>
      <c r="AC50" s="57">
        <v>0</v>
      </c>
      <c r="AD50" s="57">
        <v>0</v>
      </c>
      <c r="AE50" s="57">
        <v>0</v>
      </c>
      <c r="AF50" s="57">
        <v>0</v>
      </c>
      <c r="AG50" s="57">
        <v>0</v>
      </c>
      <c r="AH50" s="57">
        <v>0</v>
      </c>
      <c r="AI50" s="57">
        <v>0</v>
      </c>
      <c r="AJ50" s="57">
        <v>0</v>
      </c>
      <c r="AK50" s="57">
        <v>0</v>
      </c>
      <c r="AL50" s="57">
        <v>0</v>
      </c>
      <c r="AM50" s="57">
        <v>0</v>
      </c>
      <c r="AN50" s="57">
        <v>0</v>
      </c>
      <c r="AO50" s="57">
        <v>0</v>
      </c>
      <c r="AP50" s="57">
        <v>0</v>
      </c>
      <c r="AQ50" s="57">
        <v>0</v>
      </c>
      <c r="AR50" s="57">
        <v>0</v>
      </c>
      <c r="AS50" s="57">
        <v>0</v>
      </c>
      <c r="AT50" s="57">
        <v>0</v>
      </c>
      <c r="AU50" s="57">
        <v>0</v>
      </c>
      <c r="AV50" s="57">
        <v>0</v>
      </c>
      <c r="AW50" s="57">
        <v>0</v>
      </c>
      <c r="AX50" s="57">
        <v>0</v>
      </c>
      <c r="AY50" s="57">
        <v>0</v>
      </c>
      <c r="AZ50" s="57">
        <v>0</v>
      </c>
      <c r="BA50" s="57">
        <v>0</v>
      </c>
      <c r="BB50" s="57">
        <v>0</v>
      </c>
      <c r="BC50" s="57">
        <v>0</v>
      </c>
      <c r="BD50" s="57">
        <v>0</v>
      </c>
      <c r="BE50" s="57">
        <v>0</v>
      </c>
      <c r="BF50" s="57">
        <v>0</v>
      </c>
      <c r="BG50" s="57">
        <v>0</v>
      </c>
      <c r="BH50" s="57">
        <v>0</v>
      </c>
      <c r="BI50" s="57">
        <v>0</v>
      </c>
      <c r="BJ50" s="57">
        <v>0</v>
      </c>
      <c r="BK50" s="57">
        <v>0</v>
      </c>
      <c r="BL50" s="57">
        <v>0</v>
      </c>
      <c r="BM50" s="57">
        <v>0</v>
      </c>
      <c r="BN50" s="57">
        <v>0</v>
      </c>
      <c r="BO50" s="57">
        <v>0</v>
      </c>
      <c r="BP50" s="57">
        <v>0</v>
      </c>
      <c r="BQ50" s="57">
        <v>0</v>
      </c>
      <c r="BR50" s="57">
        <v>0</v>
      </c>
      <c r="BS50" s="57">
        <v>0</v>
      </c>
      <c r="BT50" s="57">
        <v>0</v>
      </c>
      <c r="BU50" s="57">
        <v>0</v>
      </c>
      <c r="BV50" s="57">
        <v>0</v>
      </c>
      <c r="BW50" s="57">
        <v>0</v>
      </c>
      <c r="BX50" s="57">
        <v>0</v>
      </c>
      <c r="BY50" s="57">
        <v>0</v>
      </c>
      <c r="BZ50" s="57">
        <v>0</v>
      </c>
      <c r="CA50" s="57">
        <v>0</v>
      </c>
      <c r="CB50" s="57">
        <v>0</v>
      </c>
      <c r="CC50" s="57">
        <v>0</v>
      </c>
      <c r="CD50" s="57">
        <v>0</v>
      </c>
      <c r="CE50" s="57">
        <v>0</v>
      </c>
      <c r="CF50" s="57">
        <v>0</v>
      </c>
      <c r="CG50" s="57">
        <v>0</v>
      </c>
      <c r="CH50" s="57">
        <v>0</v>
      </c>
      <c r="CI50" s="57">
        <v>0</v>
      </c>
      <c r="CJ50" s="57">
        <v>0</v>
      </c>
      <c r="CK50" s="57">
        <v>0</v>
      </c>
      <c r="CL50" s="57">
        <v>0</v>
      </c>
      <c r="CM50" s="57">
        <v>0</v>
      </c>
      <c r="CN50" s="57">
        <v>0</v>
      </c>
      <c r="CO50" s="57">
        <v>0</v>
      </c>
      <c r="CP50" s="57">
        <v>0</v>
      </c>
      <c r="CQ50" s="57">
        <v>0</v>
      </c>
      <c r="CR50" s="57">
        <v>0</v>
      </c>
      <c r="CS50" s="57">
        <v>0</v>
      </c>
      <c r="CT50" s="57">
        <v>0</v>
      </c>
      <c r="CU50" s="57">
        <v>0</v>
      </c>
      <c r="CV50" s="57">
        <v>0</v>
      </c>
      <c r="CW50" s="57">
        <v>0</v>
      </c>
      <c r="CX50" s="57">
        <v>0</v>
      </c>
      <c r="CY50" s="57">
        <v>0</v>
      </c>
      <c r="CZ50" s="57">
        <v>0</v>
      </c>
      <c r="DA50" s="57">
        <v>0</v>
      </c>
      <c r="DB50" s="57">
        <v>0</v>
      </c>
      <c r="DC50" s="57">
        <v>0</v>
      </c>
      <c r="DD50" s="57">
        <v>0</v>
      </c>
      <c r="DE50" s="57">
        <v>0</v>
      </c>
      <c r="DF50" s="57">
        <v>0</v>
      </c>
      <c r="DG50" s="137">
        <v>0</v>
      </c>
      <c r="DH50" s="137">
        <v>0</v>
      </c>
      <c r="DI50" s="137">
        <v>0</v>
      </c>
      <c r="DJ50" s="137">
        <v>0</v>
      </c>
      <c r="DK50" s="137">
        <v>0</v>
      </c>
      <c r="DL50" s="137">
        <v>0</v>
      </c>
      <c r="DM50" s="137">
        <v>0</v>
      </c>
      <c r="DN50" s="137">
        <v>0</v>
      </c>
      <c r="DO50" s="137">
        <v>0</v>
      </c>
      <c r="DP50" s="137">
        <v>0</v>
      </c>
      <c r="DQ50" s="137">
        <v>0</v>
      </c>
      <c r="DR50" s="137">
        <v>0</v>
      </c>
      <c r="DS50" s="137">
        <v>0</v>
      </c>
      <c r="DT50" s="137">
        <v>0</v>
      </c>
      <c r="DU50" s="137">
        <v>0</v>
      </c>
      <c r="DV50" s="137">
        <v>0</v>
      </c>
      <c r="DW50" s="137">
        <v>0</v>
      </c>
      <c r="DX50" s="137">
        <v>0</v>
      </c>
      <c r="DY50" s="137">
        <v>0</v>
      </c>
      <c r="DZ50" s="137">
        <v>0</v>
      </c>
      <c r="EA50" s="137">
        <v>0</v>
      </c>
    </row>
    <row r="51" spans="1:131" x14ac:dyDescent="0.35">
      <c r="A51" s="90" t="e">
        <f>VLOOKUP(E51,'Validation List'!F52:G447,2,FALSE)</f>
        <v>#N/A</v>
      </c>
      <c r="B51" s="90" t="str">
        <f>INDEX('NEW HIRE ROSTER'!$G:$G,MATCH(RAW!F51,'NEW HIRE ROSTER'!$A:$A,0))</f>
        <v>Nesting</v>
      </c>
      <c r="C51" s="90" t="str">
        <f>INDEX('NEW HIRE ROSTER'!$F:$F,MATCH(RAW!F51,'NEW HIRE ROSTER'!$A:$A,0))</f>
        <v>Class 11.2</v>
      </c>
      <c r="D51" s="90" t="str">
        <f>INDEX('Validation List'!$H:$H,MATCH(RAW!E51,'Validation List'!$F:$F,0))</f>
        <v>Jan Week 2</v>
      </c>
      <c r="E51" s="89">
        <v>45670</v>
      </c>
      <c r="F51" s="56" t="s">
        <v>1575</v>
      </c>
      <c r="G51" s="90" t="str">
        <f>VLOOKUP(F51,ML!C35:D633,2,FALSE)</f>
        <v>Khyno Elimanco Cortez</v>
      </c>
      <c r="H51" s="90" t="str">
        <f>VLOOKUP(F51,ML!C35:E633,3,FALSE)</f>
        <v>QC</v>
      </c>
      <c r="I51" s="83" t="s">
        <v>2384</v>
      </c>
      <c r="J51" s="56" t="s">
        <v>209</v>
      </c>
      <c r="K51" s="56" t="s">
        <v>2414</v>
      </c>
      <c r="L51" s="56" t="s">
        <v>2262</v>
      </c>
      <c r="M51" s="154">
        <v>1</v>
      </c>
      <c r="N51" s="57">
        <v>0</v>
      </c>
      <c r="O51" s="57">
        <v>0</v>
      </c>
      <c r="P51" s="57">
        <v>0</v>
      </c>
      <c r="Q51" s="57">
        <v>0</v>
      </c>
      <c r="R51" s="57">
        <v>0</v>
      </c>
      <c r="S51" s="57">
        <v>0</v>
      </c>
      <c r="T51" s="57">
        <v>0</v>
      </c>
      <c r="U51" s="57">
        <v>0</v>
      </c>
      <c r="V51" s="57">
        <v>0</v>
      </c>
      <c r="W51" s="57">
        <v>0</v>
      </c>
      <c r="X51" s="57">
        <v>0</v>
      </c>
      <c r="Y51" s="57">
        <v>0</v>
      </c>
      <c r="Z51" s="57">
        <v>0</v>
      </c>
      <c r="AA51" s="57">
        <v>0</v>
      </c>
      <c r="AB51" s="57">
        <v>0</v>
      </c>
      <c r="AC51" s="57">
        <v>0</v>
      </c>
      <c r="AD51" s="57">
        <v>0</v>
      </c>
      <c r="AE51" s="57">
        <v>0</v>
      </c>
      <c r="AF51" s="57">
        <v>0</v>
      </c>
      <c r="AG51" s="57">
        <v>0</v>
      </c>
      <c r="AH51" s="57">
        <v>0</v>
      </c>
      <c r="AI51" s="57">
        <v>0</v>
      </c>
      <c r="AJ51" s="57">
        <v>0</v>
      </c>
      <c r="AK51" s="57">
        <v>0</v>
      </c>
      <c r="AL51" s="57">
        <v>0</v>
      </c>
      <c r="AM51" s="57">
        <v>0</v>
      </c>
      <c r="AN51" s="57">
        <v>0</v>
      </c>
      <c r="AO51" s="57">
        <v>0</v>
      </c>
      <c r="AP51" s="57">
        <v>0</v>
      </c>
      <c r="AQ51" s="57">
        <v>0</v>
      </c>
      <c r="AR51" s="57">
        <v>0</v>
      </c>
      <c r="AS51" s="57">
        <v>0</v>
      </c>
      <c r="AT51" s="57">
        <v>0</v>
      </c>
      <c r="AU51" s="57">
        <v>0</v>
      </c>
      <c r="AV51" s="57">
        <v>0</v>
      </c>
      <c r="AW51" s="57">
        <v>0</v>
      </c>
      <c r="AX51" s="57">
        <v>0</v>
      </c>
      <c r="AY51" s="57">
        <v>0</v>
      </c>
      <c r="AZ51" s="57">
        <v>0</v>
      </c>
      <c r="BA51" s="57">
        <v>0</v>
      </c>
      <c r="BB51" s="57">
        <v>0</v>
      </c>
      <c r="BC51" s="57">
        <v>0</v>
      </c>
      <c r="BD51" s="57">
        <v>0</v>
      </c>
      <c r="BE51" s="57">
        <v>0</v>
      </c>
      <c r="BF51" s="57">
        <v>0</v>
      </c>
      <c r="BG51" s="57">
        <v>0</v>
      </c>
      <c r="BH51" s="57">
        <v>0</v>
      </c>
      <c r="BI51" s="57">
        <v>0</v>
      </c>
      <c r="BJ51" s="57">
        <v>0</v>
      </c>
      <c r="BK51" s="57">
        <v>0</v>
      </c>
      <c r="BL51" s="57">
        <v>0</v>
      </c>
      <c r="BM51" s="57">
        <v>0</v>
      </c>
      <c r="BN51" s="57">
        <v>0</v>
      </c>
      <c r="BO51" s="57">
        <v>0</v>
      </c>
      <c r="BP51" s="57">
        <v>0</v>
      </c>
      <c r="BQ51" s="57">
        <v>0</v>
      </c>
      <c r="BR51" s="57">
        <v>0</v>
      </c>
      <c r="BS51" s="57">
        <v>0</v>
      </c>
      <c r="BT51" s="57">
        <v>0</v>
      </c>
      <c r="BU51" s="57">
        <v>0</v>
      </c>
      <c r="BV51" s="57">
        <v>0</v>
      </c>
      <c r="BW51" s="57">
        <v>0</v>
      </c>
      <c r="BX51" s="57">
        <v>0</v>
      </c>
      <c r="BY51" s="57">
        <v>0</v>
      </c>
      <c r="BZ51" s="57">
        <v>0</v>
      </c>
      <c r="CA51" s="57">
        <v>0</v>
      </c>
      <c r="CB51" s="57">
        <v>0</v>
      </c>
      <c r="CC51" s="57">
        <v>0</v>
      </c>
      <c r="CD51" s="57">
        <v>0</v>
      </c>
      <c r="CE51" s="57">
        <v>0</v>
      </c>
      <c r="CF51" s="57">
        <v>0</v>
      </c>
      <c r="CG51" s="57">
        <v>0</v>
      </c>
      <c r="CH51" s="57">
        <v>0</v>
      </c>
      <c r="CI51" s="57">
        <v>0</v>
      </c>
      <c r="CJ51" s="57">
        <v>0</v>
      </c>
      <c r="CK51" s="57">
        <v>0</v>
      </c>
      <c r="CL51" s="57">
        <v>0</v>
      </c>
      <c r="CM51" s="57">
        <v>0</v>
      </c>
      <c r="CN51" s="57">
        <v>0</v>
      </c>
      <c r="CO51" s="57">
        <v>0</v>
      </c>
      <c r="CP51" s="57">
        <v>0</v>
      </c>
      <c r="CQ51" s="57">
        <v>0</v>
      </c>
      <c r="CR51" s="57">
        <v>0</v>
      </c>
      <c r="CS51" s="57">
        <v>0</v>
      </c>
      <c r="CT51" s="57">
        <v>0</v>
      </c>
      <c r="CU51" s="57">
        <v>0</v>
      </c>
      <c r="CV51" s="57">
        <v>0</v>
      </c>
      <c r="CW51" s="57">
        <v>0</v>
      </c>
      <c r="CX51" s="57">
        <v>0</v>
      </c>
      <c r="CY51" s="57">
        <v>0</v>
      </c>
      <c r="CZ51" s="57">
        <v>0</v>
      </c>
      <c r="DA51" s="57">
        <v>0</v>
      </c>
      <c r="DB51" s="57">
        <v>0</v>
      </c>
      <c r="DC51" s="57">
        <v>0</v>
      </c>
      <c r="DD51" s="57">
        <v>0</v>
      </c>
      <c r="DE51" s="57">
        <v>0</v>
      </c>
      <c r="DF51" s="57">
        <v>0</v>
      </c>
      <c r="DG51" s="137">
        <v>0</v>
      </c>
      <c r="DH51" s="137">
        <v>0</v>
      </c>
      <c r="DI51" s="137">
        <v>0</v>
      </c>
      <c r="DJ51" s="137">
        <v>0</v>
      </c>
      <c r="DK51" s="137">
        <v>0</v>
      </c>
      <c r="DL51" s="137">
        <v>0</v>
      </c>
      <c r="DM51" s="137">
        <v>0</v>
      </c>
      <c r="DN51" s="137">
        <v>0</v>
      </c>
      <c r="DO51" s="137">
        <v>0</v>
      </c>
      <c r="DP51" s="137">
        <v>0</v>
      </c>
      <c r="DQ51" s="137">
        <v>0</v>
      </c>
      <c r="DR51" s="137">
        <v>0</v>
      </c>
      <c r="DS51" s="137">
        <v>0</v>
      </c>
      <c r="DT51" s="137">
        <v>0</v>
      </c>
      <c r="DU51" s="137">
        <v>0</v>
      </c>
      <c r="DV51" s="137">
        <v>0</v>
      </c>
      <c r="DW51" s="137">
        <v>0</v>
      </c>
      <c r="DX51" s="137">
        <v>0</v>
      </c>
      <c r="DY51" s="137">
        <v>0</v>
      </c>
      <c r="DZ51" s="137">
        <v>0</v>
      </c>
      <c r="EA51" s="137">
        <v>0</v>
      </c>
    </row>
    <row r="52" spans="1:131" x14ac:dyDescent="0.35">
      <c r="A52" s="90" t="e">
        <f>VLOOKUP(E52,'Validation List'!F53:G448,2,FALSE)</f>
        <v>#N/A</v>
      </c>
      <c r="B52" s="90" t="str">
        <f>INDEX('NEW HIRE ROSTER'!$G:$G,MATCH(RAW!F52,'NEW HIRE ROSTER'!$A:$A,0))</f>
        <v>Nesting</v>
      </c>
      <c r="C52" s="90" t="str">
        <f>INDEX('NEW HIRE ROSTER'!$F:$F,MATCH(RAW!F52,'NEW HIRE ROSTER'!$A:$A,0))</f>
        <v>Class 11.2</v>
      </c>
      <c r="D52" s="90" t="str">
        <f>INDEX('Validation List'!$H:$H,MATCH(RAW!E52,'Validation List'!$F:$F,0))</f>
        <v>Jan Week 2</v>
      </c>
      <c r="E52" s="89">
        <v>45670</v>
      </c>
      <c r="F52" s="56" t="s">
        <v>1993</v>
      </c>
      <c r="G52" s="90" t="str">
        <f>VLOOKUP(F52,ML!C36:D634,2,FALSE)</f>
        <v>Khyno Elimanco Cortez</v>
      </c>
      <c r="H52" s="90" t="str">
        <f>VLOOKUP(F52,ML!C36:E634,3,FALSE)</f>
        <v>QC</v>
      </c>
      <c r="I52" s="83" t="s">
        <v>2384</v>
      </c>
      <c r="J52" s="56" t="s">
        <v>209</v>
      </c>
      <c r="K52" s="56" t="s">
        <v>163</v>
      </c>
      <c r="L52" s="56" t="s">
        <v>2391</v>
      </c>
      <c r="M52" s="154">
        <v>1</v>
      </c>
      <c r="N52" s="57">
        <v>0</v>
      </c>
      <c r="O52" s="57">
        <v>0</v>
      </c>
      <c r="P52" s="57">
        <v>0</v>
      </c>
      <c r="Q52" s="57">
        <v>0</v>
      </c>
      <c r="R52" s="57">
        <v>0</v>
      </c>
      <c r="S52" s="57">
        <v>0</v>
      </c>
      <c r="T52" s="57">
        <v>0</v>
      </c>
      <c r="U52" s="57">
        <v>0</v>
      </c>
      <c r="V52" s="57">
        <v>0</v>
      </c>
      <c r="W52" s="57">
        <v>0</v>
      </c>
      <c r="X52" s="57">
        <v>0</v>
      </c>
      <c r="Y52" s="57">
        <v>0</v>
      </c>
      <c r="Z52" s="57">
        <v>0</v>
      </c>
      <c r="AA52" s="57">
        <v>0</v>
      </c>
      <c r="AB52" s="57">
        <v>0</v>
      </c>
      <c r="AC52" s="57">
        <v>0</v>
      </c>
      <c r="AD52" s="57">
        <v>0</v>
      </c>
      <c r="AE52" s="57">
        <v>0</v>
      </c>
      <c r="AF52" s="57">
        <v>0</v>
      </c>
      <c r="AG52" s="57">
        <v>0</v>
      </c>
      <c r="AH52" s="57">
        <v>0</v>
      </c>
      <c r="AI52" s="57">
        <v>0</v>
      </c>
      <c r="AJ52" s="57">
        <v>0</v>
      </c>
      <c r="AK52" s="57">
        <v>0</v>
      </c>
      <c r="AL52" s="57">
        <v>0</v>
      </c>
      <c r="AM52" s="57">
        <v>0</v>
      </c>
      <c r="AN52" s="57">
        <v>0</v>
      </c>
      <c r="AO52" s="57">
        <v>0</v>
      </c>
      <c r="AP52" s="57">
        <v>0</v>
      </c>
      <c r="AQ52" s="57">
        <v>0</v>
      </c>
      <c r="AR52" s="57">
        <v>0</v>
      </c>
      <c r="AS52" s="57">
        <v>0</v>
      </c>
      <c r="AT52" s="57">
        <v>0</v>
      </c>
      <c r="AU52" s="57">
        <v>0</v>
      </c>
      <c r="AV52" s="57">
        <v>0</v>
      </c>
      <c r="AW52" s="57">
        <v>0</v>
      </c>
      <c r="AX52" s="57">
        <v>0</v>
      </c>
      <c r="AY52" s="57">
        <v>0</v>
      </c>
      <c r="AZ52" s="57">
        <v>0</v>
      </c>
      <c r="BA52" s="57">
        <v>0</v>
      </c>
      <c r="BB52" s="57">
        <v>0</v>
      </c>
      <c r="BC52" s="57">
        <v>0</v>
      </c>
      <c r="BD52" s="57">
        <v>0</v>
      </c>
      <c r="BE52" s="57">
        <v>0</v>
      </c>
      <c r="BF52" s="57">
        <v>0</v>
      </c>
      <c r="BG52" s="57">
        <v>0</v>
      </c>
      <c r="BH52" s="57">
        <v>0</v>
      </c>
      <c r="BI52" s="57">
        <v>0</v>
      </c>
      <c r="BJ52" s="57">
        <v>0</v>
      </c>
      <c r="BK52" s="57">
        <v>0</v>
      </c>
      <c r="BL52" s="57">
        <v>0</v>
      </c>
      <c r="BM52" s="57">
        <v>0</v>
      </c>
      <c r="BN52" s="57">
        <v>0</v>
      </c>
      <c r="BO52" s="57">
        <v>0</v>
      </c>
      <c r="BP52" s="57">
        <v>0</v>
      </c>
      <c r="BQ52" s="57">
        <v>0</v>
      </c>
      <c r="BR52" s="57">
        <v>0</v>
      </c>
      <c r="BS52" s="57">
        <v>0</v>
      </c>
      <c r="BT52" s="57">
        <v>0</v>
      </c>
      <c r="BU52" s="57">
        <v>0</v>
      </c>
      <c r="BV52" s="57">
        <v>0</v>
      </c>
      <c r="BW52" s="57">
        <v>0</v>
      </c>
      <c r="BX52" s="57">
        <v>0</v>
      </c>
      <c r="BY52" s="57">
        <v>0</v>
      </c>
      <c r="BZ52" s="57">
        <v>0</v>
      </c>
      <c r="CA52" s="57">
        <v>0</v>
      </c>
      <c r="CB52" s="57">
        <v>0</v>
      </c>
      <c r="CC52" s="57">
        <v>0</v>
      </c>
      <c r="CD52" s="57">
        <v>0</v>
      </c>
      <c r="CE52" s="57">
        <v>0</v>
      </c>
      <c r="CF52" s="57">
        <v>0</v>
      </c>
      <c r="CG52" s="57">
        <v>0</v>
      </c>
      <c r="CH52" s="57">
        <v>0</v>
      </c>
      <c r="CI52" s="57">
        <v>0</v>
      </c>
      <c r="CJ52" s="57">
        <v>0</v>
      </c>
      <c r="CK52" s="57">
        <v>0</v>
      </c>
      <c r="CL52" s="57">
        <v>0</v>
      </c>
      <c r="CM52" s="57">
        <v>0</v>
      </c>
      <c r="CN52" s="57">
        <v>0</v>
      </c>
      <c r="CO52" s="57">
        <v>0</v>
      </c>
      <c r="CP52" s="57">
        <v>0</v>
      </c>
      <c r="CQ52" s="57">
        <v>0</v>
      </c>
      <c r="CR52" s="57">
        <v>0</v>
      </c>
      <c r="CS52" s="57">
        <v>0</v>
      </c>
      <c r="CT52" s="57">
        <v>0</v>
      </c>
      <c r="CU52" s="57">
        <v>0</v>
      </c>
      <c r="CV52" s="57">
        <v>0</v>
      </c>
      <c r="CW52" s="57">
        <v>0</v>
      </c>
      <c r="CX52" s="57">
        <v>0</v>
      </c>
      <c r="CY52" s="57">
        <v>0</v>
      </c>
      <c r="CZ52" s="57">
        <v>0</v>
      </c>
      <c r="DA52" s="57">
        <v>0</v>
      </c>
      <c r="DB52" s="57">
        <v>0</v>
      </c>
      <c r="DC52" s="57">
        <v>0</v>
      </c>
      <c r="DD52" s="57">
        <v>0</v>
      </c>
      <c r="DE52" s="57">
        <v>0</v>
      </c>
      <c r="DF52" s="57">
        <v>0</v>
      </c>
      <c r="DG52" s="137">
        <v>0</v>
      </c>
      <c r="DH52" s="137">
        <v>0</v>
      </c>
      <c r="DI52" s="137">
        <v>0</v>
      </c>
      <c r="DJ52" s="137">
        <v>0</v>
      </c>
      <c r="DK52" s="137">
        <v>0</v>
      </c>
      <c r="DL52" s="137">
        <v>0</v>
      </c>
      <c r="DM52" s="137">
        <v>0</v>
      </c>
      <c r="DN52" s="137">
        <v>0</v>
      </c>
      <c r="DO52" s="137">
        <v>0</v>
      </c>
      <c r="DP52" s="137">
        <v>0</v>
      </c>
      <c r="DQ52" s="137">
        <v>0</v>
      </c>
      <c r="DR52" s="137">
        <v>0</v>
      </c>
      <c r="DS52" s="137">
        <v>0</v>
      </c>
      <c r="DT52" s="137">
        <v>0</v>
      </c>
      <c r="DU52" s="137">
        <v>0</v>
      </c>
      <c r="DV52" s="137">
        <v>0</v>
      </c>
      <c r="DW52" s="137">
        <v>0</v>
      </c>
      <c r="DX52" s="137">
        <v>0</v>
      </c>
      <c r="DY52" s="137">
        <v>0</v>
      </c>
      <c r="DZ52" s="137">
        <v>0</v>
      </c>
      <c r="EA52" s="137">
        <v>0</v>
      </c>
    </row>
    <row r="53" spans="1:131" x14ac:dyDescent="0.35">
      <c r="A53" s="90" t="e">
        <f>VLOOKUP(E53,'Validation List'!F54:G449,2,FALSE)</f>
        <v>#N/A</v>
      </c>
      <c r="B53" s="90" t="str">
        <f>INDEX('NEW HIRE ROSTER'!$G:$G,MATCH(RAW!F53,'NEW HIRE ROSTER'!$A:$A,0))</f>
        <v>Nesting</v>
      </c>
      <c r="C53" s="90" t="str">
        <f>INDEX('NEW HIRE ROSTER'!$F:$F,MATCH(RAW!F53,'NEW HIRE ROSTER'!$A:$A,0))</f>
        <v>Class 11.2</v>
      </c>
      <c r="D53" s="90" t="str">
        <f>INDEX('Validation List'!$H:$H,MATCH(RAW!E53,'Validation List'!$F:$F,0))</f>
        <v>Jan Week 2</v>
      </c>
      <c r="E53" s="89">
        <v>45670</v>
      </c>
      <c r="F53" s="56" t="s">
        <v>2035</v>
      </c>
      <c r="G53" s="90" t="str">
        <f>VLOOKUP(F53,ML!C37:D635,2,FALSE)</f>
        <v>Khyno Elimanco Cortez</v>
      </c>
      <c r="H53" s="90" t="str">
        <f>VLOOKUP(F53,ML!C37:E635,3,FALSE)</f>
        <v>QC</v>
      </c>
      <c r="I53" s="83" t="s">
        <v>2384</v>
      </c>
      <c r="J53" s="56" t="s">
        <v>209</v>
      </c>
      <c r="K53" s="56" t="s">
        <v>163</v>
      </c>
      <c r="L53" s="56" t="s">
        <v>2392</v>
      </c>
      <c r="M53" s="154">
        <v>1</v>
      </c>
      <c r="N53" s="57">
        <v>0</v>
      </c>
      <c r="O53" s="57">
        <v>0</v>
      </c>
      <c r="P53" s="57">
        <v>0</v>
      </c>
      <c r="Q53" s="57">
        <v>0</v>
      </c>
      <c r="R53" s="57">
        <v>0</v>
      </c>
      <c r="S53" s="57">
        <v>0</v>
      </c>
      <c r="T53" s="57">
        <v>0</v>
      </c>
      <c r="U53" s="57">
        <v>0</v>
      </c>
      <c r="V53" s="57">
        <v>0</v>
      </c>
      <c r="W53" s="57">
        <v>0</v>
      </c>
      <c r="X53" s="57">
        <v>0</v>
      </c>
      <c r="Y53" s="57">
        <v>0</v>
      </c>
      <c r="Z53" s="57">
        <v>0</v>
      </c>
      <c r="AA53" s="57">
        <v>0</v>
      </c>
      <c r="AB53" s="57">
        <v>0</v>
      </c>
      <c r="AC53" s="57">
        <v>0</v>
      </c>
      <c r="AD53" s="57">
        <v>0</v>
      </c>
      <c r="AE53" s="57">
        <v>0</v>
      </c>
      <c r="AF53" s="57">
        <v>0</v>
      </c>
      <c r="AG53" s="57">
        <v>0</v>
      </c>
      <c r="AH53" s="57">
        <v>0</v>
      </c>
      <c r="AI53" s="57">
        <v>0</v>
      </c>
      <c r="AJ53" s="57">
        <v>0</v>
      </c>
      <c r="AK53" s="57">
        <v>0</v>
      </c>
      <c r="AL53" s="57">
        <v>0</v>
      </c>
      <c r="AM53" s="57">
        <v>0</v>
      </c>
      <c r="AN53" s="57">
        <v>0</v>
      </c>
      <c r="AO53" s="57">
        <v>0</v>
      </c>
      <c r="AP53" s="57">
        <v>0</v>
      </c>
      <c r="AQ53" s="57">
        <v>0</v>
      </c>
      <c r="AR53" s="57">
        <v>0</v>
      </c>
      <c r="AS53" s="57">
        <v>0</v>
      </c>
      <c r="AT53" s="57">
        <v>0</v>
      </c>
      <c r="AU53" s="57">
        <v>0</v>
      </c>
      <c r="AV53" s="57">
        <v>0</v>
      </c>
      <c r="AW53" s="57">
        <v>0</v>
      </c>
      <c r="AX53" s="57">
        <v>0</v>
      </c>
      <c r="AY53" s="57">
        <v>0</v>
      </c>
      <c r="AZ53" s="57">
        <v>0</v>
      </c>
      <c r="BA53" s="57">
        <v>0</v>
      </c>
      <c r="BB53" s="57">
        <v>0</v>
      </c>
      <c r="BC53" s="57">
        <v>0</v>
      </c>
      <c r="BD53" s="57">
        <v>0</v>
      </c>
      <c r="BE53" s="57">
        <v>0</v>
      </c>
      <c r="BF53" s="57">
        <v>0</v>
      </c>
      <c r="BG53" s="57">
        <v>0</v>
      </c>
      <c r="BH53" s="57">
        <v>0</v>
      </c>
      <c r="BI53" s="57">
        <v>0</v>
      </c>
      <c r="BJ53" s="57">
        <v>0</v>
      </c>
      <c r="BK53" s="57">
        <v>0</v>
      </c>
      <c r="BL53" s="57">
        <v>0</v>
      </c>
      <c r="BM53" s="57">
        <v>0</v>
      </c>
      <c r="BN53" s="57">
        <v>0</v>
      </c>
      <c r="BO53" s="57">
        <v>0</v>
      </c>
      <c r="BP53" s="57">
        <v>0</v>
      </c>
      <c r="BQ53" s="57">
        <v>0</v>
      </c>
      <c r="BR53" s="57">
        <v>0</v>
      </c>
      <c r="BS53" s="57">
        <v>0</v>
      </c>
      <c r="BT53" s="57">
        <v>0</v>
      </c>
      <c r="BU53" s="57">
        <v>0</v>
      </c>
      <c r="BV53" s="57">
        <v>0</v>
      </c>
      <c r="BW53" s="57">
        <v>0</v>
      </c>
      <c r="BX53" s="57">
        <v>0</v>
      </c>
      <c r="BY53" s="57">
        <v>0</v>
      </c>
      <c r="BZ53" s="57">
        <v>0</v>
      </c>
      <c r="CA53" s="57">
        <v>0</v>
      </c>
      <c r="CB53" s="57">
        <v>0</v>
      </c>
      <c r="CC53" s="57">
        <v>0</v>
      </c>
      <c r="CD53" s="57">
        <v>0</v>
      </c>
      <c r="CE53" s="57">
        <v>0</v>
      </c>
      <c r="CF53" s="57">
        <v>0</v>
      </c>
      <c r="CG53" s="57">
        <v>0</v>
      </c>
      <c r="CH53" s="57">
        <v>0</v>
      </c>
      <c r="CI53" s="57">
        <v>0</v>
      </c>
      <c r="CJ53" s="57">
        <v>0</v>
      </c>
      <c r="CK53" s="57">
        <v>0</v>
      </c>
      <c r="CL53" s="57">
        <v>0</v>
      </c>
      <c r="CM53" s="57">
        <v>0</v>
      </c>
      <c r="CN53" s="57">
        <v>0</v>
      </c>
      <c r="CO53" s="57">
        <v>0</v>
      </c>
      <c r="CP53" s="57">
        <v>0</v>
      </c>
      <c r="CQ53" s="57">
        <v>0</v>
      </c>
      <c r="CR53" s="57">
        <v>0</v>
      </c>
      <c r="CS53" s="57">
        <v>0</v>
      </c>
      <c r="CT53" s="57">
        <v>0</v>
      </c>
      <c r="CU53" s="57">
        <v>0</v>
      </c>
      <c r="CV53" s="57">
        <v>0</v>
      </c>
      <c r="CW53" s="57">
        <v>0</v>
      </c>
      <c r="CX53" s="57">
        <v>0</v>
      </c>
      <c r="CY53" s="57">
        <v>0</v>
      </c>
      <c r="CZ53" s="57">
        <v>0</v>
      </c>
      <c r="DA53" s="57">
        <v>0</v>
      </c>
      <c r="DB53" s="57">
        <v>0</v>
      </c>
      <c r="DC53" s="57">
        <v>0</v>
      </c>
      <c r="DD53" s="57">
        <v>0</v>
      </c>
      <c r="DE53" s="57">
        <v>0</v>
      </c>
      <c r="DF53" s="57">
        <v>0</v>
      </c>
      <c r="DG53" s="137">
        <v>0</v>
      </c>
      <c r="DH53" s="137">
        <v>0</v>
      </c>
      <c r="DI53" s="137">
        <v>0</v>
      </c>
      <c r="DJ53" s="137">
        <v>0</v>
      </c>
      <c r="DK53" s="137">
        <v>0</v>
      </c>
      <c r="DL53" s="137">
        <v>0</v>
      </c>
      <c r="DM53" s="137">
        <v>0</v>
      </c>
      <c r="DN53" s="137">
        <v>0</v>
      </c>
      <c r="DO53" s="137">
        <v>0</v>
      </c>
      <c r="DP53" s="137">
        <v>0</v>
      </c>
      <c r="DQ53" s="137">
        <v>0</v>
      </c>
      <c r="DR53" s="137">
        <v>0</v>
      </c>
      <c r="DS53" s="137">
        <v>0</v>
      </c>
      <c r="DT53" s="137">
        <v>0</v>
      </c>
      <c r="DU53" s="137">
        <v>0</v>
      </c>
      <c r="DV53" s="137">
        <v>0</v>
      </c>
      <c r="DW53" s="137">
        <v>0</v>
      </c>
      <c r="DX53" s="137">
        <v>0</v>
      </c>
      <c r="DY53" s="137">
        <v>0</v>
      </c>
      <c r="DZ53" s="137">
        <v>0</v>
      </c>
      <c r="EA53" s="137">
        <v>0</v>
      </c>
    </row>
    <row r="54" spans="1:131" x14ac:dyDescent="0.35">
      <c r="A54" s="90" t="e">
        <f>VLOOKUP(E54,'Validation List'!F55:G450,2,FALSE)</f>
        <v>#N/A</v>
      </c>
      <c r="B54" s="90" t="str">
        <f>INDEX('NEW HIRE ROSTER'!$G:$G,MATCH(RAW!F54,'NEW HIRE ROSTER'!$A:$A,0))</f>
        <v>Nesting</v>
      </c>
      <c r="C54" s="90" t="str">
        <f>INDEX('NEW HIRE ROSTER'!$F:$F,MATCH(RAW!F54,'NEW HIRE ROSTER'!$A:$A,0))</f>
        <v>Class 11.2</v>
      </c>
      <c r="D54" s="90" t="str">
        <f>INDEX('Validation List'!$H:$H,MATCH(RAW!E54,'Validation List'!$F:$F,0))</f>
        <v>Jan Week 2</v>
      </c>
      <c r="E54" s="89">
        <v>45670</v>
      </c>
      <c r="F54" s="56" t="s">
        <v>2029</v>
      </c>
      <c r="G54" s="90" t="str">
        <f>VLOOKUP(F54,ML!C38:D636,2,FALSE)</f>
        <v>Khyno Elimanco Cortez</v>
      </c>
      <c r="H54" s="90" t="str">
        <f>VLOOKUP(F54,ML!C38:E636,3,FALSE)</f>
        <v>QC</v>
      </c>
      <c r="I54" s="83" t="s">
        <v>2384</v>
      </c>
      <c r="J54" s="56" t="s">
        <v>209</v>
      </c>
      <c r="K54" s="56" t="s">
        <v>164</v>
      </c>
      <c r="L54" s="56" t="s">
        <v>2393</v>
      </c>
      <c r="M54" s="154">
        <v>0.93</v>
      </c>
      <c r="N54" s="57">
        <v>0</v>
      </c>
      <c r="O54" s="57">
        <v>0</v>
      </c>
      <c r="P54" s="57">
        <v>0</v>
      </c>
      <c r="Q54" s="57">
        <v>0</v>
      </c>
      <c r="R54" s="57">
        <v>0</v>
      </c>
      <c r="S54" s="57">
        <v>0</v>
      </c>
      <c r="T54" s="57">
        <v>0</v>
      </c>
      <c r="U54" s="57">
        <v>0</v>
      </c>
      <c r="V54" s="57">
        <v>0</v>
      </c>
      <c r="W54" s="57">
        <v>0</v>
      </c>
      <c r="X54" s="57">
        <v>0</v>
      </c>
      <c r="Y54" s="57">
        <v>0</v>
      </c>
      <c r="Z54" s="57">
        <v>0</v>
      </c>
      <c r="AA54" s="57">
        <v>0</v>
      </c>
      <c r="AB54" s="57">
        <v>0</v>
      </c>
      <c r="AC54" s="57">
        <v>0</v>
      </c>
      <c r="AD54" s="57">
        <v>0</v>
      </c>
      <c r="AE54" s="57">
        <v>1</v>
      </c>
      <c r="AF54" s="57">
        <v>0</v>
      </c>
      <c r="AG54" s="57">
        <v>0</v>
      </c>
      <c r="AH54" s="57">
        <v>0</v>
      </c>
      <c r="AI54" s="57">
        <v>0</v>
      </c>
      <c r="AJ54" s="57">
        <v>0</v>
      </c>
      <c r="AK54" s="57">
        <v>0</v>
      </c>
      <c r="AL54" s="57">
        <v>0</v>
      </c>
      <c r="AM54" s="57">
        <v>0</v>
      </c>
      <c r="AN54" s="57">
        <v>0</v>
      </c>
      <c r="AO54" s="57">
        <v>0</v>
      </c>
      <c r="AP54" s="57">
        <v>0</v>
      </c>
      <c r="AQ54" s="57">
        <v>0</v>
      </c>
      <c r="AR54" s="57">
        <v>0</v>
      </c>
      <c r="AS54" s="57">
        <v>0</v>
      </c>
      <c r="AT54" s="57">
        <v>0</v>
      </c>
      <c r="AU54" s="57">
        <v>0</v>
      </c>
      <c r="AV54" s="57">
        <v>0</v>
      </c>
      <c r="AW54" s="57">
        <v>0</v>
      </c>
      <c r="AX54" s="57">
        <v>0</v>
      </c>
      <c r="AY54" s="57">
        <v>0</v>
      </c>
      <c r="AZ54" s="57">
        <v>0</v>
      </c>
      <c r="BA54" s="57">
        <v>0</v>
      </c>
      <c r="BB54" s="57">
        <v>0</v>
      </c>
      <c r="BC54" s="57">
        <v>0</v>
      </c>
      <c r="BD54" s="57">
        <v>0</v>
      </c>
      <c r="BE54" s="57">
        <v>0</v>
      </c>
      <c r="BF54" s="57">
        <v>0</v>
      </c>
      <c r="BG54" s="57">
        <v>0</v>
      </c>
      <c r="BH54" s="57">
        <v>0</v>
      </c>
      <c r="BI54" s="57">
        <v>0</v>
      </c>
      <c r="BJ54" s="57">
        <v>0</v>
      </c>
      <c r="BK54" s="57">
        <v>0</v>
      </c>
      <c r="BL54" s="57">
        <v>0</v>
      </c>
      <c r="BM54" s="57">
        <v>0</v>
      </c>
      <c r="BN54" s="57">
        <v>0</v>
      </c>
      <c r="BO54" s="57">
        <v>0</v>
      </c>
      <c r="BP54" s="57">
        <v>0</v>
      </c>
      <c r="BQ54" s="57">
        <v>0</v>
      </c>
      <c r="BR54" s="57">
        <v>0</v>
      </c>
      <c r="BS54" s="57">
        <v>0</v>
      </c>
      <c r="BT54" s="57">
        <v>0</v>
      </c>
      <c r="BU54" s="57">
        <v>0</v>
      </c>
      <c r="BV54" s="57">
        <v>0</v>
      </c>
      <c r="BW54" s="57">
        <v>0</v>
      </c>
      <c r="BX54" s="57">
        <v>0</v>
      </c>
      <c r="BY54" s="57">
        <v>0</v>
      </c>
      <c r="BZ54" s="57">
        <v>0</v>
      </c>
      <c r="CA54" s="57">
        <v>0</v>
      </c>
      <c r="CB54" s="57">
        <v>0</v>
      </c>
      <c r="CC54" s="57">
        <v>0</v>
      </c>
      <c r="CD54" s="57">
        <v>0</v>
      </c>
      <c r="CE54" s="57">
        <v>0</v>
      </c>
      <c r="CF54" s="57">
        <v>0</v>
      </c>
      <c r="CG54" s="57">
        <v>0</v>
      </c>
      <c r="CH54" s="57">
        <v>0</v>
      </c>
      <c r="CI54" s="57">
        <v>0</v>
      </c>
      <c r="CJ54" s="57">
        <v>0</v>
      </c>
      <c r="CK54" s="57">
        <v>0</v>
      </c>
      <c r="CL54" s="57">
        <v>0</v>
      </c>
      <c r="CM54" s="57">
        <v>0</v>
      </c>
      <c r="CN54" s="57">
        <v>1</v>
      </c>
      <c r="CO54" s="57">
        <v>0</v>
      </c>
      <c r="CP54" s="57">
        <v>0</v>
      </c>
      <c r="CQ54" s="57">
        <v>0</v>
      </c>
      <c r="CR54" s="57">
        <v>0</v>
      </c>
      <c r="CS54" s="57">
        <v>0</v>
      </c>
      <c r="CT54" s="57">
        <v>0</v>
      </c>
      <c r="CU54" s="57">
        <v>0</v>
      </c>
      <c r="CV54" s="57">
        <v>0</v>
      </c>
      <c r="CW54" s="57">
        <v>0</v>
      </c>
      <c r="CX54" s="57">
        <v>0</v>
      </c>
      <c r="CY54" s="57">
        <v>0</v>
      </c>
      <c r="CZ54" s="57">
        <v>0</v>
      </c>
      <c r="DA54" s="57">
        <v>0</v>
      </c>
      <c r="DB54" s="57">
        <v>0</v>
      </c>
      <c r="DC54" s="57">
        <v>0</v>
      </c>
      <c r="DD54" s="57">
        <v>0</v>
      </c>
      <c r="DE54" s="57">
        <v>0</v>
      </c>
      <c r="DF54" s="57">
        <v>0</v>
      </c>
      <c r="DG54" s="137">
        <v>0</v>
      </c>
      <c r="DH54" s="137">
        <v>0</v>
      </c>
      <c r="DI54" s="137">
        <v>0</v>
      </c>
      <c r="DJ54" s="137">
        <v>0</v>
      </c>
      <c r="DK54" s="137">
        <v>0</v>
      </c>
      <c r="DL54" s="137">
        <v>0</v>
      </c>
      <c r="DM54" s="137">
        <v>0</v>
      </c>
      <c r="DN54" s="137">
        <v>0</v>
      </c>
      <c r="DO54" s="137">
        <v>0</v>
      </c>
      <c r="DP54" s="137">
        <v>0</v>
      </c>
      <c r="DQ54" s="137">
        <v>0</v>
      </c>
      <c r="DR54" s="137">
        <v>0</v>
      </c>
      <c r="DS54" s="137">
        <v>0</v>
      </c>
      <c r="DT54" s="137">
        <v>0</v>
      </c>
      <c r="DU54" s="137">
        <v>0</v>
      </c>
      <c r="DV54" s="137">
        <v>0</v>
      </c>
      <c r="DW54" s="137">
        <v>0</v>
      </c>
      <c r="DX54" s="137">
        <v>0</v>
      </c>
      <c r="DY54" s="137">
        <v>0</v>
      </c>
      <c r="DZ54" s="137">
        <v>0</v>
      </c>
      <c r="EA54" s="137">
        <v>0</v>
      </c>
    </row>
    <row r="55" spans="1:131" x14ac:dyDescent="0.35">
      <c r="A55" s="90" t="e">
        <f>VLOOKUP(E55,'Validation List'!F56:G451,2,FALSE)</f>
        <v>#N/A</v>
      </c>
      <c r="B55" s="90" t="str">
        <f>INDEX('NEW HIRE ROSTER'!$G:$G,MATCH(RAW!F55,'NEW HIRE ROSTER'!$A:$A,0))</f>
        <v>Nesting</v>
      </c>
      <c r="C55" s="90" t="str">
        <f>INDEX('NEW HIRE ROSTER'!$F:$F,MATCH(RAW!F55,'NEW HIRE ROSTER'!$A:$A,0))</f>
        <v>Class 11.2</v>
      </c>
      <c r="D55" s="90" t="str">
        <f>INDEX('Validation List'!$H:$H,MATCH(RAW!E55,'Validation List'!$F:$F,0))</f>
        <v>Jan Week 2</v>
      </c>
      <c r="E55" s="89">
        <v>45670</v>
      </c>
      <c r="F55" s="56" t="s">
        <v>2032</v>
      </c>
      <c r="G55" s="90" t="str">
        <f>VLOOKUP(F55,ML!C39:D637,2,FALSE)</f>
        <v>Khyno Elimanco Cortez</v>
      </c>
      <c r="H55" s="90" t="str">
        <f>VLOOKUP(F55,ML!C39:E637,3,FALSE)</f>
        <v>QC</v>
      </c>
      <c r="I55" s="83" t="s">
        <v>2384</v>
      </c>
      <c r="J55" s="56" t="s">
        <v>209</v>
      </c>
      <c r="K55" s="56" t="s">
        <v>163</v>
      </c>
      <c r="L55" s="56" t="s">
        <v>2394</v>
      </c>
      <c r="M55" s="154">
        <v>0.99</v>
      </c>
      <c r="N55" s="57">
        <v>0</v>
      </c>
      <c r="O55" s="57">
        <v>0</v>
      </c>
      <c r="P55" s="57">
        <v>0</v>
      </c>
      <c r="Q55" s="57">
        <v>0</v>
      </c>
      <c r="R55" s="57">
        <v>0</v>
      </c>
      <c r="S55" s="57">
        <v>0</v>
      </c>
      <c r="T55" s="57">
        <v>0</v>
      </c>
      <c r="U55" s="57">
        <v>0</v>
      </c>
      <c r="V55" s="57">
        <v>0</v>
      </c>
      <c r="W55" s="57">
        <v>0</v>
      </c>
      <c r="X55" s="57">
        <v>0</v>
      </c>
      <c r="Y55" s="57">
        <v>0</v>
      </c>
      <c r="Z55" s="57">
        <v>0</v>
      </c>
      <c r="AA55" s="57">
        <v>0</v>
      </c>
      <c r="AB55" s="57">
        <v>0</v>
      </c>
      <c r="AC55" s="57">
        <v>0</v>
      </c>
      <c r="AD55" s="57">
        <v>0</v>
      </c>
      <c r="AE55" s="57">
        <v>0</v>
      </c>
      <c r="AF55" s="57">
        <v>0</v>
      </c>
      <c r="AG55" s="57">
        <v>0</v>
      </c>
      <c r="AH55" s="57">
        <v>0</v>
      </c>
      <c r="AI55" s="57">
        <v>0</v>
      </c>
      <c r="AJ55" s="57">
        <v>0</v>
      </c>
      <c r="AK55" s="57">
        <v>0</v>
      </c>
      <c r="AL55" s="57">
        <v>0</v>
      </c>
      <c r="AM55" s="57">
        <v>0</v>
      </c>
      <c r="AN55" s="57">
        <v>0</v>
      </c>
      <c r="AO55" s="57">
        <v>0</v>
      </c>
      <c r="AP55" s="57">
        <v>0</v>
      </c>
      <c r="AQ55" s="57">
        <v>0</v>
      </c>
      <c r="AR55" s="57">
        <v>0</v>
      </c>
      <c r="AS55" s="57">
        <v>0</v>
      </c>
      <c r="AT55" s="57">
        <v>0</v>
      </c>
      <c r="AU55" s="57">
        <v>0</v>
      </c>
      <c r="AV55" s="57">
        <v>0</v>
      </c>
      <c r="AW55" s="57">
        <v>0</v>
      </c>
      <c r="AX55" s="57">
        <v>0</v>
      </c>
      <c r="AY55" s="57">
        <v>0</v>
      </c>
      <c r="AZ55" s="57">
        <v>0</v>
      </c>
      <c r="BA55" s="57">
        <v>0</v>
      </c>
      <c r="BB55" s="57">
        <v>0</v>
      </c>
      <c r="BC55" s="57">
        <v>0</v>
      </c>
      <c r="BD55" s="57">
        <v>0</v>
      </c>
      <c r="BE55" s="57">
        <v>0</v>
      </c>
      <c r="BF55" s="57">
        <v>0</v>
      </c>
      <c r="BG55" s="57">
        <v>0</v>
      </c>
      <c r="BH55" s="57">
        <v>0</v>
      </c>
      <c r="BI55" s="57">
        <v>0</v>
      </c>
      <c r="BJ55" s="57">
        <v>0</v>
      </c>
      <c r="BK55" s="57">
        <v>0</v>
      </c>
      <c r="BL55" s="57">
        <v>0</v>
      </c>
      <c r="BM55" s="57">
        <v>0</v>
      </c>
      <c r="BN55" s="57">
        <v>0</v>
      </c>
      <c r="BO55" s="57">
        <v>0</v>
      </c>
      <c r="BP55" s="57">
        <v>0</v>
      </c>
      <c r="BQ55" s="57">
        <v>0</v>
      </c>
      <c r="BR55" s="57">
        <v>0</v>
      </c>
      <c r="BS55" s="57">
        <v>0</v>
      </c>
      <c r="BT55" s="57">
        <v>0</v>
      </c>
      <c r="BU55" s="57">
        <v>0</v>
      </c>
      <c r="BV55" s="57">
        <v>0</v>
      </c>
      <c r="BW55" s="57">
        <v>0</v>
      </c>
      <c r="BX55" s="57">
        <v>0</v>
      </c>
      <c r="BY55" s="57">
        <v>0</v>
      </c>
      <c r="BZ55" s="57">
        <v>0</v>
      </c>
      <c r="CA55" s="57">
        <v>0</v>
      </c>
      <c r="CB55" s="57">
        <v>0</v>
      </c>
      <c r="CC55" s="57">
        <v>0</v>
      </c>
      <c r="CD55" s="57">
        <v>0</v>
      </c>
      <c r="CE55" s="57">
        <v>0</v>
      </c>
      <c r="CF55" s="57">
        <v>0</v>
      </c>
      <c r="CG55" s="57">
        <v>0</v>
      </c>
      <c r="CH55" s="57">
        <v>0</v>
      </c>
      <c r="CI55" s="57">
        <v>0</v>
      </c>
      <c r="CJ55" s="57">
        <v>0</v>
      </c>
      <c r="CK55" s="57">
        <v>0</v>
      </c>
      <c r="CL55" s="57">
        <v>0</v>
      </c>
      <c r="CM55" s="57">
        <v>0</v>
      </c>
      <c r="CN55" s="57">
        <v>0</v>
      </c>
      <c r="CO55" s="57">
        <v>0</v>
      </c>
      <c r="CP55" s="57">
        <v>0</v>
      </c>
      <c r="CQ55" s="57">
        <v>0</v>
      </c>
      <c r="CR55" s="57">
        <v>0</v>
      </c>
      <c r="CS55" s="57">
        <v>0</v>
      </c>
      <c r="CT55" s="57">
        <v>0</v>
      </c>
      <c r="CU55" s="57">
        <v>1</v>
      </c>
      <c r="CV55" s="57">
        <v>0</v>
      </c>
      <c r="CW55" s="57">
        <v>0</v>
      </c>
      <c r="CX55" s="57">
        <v>0</v>
      </c>
      <c r="CY55" s="57">
        <v>0</v>
      </c>
      <c r="CZ55" s="57">
        <v>0</v>
      </c>
      <c r="DA55" s="57">
        <v>0</v>
      </c>
      <c r="DB55" s="57">
        <v>0</v>
      </c>
      <c r="DC55" s="57">
        <v>0</v>
      </c>
      <c r="DD55" s="57">
        <v>0</v>
      </c>
      <c r="DE55" s="57">
        <v>0</v>
      </c>
      <c r="DF55" s="57">
        <v>0</v>
      </c>
      <c r="DG55" s="137">
        <v>0</v>
      </c>
      <c r="DH55" s="137">
        <v>0</v>
      </c>
      <c r="DI55" s="137">
        <v>0</v>
      </c>
      <c r="DJ55" s="137">
        <v>0</v>
      </c>
      <c r="DK55" s="137">
        <v>0</v>
      </c>
      <c r="DL55" s="137">
        <v>0</v>
      </c>
      <c r="DM55" s="137">
        <v>0</v>
      </c>
      <c r="DN55" s="137">
        <v>0</v>
      </c>
      <c r="DO55" s="137">
        <v>0</v>
      </c>
      <c r="DP55" s="137">
        <v>0</v>
      </c>
      <c r="DQ55" s="137">
        <v>0</v>
      </c>
      <c r="DR55" s="137">
        <v>0</v>
      </c>
      <c r="DS55" s="137">
        <v>0</v>
      </c>
      <c r="DT55" s="137">
        <v>0</v>
      </c>
      <c r="DU55" s="137">
        <v>0</v>
      </c>
      <c r="DV55" s="137">
        <v>0</v>
      </c>
      <c r="DW55" s="137">
        <v>0</v>
      </c>
      <c r="DX55" s="137">
        <v>0</v>
      </c>
      <c r="DY55" s="137">
        <v>0</v>
      </c>
      <c r="DZ55" s="137">
        <v>0</v>
      </c>
      <c r="EA55" s="137">
        <v>0</v>
      </c>
    </row>
    <row r="56" spans="1:131" x14ac:dyDescent="0.35">
      <c r="A56" s="90" t="e">
        <f>VLOOKUP(E56,'Validation List'!F57:G452,2,FALSE)</f>
        <v>#N/A</v>
      </c>
      <c r="B56" s="90" t="str">
        <f>INDEX('NEW HIRE ROSTER'!$G:$G,MATCH(RAW!F56,'NEW HIRE ROSTER'!$A:$A,0))</f>
        <v>Nesting</v>
      </c>
      <c r="C56" s="90" t="str">
        <f>INDEX('NEW HIRE ROSTER'!$F:$F,MATCH(RAW!F56,'NEW HIRE ROSTER'!$A:$A,0))</f>
        <v>Class 11.2</v>
      </c>
      <c r="D56" s="90" t="str">
        <f>INDEX('Validation List'!$H:$H,MATCH(RAW!E56,'Validation List'!$F:$F,0))</f>
        <v>Jan Week 2</v>
      </c>
      <c r="E56" s="89">
        <v>45670</v>
      </c>
      <c r="F56" s="56" t="s">
        <v>2011</v>
      </c>
      <c r="G56" s="90" t="str">
        <f>VLOOKUP(F56,ML!C40:D638,2,FALSE)</f>
        <v>Khyno Elimanco Cortez</v>
      </c>
      <c r="H56" s="90" t="str">
        <f>VLOOKUP(F56,ML!C40:E638,3,FALSE)</f>
        <v>QC</v>
      </c>
      <c r="I56" s="83" t="s">
        <v>2384</v>
      </c>
      <c r="J56" s="56" t="s">
        <v>209</v>
      </c>
      <c r="K56" s="56" t="s">
        <v>144</v>
      </c>
      <c r="L56" s="56" t="s">
        <v>2395</v>
      </c>
      <c r="M56" s="154">
        <v>1</v>
      </c>
      <c r="N56" s="57">
        <v>0</v>
      </c>
      <c r="O56" s="57">
        <v>0</v>
      </c>
      <c r="P56" s="57">
        <v>0</v>
      </c>
      <c r="Q56" s="57">
        <v>0</v>
      </c>
      <c r="R56" s="57">
        <v>0</v>
      </c>
      <c r="S56" s="57">
        <v>0</v>
      </c>
      <c r="T56" s="57">
        <v>0</v>
      </c>
      <c r="U56" s="57">
        <v>0</v>
      </c>
      <c r="V56" s="57">
        <v>0</v>
      </c>
      <c r="W56" s="57">
        <v>0</v>
      </c>
      <c r="X56" s="57">
        <v>0</v>
      </c>
      <c r="Y56" s="57">
        <v>0</v>
      </c>
      <c r="Z56" s="57">
        <v>0</v>
      </c>
      <c r="AA56" s="57">
        <v>0</v>
      </c>
      <c r="AB56" s="57">
        <v>0</v>
      </c>
      <c r="AC56" s="57">
        <v>0</v>
      </c>
      <c r="AD56" s="57">
        <v>0</v>
      </c>
      <c r="AE56" s="57">
        <v>0</v>
      </c>
      <c r="AF56" s="57">
        <v>0</v>
      </c>
      <c r="AG56" s="57">
        <v>0</v>
      </c>
      <c r="AH56" s="57">
        <v>0</v>
      </c>
      <c r="AI56" s="57">
        <v>0</v>
      </c>
      <c r="AJ56" s="57">
        <v>0</v>
      </c>
      <c r="AK56" s="57">
        <v>0</v>
      </c>
      <c r="AL56" s="57">
        <v>0</v>
      </c>
      <c r="AM56" s="57">
        <v>0</v>
      </c>
      <c r="AN56" s="57">
        <v>0</v>
      </c>
      <c r="AO56" s="57">
        <v>0</v>
      </c>
      <c r="AP56" s="57">
        <v>0</v>
      </c>
      <c r="AQ56" s="57">
        <v>0</v>
      </c>
      <c r="AR56" s="57">
        <v>0</v>
      </c>
      <c r="AS56" s="57">
        <v>0</v>
      </c>
      <c r="AT56" s="57">
        <v>0</v>
      </c>
      <c r="AU56" s="57">
        <v>0</v>
      </c>
      <c r="AV56" s="57">
        <v>0</v>
      </c>
      <c r="AW56" s="57">
        <v>0</v>
      </c>
      <c r="AX56" s="57">
        <v>0</v>
      </c>
      <c r="AY56" s="57">
        <v>0</v>
      </c>
      <c r="AZ56" s="57">
        <v>0</v>
      </c>
      <c r="BA56" s="57">
        <v>0</v>
      </c>
      <c r="BB56" s="57">
        <v>0</v>
      </c>
      <c r="BC56" s="57">
        <v>0</v>
      </c>
      <c r="BD56" s="57">
        <v>0</v>
      </c>
      <c r="BE56" s="57">
        <v>0</v>
      </c>
      <c r="BF56" s="57">
        <v>0</v>
      </c>
      <c r="BG56" s="57">
        <v>0</v>
      </c>
      <c r="BH56" s="57">
        <v>0</v>
      </c>
      <c r="BI56" s="57">
        <v>0</v>
      </c>
      <c r="BJ56" s="57">
        <v>0</v>
      </c>
      <c r="BK56" s="57">
        <v>0</v>
      </c>
      <c r="BL56" s="57">
        <v>0</v>
      </c>
      <c r="BM56" s="57">
        <v>0</v>
      </c>
      <c r="BN56" s="57">
        <v>0</v>
      </c>
      <c r="BO56" s="57">
        <v>0</v>
      </c>
      <c r="BP56" s="57">
        <v>0</v>
      </c>
      <c r="BQ56" s="57">
        <v>0</v>
      </c>
      <c r="BR56" s="57">
        <v>0</v>
      </c>
      <c r="BS56" s="57">
        <v>0</v>
      </c>
      <c r="BT56" s="57">
        <v>0</v>
      </c>
      <c r="BU56" s="57">
        <v>0</v>
      </c>
      <c r="BV56" s="57">
        <v>0</v>
      </c>
      <c r="BW56" s="57">
        <v>0</v>
      </c>
      <c r="BX56" s="57">
        <v>0</v>
      </c>
      <c r="BY56" s="57">
        <v>0</v>
      </c>
      <c r="BZ56" s="57">
        <v>0</v>
      </c>
      <c r="CA56" s="57">
        <v>0</v>
      </c>
      <c r="CB56" s="57">
        <v>0</v>
      </c>
      <c r="CC56" s="57">
        <v>0</v>
      </c>
      <c r="CD56" s="57">
        <v>0</v>
      </c>
      <c r="CE56" s="57">
        <v>0</v>
      </c>
      <c r="CF56" s="57">
        <v>0</v>
      </c>
      <c r="CG56" s="57">
        <v>0</v>
      </c>
      <c r="CH56" s="57">
        <v>0</v>
      </c>
      <c r="CI56" s="57">
        <v>0</v>
      </c>
      <c r="CJ56" s="57">
        <v>0</v>
      </c>
      <c r="CK56" s="57">
        <v>0</v>
      </c>
      <c r="CL56" s="57">
        <v>0</v>
      </c>
      <c r="CM56" s="57">
        <v>0</v>
      </c>
      <c r="CN56" s="57">
        <v>0</v>
      </c>
      <c r="CO56" s="57">
        <v>0</v>
      </c>
      <c r="CP56" s="57">
        <v>0</v>
      </c>
      <c r="CQ56" s="57">
        <v>0</v>
      </c>
      <c r="CR56" s="57">
        <v>0</v>
      </c>
      <c r="CS56" s="57">
        <v>0</v>
      </c>
      <c r="CT56" s="57">
        <v>0</v>
      </c>
      <c r="CU56" s="57">
        <v>0</v>
      </c>
      <c r="CV56" s="57">
        <v>0</v>
      </c>
      <c r="CW56" s="57">
        <v>0</v>
      </c>
      <c r="CX56" s="57">
        <v>0</v>
      </c>
      <c r="CY56" s="57">
        <v>0</v>
      </c>
      <c r="CZ56" s="57">
        <v>0</v>
      </c>
      <c r="DA56" s="57">
        <v>0</v>
      </c>
      <c r="DB56" s="57">
        <v>0</v>
      </c>
      <c r="DC56" s="57">
        <v>0</v>
      </c>
      <c r="DD56" s="57">
        <v>0</v>
      </c>
      <c r="DE56" s="57">
        <v>0</v>
      </c>
      <c r="DF56" s="57">
        <v>0</v>
      </c>
      <c r="DG56" s="137">
        <v>0</v>
      </c>
      <c r="DH56" s="137">
        <v>0</v>
      </c>
      <c r="DI56" s="137">
        <v>0</v>
      </c>
      <c r="DJ56" s="137">
        <v>0</v>
      </c>
      <c r="DK56" s="137">
        <v>0</v>
      </c>
      <c r="DL56" s="137">
        <v>0</v>
      </c>
      <c r="DM56" s="137">
        <v>0</v>
      </c>
      <c r="DN56" s="137">
        <v>0</v>
      </c>
      <c r="DO56" s="137">
        <v>0</v>
      </c>
      <c r="DP56" s="137">
        <v>0</v>
      </c>
      <c r="DQ56" s="137">
        <v>0</v>
      </c>
      <c r="DR56" s="137">
        <v>0</v>
      </c>
      <c r="DS56" s="137">
        <v>0</v>
      </c>
      <c r="DT56" s="137">
        <v>0</v>
      </c>
      <c r="DU56" s="137">
        <v>0</v>
      </c>
      <c r="DV56" s="137">
        <v>0</v>
      </c>
      <c r="DW56" s="137">
        <v>0</v>
      </c>
      <c r="DX56" s="137">
        <v>0</v>
      </c>
      <c r="DY56" s="137">
        <v>0</v>
      </c>
      <c r="DZ56" s="137">
        <v>0</v>
      </c>
      <c r="EA56" s="137">
        <v>0</v>
      </c>
    </row>
    <row r="57" spans="1:131" x14ac:dyDescent="0.35">
      <c r="A57" s="90" t="e">
        <f>VLOOKUP(E57,'Validation List'!F58:G453,2,FALSE)</f>
        <v>#N/A</v>
      </c>
      <c r="B57" s="90" t="str">
        <f>INDEX('NEW HIRE ROSTER'!$G:$G,MATCH(RAW!F57,'NEW HIRE ROSTER'!$A:$A,0))</f>
        <v>Nesting</v>
      </c>
      <c r="C57" s="90" t="str">
        <f>INDEX('NEW HIRE ROSTER'!$F:$F,MATCH(RAW!F57,'NEW HIRE ROSTER'!$A:$A,0))</f>
        <v>Class 11.2</v>
      </c>
      <c r="D57" s="90" t="str">
        <f>INDEX('Validation List'!$H:$H,MATCH(RAW!E57,'Validation List'!$F:$F,0))</f>
        <v>Jan Week 2</v>
      </c>
      <c r="E57" s="89">
        <v>45671</v>
      </c>
      <c r="F57" s="56" t="s">
        <v>1954</v>
      </c>
      <c r="G57" s="90" t="str">
        <f>VLOOKUP(F57,ML!C41:D639,2,FALSE)</f>
        <v>Khyno Elimanco Cortez</v>
      </c>
      <c r="H57" s="90" t="str">
        <f>VLOOKUP(F57,ML!C41:E639,3,FALSE)</f>
        <v>QC</v>
      </c>
      <c r="I57" s="83" t="s">
        <v>2384</v>
      </c>
      <c r="J57" s="56" t="s">
        <v>209</v>
      </c>
      <c r="K57" s="56" t="s">
        <v>163</v>
      </c>
      <c r="L57" s="56" t="s">
        <v>2396</v>
      </c>
      <c r="M57" s="154">
        <v>0.93</v>
      </c>
      <c r="N57" s="57">
        <v>0</v>
      </c>
      <c r="O57" s="57">
        <v>0</v>
      </c>
      <c r="P57" s="57">
        <v>0</v>
      </c>
      <c r="Q57" s="57">
        <v>0</v>
      </c>
      <c r="R57" s="57">
        <v>0</v>
      </c>
      <c r="S57" s="57">
        <v>0</v>
      </c>
      <c r="T57" s="57">
        <v>0</v>
      </c>
      <c r="U57" s="57">
        <v>0</v>
      </c>
      <c r="V57" s="57">
        <v>0</v>
      </c>
      <c r="W57" s="57">
        <v>0</v>
      </c>
      <c r="X57" s="57">
        <v>0</v>
      </c>
      <c r="Y57" s="57">
        <v>0</v>
      </c>
      <c r="Z57" s="57">
        <v>0</v>
      </c>
      <c r="AA57" s="57">
        <v>0</v>
      </c>
      <c r="AB57" s="57">
        <v>0</v>
      </c>
      <c r="AC57" s="57">
        <v>0</v>
      </c>
      <c r="AD57" s="57">
        <v>0</v>
      </c>
      <c r="AE57" s="57">
        <v>0</v>
      </c>
      <c r="AF57" s="57">
        <v>0</v>
      </c>
      <c r="AG57" s="57">
        <v>0</v>
      </c>
      <c r="AH57" s="57">
        <v>0</v>
      </c>
      <c r="AI57" s="57">
        <v>0</v>
      </c>
      <c r="AJ57" s="57">
        <v>0</v>
      </c>
      <c r="AK57" s="57">
        <v>0</v>
      </c>
      <c r="AL57" s="57">
        <v>0</v>
      </c>
      <c r="AM57" s="57">
        <v>0</v>
      </c>
      <c r="AN57" s="57">
        <v>0</v>
      </c>
      <c r="AO57" s="57">
        <v>0</v>
      </c>
      <c r="AP57" s="57">
        <v>0</v>
      </c>
      <c r="AQ57" s="57">
        <v>0</v>
      </c>
      <c r="AR57" s="57">
        <v>0</v>
      </c>
      <c r="AS57" s="57">
        <v>0</v>
      </c>
      <c r="AT57" s="57">
        <v>0</v>
      </c>
      <c r="AU57" s="57">
        <v>0</v>
      </c>
      <c r="AV57" s="57">
        <v>0</v>
      </c>
      <c r="AW57" s="57">
        <v>0</v>
      </c>
      <c r="AX57" s="57">
        <v>0</v>
      </c>
      <c r="AY57" s="57">
        <v>0</v>
      </c>
      <c r="AZ57" s="57">
        <v>0</v>
      </c>
      <c r="BA57" s="57">
        <v>0</v>
      </c>
      <c r="BB57" s="57">
        <v>0</v>
      </c>
      <c r="BC57" s="57">
        <v>0</v>
      </c>
      <c r="BD57" s="57">
        <v>0</v>
      </c>
      <c r="BE57" s="57">
        <v>0</v>
      </c>
      <c r="BF57" s="57">
        <v>0</v>
      </c>
      <c r="BG57" s="57">
        <v>0</v>
      </c>
      <c r="BH57" s="57">
        <v>0</v>
      </c>
      <c r="BI57" s="57">
        <v>0</v>
      </c>
      <c r="BJ57" s="57">
        <v>0</v>
      </c>
      <c r="BK57" s="57">
        <v>0</v>
      </c>
      <c r="BL57" s="57">
        <v>0</v>
      </c>
      <c r="BM57" s="57">
        <v>0</v>
      </c>
      <c r="BN57" s="57">
        <v>0</v>
      </c>
      <c r="BO57" s="57">
        <v>0</v>
      </c>
      <c r="BP57" s="57">
        <v>0</v>
      </c>
      <c r="BQ57" s="57">
        <v>0</v>
      </c>
      <c r="BR57" s="57">
        <v>0</v>
      </c>
      <c r="BS57" s="57">
        <v>0</v>
      </c>
      <c r="BT57" s="57">
        <v>0</v>
      </c>
      <c r="BU57" s="57">
        <v>0</v>
      </c>
      <c r="BV57" s="57">
        <v>0</v>
      </c>
      <c r="BW57" s="57">
        <v>0</v>
      </c>
      <c r="BX57" s="57">
        <v>0</v>
      </c>
      <c r="BY57" s="57">
        <v>0</v>
      </c>
      <c r="BZ57" s="57">
        <v>0</v>
      </c>
      <c r="CA57" s="57">
        <v>0</v>
      </c>
      <c r="CB57" s="57">
        <v>0</v>
      </c>
      <c r="CC57" s="57">
        <v>1</v>
      </c>
      <c r="CD57" s="57">
        <v>0</v>
      </c>
      <c r="CE57" s="57">
        <v>0</v>
      </c>
      <c r="CF57" s="57">
        <v>0</v>
      </c>
      <c r="CG57" s="57">
        <v>0</v>
      </c>
      <c r="CH57" s="57">
        <v>0</v>
      </c>
      <c r="CI57" s="57">
        <v>0</v>
      </c>
      <c r="CJ57" s="57">
        <v>0</v>
      </c>
      <c r="CK57" s="57">
        <v>0</v>
      </c>
      <c r="CL57" s="57">
        <v>0</v>
      </c>
      <c r="CM57" s="57">
        <v>0</v>
      </c>
      <c r="CN57" s="57">
        <v>1</v>
      </c>
      <c r="CO57" s="57">
        <v>0</v>
      </c>
      <c r="CP57" s="57">
        <v>0</v>
      </c>
      <c r="CQ57" s="57">
        <v>0</v>
      </c>
      <c r="CR57" s="57">
        <v>0</v>
      </c>
      <c r="CS57" s="57">
        <v>0</v>
      </c>
      <c r="CT57" s="57">
        <v>0</v>
      </c>
      <c r="CU57" s="57">
        <v>0</v>
      </c>
      <c r="CV57" s="57">
        <v>0</v>
      </c>
      <c r="CW57" s="57">
        <v>0</v>
      </c>
      <c r="CX57" s="57">
        <v>0</v>
      </c>
      <c r="CY57" s="57">
        <v>0</v>
      </c>
      <c r="CZ57" s="57">
        <v>0</v>
      </c>
      <c r="DA57" s="57">
        <v>0</v>
      </c>
      <c r="DB57" s="57">
        <v>0</v>
      </c>
      <c r="DC57" s="57">
        <v>0</v>
      </c>
      <c r="DD57" s="57">
        <v>0</v>
      </c>
      <c r="DE57" s="57">
        <v>0</v>
      </c>
      <c r="DF57" s="57">
        <v>0</v>
      </c>
      <c r="DG57" s="137">
        <v>0</v>
      </c>
      <c r="DH57" s="137">
        <v>0</v>
      </c>
      <c r="DI57" s="137">
        <v>0</v>
      </c>
      <c r="DJ57" s="137">
        <v>0</v>
      </c>
      <c r="DK57" s="137">
        <v>0</v>
      </c>
      <c r="DL57" s="137">
        <v>0</v>
      </c>
      <c r="DM57" s="137">
        <v>0</v>
      </c>
      <c r="DN57" s="137">
        <v>0</v>
      </c>
      <c r="DO57" s="137">
        <v>0</v>
      </c>
      <c r="DP57" s="137">
        <v>0</v>
      </c>
      <c r="DQ57" s="137">
        <v>0</v>
      </c>
      <c r="DR57" s="137">
        <v>0</v>
      </c>
      <c r="DS57" s="137">
        <v>0</v>
      </c>
      <c r="DT57" s="137">
        <v>0</v>
      </c>
      <c r="DU57" s="137">
        <v>0</v>
      </c>
      <c r="DV57" s="137">
        <v>0</v>
      </c>
      <c r="DW57" s="137">
        <v>0</v>
      </c>
      <c r="DX57" s="137">
        <v>0</v>
      </c>
      <c r="DY57" s="137">
        <v>0</v>
      </c>
      <c r="DZ57" s="137">
        <v>0</v>
      </c>
      <c r="EA57" s="137">
        <v>0</v>
      </c>
    </row>
    <row r="58" spans="1:131" x14ac:dyDescent="0.35">
      <c r="A58" s="90" t="e">
        <f>VLOOKUP(E58,'Validation List'!F59:G454,2,FALSE)</f>
        <v>#N/A</v>
      </c>
      <c r="B58" s="90" t="str">
        <f>INDEX('NEW HIRE ROSTER'!$G:$G,MATCH(RAW!F58,'NEW HIRE ROSTER'!$A:$A,0))</f>
        <v>Nesting</v>
      </c>
      <c r="C58" s="90" t="str">
        <f>INDEX('NEW HIRE ROSTER'!$F:$F,MATCH(RAW!F58,'NEW HIRE ROSTER'!$A:$A,0))</f>
        <v>Class 11.2</v>
      </c>
      <c r="D58" s="90" t="str">
        <f>INDEX('Validation List'!$H:$H,MATCH(RAW!E58,'Validation List'!$F:$F,0))</f>
        <v>Jan Week 2</v>
      </c>
      <c r="E58" s="89">
        <v>45671</v>
      </c>
      <c r="F58" s="56" t="s">
        <v>2044</v>
      </c>
      <c r="G58" s="90" t="str">
        <f>VLOOKUP(F58,ML!C42:D640,2,FALSE)</f>
        <v>Khyno Elimanco Cortez</v>
      </c>
      <c r="H58" s="90" t="str">
        <f>VLOOKUP(F58,ML!C42:E640,3,FALSE)</f>
        <v>QC</v>
      </c>
      <c r="I58" s="83" t="s">
        <v>2384</v>
      </c>
      <c r="J58" s="56" t="s">
        <v>209</v>
      </c>
      <c r="K58" s="56" t="s">
        <v>163</v>
      </c>
      <c r="L58" s="56" t="s">
        <v>2397</v>
      </c>
      <c r="M58" s="154">
        <v>0.94</v>
      </c>
      <c r="N58" s="57">
        <v>0</v>
      </c>
      <c r="O58" s="57">
        <v>0</v>
      </c>
      <c r="P58" s="57">
        <v>0</v>
      </c>
      <c r="Q58" s="57">
        <v>0</v>
      </c>
      <c r="R58" s="57">
        <v>0</v>
      </c>
      <c r="S58" s="57">
        <v>0</v>
      </c>
      <c r="T58" s="57">
        <v>0</v>
      </c>
      <c r="U58" s="57">
        <v>0</v>
      </c>
      <c r="V58" s="57">
        <v>0</v>
      </c>
      <c r="W58" s="57">
        <v>0</v>
      </c>
      <c r="X58" s="57">
        <v>0</v>
      </c>
      <c r="Y58" s="57">
        <v>0</v>
      </c>
      <c r="Z58" s="57">
        <v>0</v>
      </c>
      <c r="AA58" s="57">
        <v>0</v>
      </c>
      <c r="AB58" s="57">
        <v>0</v>
      </c>
      <c r="AC58" s="57">
        <v>0</v>
      </c>
      <c r="AD58" s="57">
        <v>0</v>
      </c>
      <c r="AE58" s="57">
        <v>0</v>
      </c>
      <c r="AF58" s="57">
        <v>0</v>
      </c>
      <c r="AG58" s="57">
        <v>0</v>
      </c>
      <c r="AH58" s="57">
        <v>0</v>
      </c>
      <c r="AI58" s="57">
        <v>0</v>
      </c>
      <c r="AJ58" s="57">
        <v>0</v>
      </c>
      <c r="AK58" s="57">
        <v>0</v>
      </c>
      <c r="AL58" s="57">
        <v>0</v>
      </c>
      <c r="AM58" s="57">
        <v>0</v>
      </c>
      <c r="AN58" s="57">
        <v>0</v>
      </c>
      <c r="AO58" s="57">
        <v>0</v>
      </c>
      <c r="AP58" s="57">
        <v>0</v>
      </c>
      <c r="AQ58" s="57">
        <v>0</v>
      </c>
      <c r="AR58" s="57">
        <v>0</v>
      </c>
      <c r="AS58" s="57">
        <v>0</v>
      </c>
      <c r="AT58" s="57">
        <v>0</v>
      </c>
      <c r="AU58" s="57">
        <v>0</v>
      </c>
      <c r="AV58" s="57">
        <v>0</v>
      </c>
      <c r="AW58" s="57">
        <v>0</v>
      </c>
      <c r="AX58" s="57">
        <v>0</v>
      </c>
      <c r="AY58" s="57">
        <v>0</v>
      </c>
      <c r="AZ58" s="57">
        <v>0</v>
      </c>
      <c r="BA58" s="57">
        <v>0</v>
      </c>
      <c r="BB58" s="57">
        <v>0</v>
      </c>
      <c r="BC58" s="57">
        <v>0</v>
      </c>
      <c r="BD58" s="57">
        <v>0</v>
      </c>
      <c r="BE58" s="57">
        <v>0</v>
      </c>
      <c r="BF58" s="57">
        <v>0</v>
      </c>
      <c r="BG58" s="57">
        <v>0</v>
      </c>
      <c r="BH58" s="57">
        <v>0</v>
      </c>
      <c r="BI58" s="57">
        <v>0</v>
      </c>
      <c r="BJ58" s="57">
        <v>0</v>
      </c>
      <c r="BK58" s="57">
        <v>0</v>
      </c>
      <c r="BL58" s="57">
        <v>0</v>
      </c>
      <c r="BM58" s="57">
        <v>0</v>
      </c>
      <c r="BN58" s="57">
        <v>0</v>
      </c>
      <c r="BO58" s="57">
        <v>0</v>
      </c>
      <c r="BP58" s="57">
        <v>0</v>
      </c>
      <c r="BQ58" s="57">
        <v>0</v>
      </c>
      <c r="BR58" s="57">
        <v>0</v>
      </c>
      <c r="BS58" s="57">
        <v>0</v>
      </c>
      <c r="BT58" s="57">
        <v>0</v>
      </c>
      <c r="BU58" s="57">
        <v>0</v>
      </c>
      <c r="BV58" s="57">
        <v>0</v>
      </c>
      <c r="BW58" s="57">
        <v>0</v>
      </c>
      <c r="BX58" s="57">
        <v>0</v>
      </c>
      <c r="BY58" s="57">
        <v>0</v>
      </c>
      <c r="BZ58" s="57">
        <v>0</v>
      </c>
      <c r="CA58" s="57">
        <v>0</v>
      </c>
      <c r="CB58" s="57">
        <v>0</v>
      </c>
      <c r="CC58" s="57">
        <v>1</v>
      </c>
      <c r="CD58" s="57">
        <v>0</v>
      </c>
      <c r="CE58" s="57">
        <v>0</v>
      </c>
      <c r="CF58" s="57">
        <v>0</v>
      </c>
      <c r="CG58" s="57">
        <v>0</v>
      </c>
      <c r="CH58" s="57">
        <v>0</v>
      </c>
      <c r="CI58" s="57">
        <v>0</v>
      </c>
      <c r="CJ58" s="57">
        <v>0</v>
      </c>
      <c r="CK58" s="57">
        <v>0</v>
      </c>
      <c r="CL58" s="57">
        <v>0</v>
      </c>
      <c r="CM58" s="57">
        <v>0</v>
      </c>
      <c r="CN58" s="57">
        <v>0</v>
      </c>
      <c r="CO58" s="57">
        <v>0</v>
      </c>
      <c r="CP58" s="57">
        <v>0</v>
      </c>
      <c r="CQ58" s="57">
        <v>0</v>
      </c>
      <c r="CR58" s="57">
        <v>0</v>
      </c>
      <c r="CS58" s="57">
        <v>0</v>
      </c>
      <c r="CT58" s="57">
        <v>0</v>
      </c>
      <c r="CU58" s="57">
        <v>0</v>
      </c>
      <c r="CV58" s="57">
        <v>0</v>
      </c>
      <c r="CW58" s="57">
        <v>0</v>
      </c>
      <c r="CX58" s="57">
        <v>0</v>
      </c>
      <c r="CY58" s="57">
        <v>0</v>
      </c>
      <c r="CZ58" s="57">
        <v>0</v>
      </c>
      <c r="DA58" s="57">
        <v>0</v>
      </c>
      <c r="DB58" s="57">
        <v>0</v>
      </c>
      <c r="DC58" s="57">
        <v>0</v>
      </c>
      <c r="DD58" s="57">
        <v>0</v>
      </c>
      <c r="DE58" s="57">
        <v>0</v>
      </c>
      <c r="DF58" s="57">
        <v>0</v>
      </c>
      <c r="DG58" s="137">
        <v>0</v>
      </c>
      <c r="DH58" s="137">
        <v>0</v>
      </c>
      <c r="DI58" s="137">
        <v>0</v>
      </c>
      <c r="DJ58" s="137">
        <v>0</v>
      </c>
      <c r="DK58" s="137">
        <v>0</v>
      </c>
      <c r="DL58" s="137">
        <v>0</v>
      </c>
      <c r="DM58" s="137">
        <v>0</v>
      </c>
      <c r="DN58" s="137">
        <v>0</v>
      </c>
      <c r="DO58" s="137">
        <v>0</v>
      </c>
      <c r="DP58" s="137">
        <v>0</v>
      </c>
      <c r="DQ58" s="137">
        <v>0</v>
      </c>
      <c r="DR58" s="137">
        <v>0</v>
      </c>
      <c r="DS58" s="137">
        <v>0</v>
      </c>
      <c r="DT58" s="137">
        <v>0</v>
      </c>
      <c r="DU58" s="137">
        <v>0</v>
      </c>
      <c r="DV58" s="137">
        <v>0</v>
      </c>
      <c r="DW58" s="137">
        <v>0</v>
      </c>
      <c r="DX58" s="137">
        <v>0</v>
      </c>
      <c r="DY58" s="137">
        <v>0</v>
      </c>
      <c r="DZ58" s="137">
        <v>0</v>
      </c>
      <c r="EA58" s="137">
        <v>0</v>
      </c>
    </row>
    <row r="59" spans="1:131" x14ac:dyDescent="0.35">
      <c r="A59" s="90" t="e">
        <f>VLOOKUP(E59,'Validation List'!F60:G455,2,FALSE)</f>
        <v>#N/A</v>
      </c>
      <c r="B59" s="90" t="str">
        <f>INDEX('NEW HIRE ROSTER'!$G:$G,MATCH(RAW!F59,'NEW HIRE ROSTER'!$A:$A,0))</f>
        <v>Nesting</v>
      </c>
      <c r="C59" s="90" t="str">
        <f>INDEX('NEW HIRE ROSTER'!$F:$F,MATCH(RAW!F59,'NEW HIRE ROSTER'!$A:$A,0))</f>
        <v>Class 11.2</v>
      </c>
      <c r="D59" s="90" t="str">
        <f>INDEX('Validation List'!$H:$H,MATCH(RAW!E59,'Validation List'!$F:$F,0))</f>
        <v>Jan Week 2</v>
      </c>
      <c r="E59" s="89">
        <v>45671</v>
      </c>
      <c r="F59" s="56" t="s">
        <v>1990</v>
      </c>
      <c r="G59" s="90" t="str">
        <f>VLOOKUP(F59,ML!C43:D641,2,FALSE)</f>
        <v>Khyno Elimanco Cortez</v>
      </c>
      <c r="H59" s="90" t="str">
        <f>VLOOKUP(F59,ML!C43:E641,3,FALSE)</f>
        <v>QC</v>
      </c>
      <c r="I59" s="83" t="s">
        <v>2384</v>
      </c>
      <c r="J59" s="56" t="s">
        <v>209</v>
      </c>
      <c r="K59" s="56" t="s">
        <v>2412</v>
      </c>
      <c r="L59" s="56" t="s">
        <v>2398</v>
      </c>
      <c r="M59" s="154">
        <v>1</v>
      </c>
      <c r="N59" s="57">
        <v>0</v>
      </c>
      <c r="O59" s="57">
        <v>0</v>
      </c>
      <c r="P59" s="57">
        <v>0</v>
      </c>
      <c r="Q59" s="57">
        <v>0</v>
      </c>
      <c r="R59" s="57">
        <v>0</v>
      </c>
      <c r="S59" s="57">
        <v>0</v>
      </c>
      <c r="T59" s="57">
        <v>0</v>
      </c>
      <c r="U59" s="57">
        <v>0</v>
      </c>
      <c r="V59" s="57">
        <v>0</v>
      </c>
      <c r="W59" s="57">
        <v>0</v>
      </c>
      <c r="X59" s="57">
        <v>0</v>
      </c>
      <c r="Y59" s="57">
        <v>0</v>
      </c>
      <c r="Z59" s="57">
        <v>0</v>
      </c>
      <c r="AA59" s="57">
        <v>0</v>
      </c>
      <c r="AB59" s="57">
        <v>0</v>
      </c>
      <c r="AC59" s="57">
        <v>0</v>
      </c>
      <c r="AD59" s="57">
        <v>0</v>
      </c>
      <c r="AE59" s="57">
        <v>0</v>
      </c>
      <c r="AF59" s="57">
        <v>0</v>
      </c>
      <c r="AG59" s="57">
        <v>0</v>
      </c>
      <c r="AH59" s="57">
        <v>0</v>
      </c>
      <c r="AI59" s="57">
        <v>0</v>
      </c>
      <c r="AJ59" s="57">
        <v>0</v>
      </c>
      <c r="AK59" s="57">
        <v>0</v>
      </c>
      <c r="AL59" s="57">
        <v>0</v>
      </c>
      <c r="AM59" s="57">
        <v>0</v>
      </c>
      <c r="AN59" s="57">
        <v>0</v>
      </c>
      <c r="AO59" s="57">
        <v>0</v>
      </c>
      <c r="AP59" s="57">
        <v>0</v>
      </c>
      <c r="AQ59" s="57">
        <v>0</v>
      </c>
      <c r="AR59" s="57">
        <v>0</v>
      </c>
      <c r="AS59" s="57">
        <v>0</v>
      </c>
      <c r="AT59" s="57">
        <v>0</v>
      </c>
      <c r="AU59" s="57">
        <v>0</v>
      </c>
      <c r="AV59" s="57">
        <v>0</v>
      </c>
      <c r="AW59" s="57">
        <v>0</v>
      </c>
      <c r="AX59" s="57">
        <v>0</v>
      </c>
      <c r="AY59" s="57">
        <v>0</v>
      </c>
      <c r="AZ59" s="57">
        <v>0</v>
      </c>
      <c r="BA59" s="57">
        <v>0</v>
      </c>
      <c r="BB59" s="57">
        <v>0</v>
      </c>
      <c r="BC59" s="57">
        <v>0</v>
      </c>
      <c r="BD59" s="57">
        <v>0</v>
      </c>
      <c r="BE59" s="57">
        <v>0</v>
      </c>
      <c r="BF59" s="57">
        <v>0</v>
      </c>
      <c r="BG59" s="57">
        <v>0</v>
      </c>
      <c r="BH59" s="57">
        <v>0</v>
      </c>
      <c r="BI59" s="57">
        <v>0</v>
      </c>
      <c r="BJ59" s="57">
        <v>0</v>
      </c>
      <c r="BK59" s="57">
        <v>0</v>
      </c>
      <c r="BL59" s="57">
        <v>0</v>
      </c>
      <c r="BM59" s="57">
        <v>0</v>
      </c>
      <c r="BN59" s="57">
        <v>0</v>
      </c>
      <c r="BO59" s="57">
        <v>0</v>
      </c>
      <c r="BP59" s="57">
        <v>0</v>
      </c>
      <c r="BQ59" s="57">
        <v>0</v>
      </c>
      <c r="BR59" s="57">
        <v>0</v>
      </c>
      <c r="BS59" s="57">
        <v>0</v>
      </c>
      <c r="BT59" s="57">
        <v>0</v>
      </c>
      <c r="BU59" s="57">
        <v>0</v>
      </c>
      <c r="BV59" s="57">
        <v>0</v>
      </c>
      <c r="BW59" s="57">
        <v>0</v>
      </c>
      <c r="BX59" s="57">
        <v>0</v>
      </c>
      <c r="BY59" s="57">
        <v>0</v>
      </c>
      <c r="BZ59" s="57">
        <v>0</v>
      </c>
      <c r="CA59" s="57">
        <v>0</v>
      </c>
      <c r="CB59" s="57">
        <v>0</v>
      </c>
      <c r="CC59" s="57">
        <v>0</v>
      </c>
      <c r="CD59" s="57">
        <v>0</v>
      </c>
      <c r="CE59" s="57">
        <v>0</v>
      </c>
      <c r="CF59" s="57">
        <v>0</v>
      </c>
      <c r="CG59" s="57">
        <v>0</v>
      </c>
      <c r="CH59" s="57">
        <v>0</v>
      </c>
      <c r="CI59" s="57">
        <v>0</v>
      </c>
      <c r="CJ59" s="57">
        <v>0</v>
      </c>
      <c r="CK59" s="57">
        <v>0</v>
      </c>
      <c r="CL59" s="57">
        <v>0</v>
      </c>
      <c r="CM59" s="57">
        <v>0</v>
      </c>
      <c r="CN59" s="57">
        <v>0</v>
      </c>
      <c r="CO59" s="57">
        <v>0</v>
      </c>
      <c r="CP59" s="57">
        <v>0</v>
      </c>
      <c r="CQ59" s="57">
        <v>0</v>
      </c>
      <c r="CR59" s="57">
        <v>0</v>
      </c>
      <c r="CS59" s="57">
        <v>0</v>
      </c>
      <c r="CT59" s="57">
        <v>0</v>
      </c>
      <c r="CU59" s="57">
        <v>0</v>
      </c>
      <c r="CV59" s="57">
        <v>0</v>
      </c>
      <c r="CW59" s="57">
        <v>0</v>
      </c>
      <c r="CX59" s="57">
        <v>0</v>
      </c>
      <c r="CY59" s="57">
        <v>0</v>
      </c>
      <c r="CZ59" s="57">
        <v>0</v>
      </c>
      <c r="DA59" s="57">
        <v>0</v>
      </c>
      <c r="DB59" s="57">
        <v>0</v>
      </c>
      <c r="DC59" s="57">
        <v>0</v>
      </c>
      <c r="DD59" s="57">
        <v>0</v>
      </c>
      <c r="DE59" s="57">
        <v>0</v>
      </c>
      <c r="DF59" s="57">
        <v>0</v>
      </c>
      <c r="DG59" s="137">
        <v>0</v>
      </c>
      <c r="DH59" s="137">
        <v>0</v>
      </c>
      <c r="DI59" s="137">
        <v>0</v>
      </c>
      <c r="DJ59" s="137">
        <v>0</v>
      </c>
      <c r="DK59" s="137">
        <v>0</v>
      </c>
      <c r="DL59" s="137">
        <v>0</v>
      </c>
      <c r="DM59" s="137">
        <v>0</v>
      </c>
      <c r="DN59" s="137">
        <v>0</v>
      </c>
      <c r="DO59" s="137">
        <v>0</v>
      </c>
      <c r="DP59" s="137">
        <v>0</v>
      </c>
      <c r="DQ59" s="137">
        <v>0</v>
      </c>
      <c r="DR59" s="137">
        <v>0</v>
      </c>
      <c r="DS59" s="137">
        <v>0</v>
      </c>
      <c r="DT59" s="137">
        <v>0</v>
      </c>
      <c r="DU59" s="137">
        <v>0</v>
      </c>
      <c r="DV59" s="137">
        <v>0</v>
      </c>
      <c r="DW59" s="137">
        <v>0</v>
      </c>
      <c r="DX59" s="137">
        <v>0</v>
      </c>
      <c r="DY59" s="137">
        <v>0</v>
      </c>
      <c r="DZ59" s="137">
        <v>0</v>
      </c>
      <c r="EA59" s="137">
        <v>0</v>
      </c>
    </row>
    <row r="60" spans="1:131" x14ac:dyDescent="0.35">
      <c r="A60" s="90" t="e">
        <f>VLOOKUP(E60,'Validation List'!F61:G456,2,FALSE)</f>
        <v>#N/A</v>
      </c>
      <c r="B60" s="90" t="str">
        <f>INDEX('NEW HIRE ROSTER'!$G:$G,MATCH(RAW!F60,'NEW HIRE ROSTER'!$A:$A,0))</f>
        <v>Nesting</v>
      </c>
      <c r="C60" s="90" t="str">
        <f>INDEX('NEW HIRE ROSTER'!$F:$F,MATCH(RAW!F60,'NEW HIRE ROSTER'!$A:$A,0))</f>
        <v>Class 11.2</v>
      </c>
      <c r="D60" s="90" t="str">
        <f>INDEX('Validation List'!$H:$H,MATCH(RAW!E60,'Validation List'!$F:$F,0))</f>
        <v>Jan Week 2</v>
      </c>
      <c r="E60" s="89">
        <v>45671</v>
      </c>
      <c r="F60" s="56" t="s">
        <v>2029</v>
      </c>
      <c r="G60" s="90" t="str">
        <f>VLOOKUP(F60,ML!C44:D642,2,FALSE)</f>
        <v>Khyno Elimanco Cortez</v>
      </c>
      <c r="H60" s="90" t="str">
        <f>VLOOKUP(F60,ML!C44:E642,3,FALSE)</f>
        <v>QC</v>
      </c>
      <c r="I60" s="83" t="s">
        <v>2384</v>
      </c>
      <c r="J60" s="56" t="s">
        <v>209</v>
      </c>
      <c r="K60" s="56" t="s">
        <v>163</v>
      </c>
      <c r="L60" s="56" t="s">
        <v>2399</v>
      </c>
      <c r="M60" s="154">
        <v>0.94</v>
      </c>
      <c r="N60" s="57">
        <v>0</v>
      </c>
      <c r="O60" s="57">
        <v>0</v>
      </c>
      <c r="P60" s="57">
        <v>0</v>
      </c>
      <c r="Q60" s="57">
        <v>0</v>
      </c>
      <c r="R60" s="57">
        <v>0</v>
      </c>
      <c r="S60" s="57">
        <v>0</v>
      </c>
      <c r="T60" s="57">
        <v>0</v>
      </c>
      <c r="U60" s="57">
        <v>0</v>
      </c>
      <c r="V60" s="57">
        <v>0</v>
      </c>
      <c r="W60" s="57">
        <v>0</v>
      </c>
      <c r="X60" s="57">
        <v>0</v>
      </c>
      <c r="Y60" s="57">
        <v>0</v>
      </c>
      <c r="Z60" s="57">
        <v>0</v>
      </c>
      <c r="AA60" s="57">
        <v>0</v>
      </c>
      <c r="AB60" s="57">
        <v>0</v>
      </c>
      <c r="AC60" s="57">
        <v>0</v>
      </c>
      <c r="AD60" s="57">
        <v>0</v>
      </c>
      <c r="AE60" s="57">
        <v>0</v>
      </c>
      <c r="AF60" s="57">
        <v>0</v>
      </c>
      <c r="AG60" s="57">
        <v>0</v>
      </c>
      <c r="AH60" s="57">
        <v>0</v>
      </c>
      <c r="AI60" s="57">
        <v>0</v>
      </c>
      <c r="AJ60" s="57">
        <v>0</v>
      </c>
      <c r="AK60" s="57">
        <v>0</v>
      </c>
      <c r="AL60" s="57">
        <v>0</v>
      </c>
      <c r="AM60" s="57">
        <v>0</v>
      </c>
      <c r="AN60" s="57">
        <v>0</v>
      </c>
      <c r="AO60" s="57">
        <v>0</v>
      </c>
      <c r="AP60" s="57">
        <v>0</v>
      </c>
      <c r="AQ60" s="57">
        <v>0</v>
      </c>
      <c r="AR60" s="57">
        <v>0</v>
      </c>
      <c r="AS60" s="57">
        <v>0</v>
      </c>
      <c r="AT60" s="57">
        <v>0</v>
      </c>
      <c r="AU60" s="57">
        <v>0</v>
      </c>
      <c r="AV60" s="57">
        <v>0</v>
      </c>
      <c r="AW60" s="57">
        <v>0</v>
      </c>
      <c r="AX60" s="57">
        <v>0</v>
      </c>
      <c r="AY60" s="57">
        <v>0</v>
      </c>
      <c r="AZ60" s="57">
        <v>0</v>
      </c>
      <c r="BA60" s="57">
        <v>0</v>
      </c>
      <c r="BB60" s="57">
        <v>0</v>
      </c>
      <c r="BC60" s="57">
        <v>0</v>
      </c>
      <c r="BD60" s="57">
        <v>0</v>
      </c>
      <c r="BE60" s="57">
        <v>0</v>
      </c>
      <c r="BF60" s="57">
        <v>0</v>
      </c>
      <c r="BG60" s="57">
        <v>0</v>
      </c>
      <c r="BH60" s="57">
        <v>0</v>
      </c>
      <c r="BI60" s="57">
        <v>0</v>
      </c>
      <c r="BJ60" s="57">
        <v>0</v>
      </c>
      <c r="BK60" s="57">
        <v>0</v>
      </c>
      <c r="BL60" s="57">
        <v>0</v>
      </c>
      <c r="BM60" s="57">
        <v>0</v>
      </c>
      <c r="BN60" s="57">
        <v>0</v>
      </c>
      <c r="BO60" s="57">
        <v>0</v>
      </c>
      <c r="BP60" s="57">
        <v>0</v>
      </c>
      <c r="BQ60" s="57">
        <v>0</v>
      </c>
      <c r="BR60" s="57">
        <v>0</v>
      </c>
      <c r="BS60" s="57">
        <v>0</v>
      </c>
      <c r="BT60" s="57">
        <v>0</v>
      </c>
      <c r="BU60" s="57">
        <v>0</v>
      </c>
      <c r="BV60" s="57">
        <v>0</v>
      </c>
      <c r="BW60" s="57">
        <v>0</v>
      </c>
      <c r="BX60" s="57">
        <v>0</v>
      </c>
      <c r="BY60" s="57">
        <v>0</v>
      </c>
      <c r="BZ60" s="57">
        <v>0</v>
      </c>
      <c r="CA60" s="57">
        <v>0</v>
      </c>
      <c r="CB60" s="57">
        <v>0</v>
      </c>
      <c r="CC60" s="57">
        <v>1</v>
      </c>
      <c r="CD60" s="57">
        <v>0</v>
      </c>
      <c r="CE60" s="57">
        <v>0</v>
      </c>
      <c r="CF60" s="57">
        <v>0</v>
      </c>
      <c r="CG60" s="57">
        <v>0</v>
      </c>
      <c r="CH60" s="57">
        <v>0</v>
      </c>
      <c r="CI60" s="57">
        <v>0</v>
      </c>
      <c r="CJ60" s="57">
        <v>0</v>
      </c>
      <c r="CK60" s="57">
        <v>0</v>
      </c>
      <c r="CL60" s="57">
        <v>0</v>
      </c>
      <c r="CM60" s="57">
        <v>0</v>
      </c>
      <c r="CN60" s="57">
        <v>0</v>
      </c>
      <c r="CO60" s="57">
        <v>0</v>
      </c>
      <c r="CP60" s="57">
        <v>0</v>
      </c>
      <c r="CQ60" s="57">
        <v>0</v>
      </c>
      <c r="CR60" s="57">
        <v>0</v>
      </c>
      <c r="CS60" s="57">
        <v>0</v>
      </c>
      <c r="CT60" s="57">
        <v>0</v>
      </c>
      <c r="CU60" s="57">
        <v>0</v>
      </c>
      <c r="CV60" s="57">
        <v>0</v>
      </c>
      <c r="CW60" s="57">
        <v>0</v>
      </c>
      <c r="CX60" s="57">
        <v>0</v>
      </c>
      <c r="CY60" s="57">
        <v>0</v>
      </c>
      <c r="CZ60" s="57">
        <v>0</v>
      </c>
      <c r="DA60" s="57">
        <v>0</v>
      </c>
      <c r="DB60" s="57">
        <v>0</v>
      </c>
      <c r="DC60" s="57">
        <v>0</v>
      </c>
      <c r="DD60" s="57">
        <v>0</v>
      </c>
      <c r="DE60" s="57">
        <v>0</v>
      </c>
      <c r="DF60" s="57">
        <v>0</v>
      </c>
      <c r="DG60" s="137">
        <v>0</v>
      </c>
      <c r="DH60" s="137">
        <v>0</v>
      </c>
      <c r="DI60" s="137">
        <v>0</v>
      </c>
      <c r="DJ60" s="137">
        <v>0</v>
      </c>
      <c r="DK60" s="137">
        <v>0</v>
      </c>
      <c r="DL60" s="137">
        <v>0</v>
      </c>
      <c r="DM60" s="137">
        <v>0</v>
      </c>
      <c r="DN60" s="137">
        <v>0</v>
      </c>
      <c r="DO60" s="137">
        <v>0</v>
      </c>
      <c r="DP60" s="137">
        <v>0</v>
      </c>
      <c r="DQ60" s="137">
        <v>0</v>
      </c>
      <c r="DR60" s="137">
        <v>0</v>
      </c>
      <c r="DS60" s="137">
        <v>0</v>
      </c>
      <c r="DT60" s="137">
        <v>0</v>
      </c>
      <c r="DU60" s="137">
        <v>0</v>
      </c>
      <c r="DV60" s="137">
        <v>0</v>
      </c>
      <c r="DW60" s="137">
        <v>0</v>
      </c>
      <c r="DX60" s="137">
        <v>0</v>
      </c>
      <c r="DY60" s="137">
        <v>0</v>
      </c>
      <c r="DZ60" s="137">
        <v>0</v>
      </c>
      <c r="EA60" s="137">
        <v>0</v>
      </c>
    </row>
    <row r="61" spans="1:131" x14ac:dyDescent="0.35">
      <c r="A61" s="90" t="e">
        <f>VLOOKUP(E61,'Validation List'!F62:G457,2,FALSE)</f>
        <v>#N/A</v>
      </c>
      <c r="B61" s="90" t="str">
        <f>INDEX('NEW HIRE ROSTER'!$G:$G,MATCH(RAW!F61,'NEW HIRE ROSTER'!$A:$A,0))</f>
        <v>Nesting</v>
      </c>
      <c r="C61" s="90" t="str">
        <f>INDEX('NEW HIRE ROSTER'!$F:$F,MATCH(RAW!F61,'NEW HIRE ROSTER'!$A:$A,0))</f>
        <v>Class 11.2</v>
      </c>
      <c r="D61" s="90" t="str">
        <f>INDEX('Validation List'!$H:$H,MATCH(RAW!E61,'Validation List'!$F:$F,0))</f>
        <v>Jan Week 2</v>
      </c>
      <c r="E61" s="89">
        <v>45671</v>
      </c>
      <c r="F61" s="56" t="s">
        <v>2029</v>
      </c>
      <c r="G61" s="90" t="str">
        <f>VLOOKUP(F61,ML!C45:D643,2,FALSE)</f>
        <v>Khyno Elimanco Cortez</v>
      </c>
      <c r="H61" s="90" t="str">
        <f>VLOOKUP(F61,ML!C45:E643,3,FALSE)</f>
        <v>QC</v>
      </c>
      <c r="I61" s="83" t="s">
        <v>2384</v>
      </c>
      <c r="J61" s="56" t="s">
        <v>209</v>
      </c>
      <c r="K61" s="56" t="s">
        <v>144</v>
      </c>
      <c r="L61" s="56" t="s">
        <v>2400</v>
      </c>
      <c r="M61" s="154">
        <v>1</v>
      </c>
      <c r="N61" s="57">
        <v>0</v>
      </c>
      <c r="O61" s="57">
        <v>0</v>
      </c>
      <c r="P61" s="57">
        <v>0</v>
      </c>
      <c r="Q61" s="57">
        <v>0</v>
      </c>
      <c r="R61" s="57">
        <v>0</v>
      </c>
      <c r="S61" s="57">
        <v>0</v>
      </c>
      <c r="T61" s="57">
        <v>0</v>
      </c>
      <c r="U61" s="57">
        <v>0</v>
      </c>
      <c r="V61" s="57">
        <v>0</v>
      </c>
      <c r="W61" s="57">
        <v>0</v>
      </c>
      <c r="X61" s="57">
        <v>0</v>
      </c>
      <c r="Y61" s="57">
        <v>0</v>
      </c>
      <c r="Z61" s="57">
        <v>0</v>
      </c>
      <c r="AA61" s="57">
        <v>0</v>
      </c>
      <c r="AB61" s="57">
        <v>0</v>
      </c>
      <c r="AC61" s="57">
        <v>0</v>
      </c>
      <c r="AD61" s="57">
        <v>0</v>
      </c>
      <c r="AE61" s="57">
        <v>0</v>
      </c>
      <c r="AF61" s="57">
        <v>0</v>
      </c>
      <c r="AG61" s="57">
        <v>0</v>
      </c>
      <c r="AH61" s="57">
        <v>0</v>
      </c>
      <c r="AI61" s="57">
        <v>0</v>
      </c>
      <c r="AJ61" s="57">
        <v>0</v>
      </c>
      <c r="AK61" s="57">
        <v>0</v>
      </c>
      <c r="AL61" s="57">
        <v>0</v>
      </c>
      <c r="AM61" s="57">
        <v>0</v>
      </c>
      <c r="AN61" s="57">
        <v>0</v>
      </c>
      <c r="AO61" s="57">
        <v>0</v>
      </c>
      <c r="AP61" s="57">
        <v>0</v>
      </c>
      <c r="AQ61" s="57">
        <v>0</v>
      </c>
      <c r="AR61" s="57">
        <v>0</v>
      </c>
      <c r="AS61" s="57">
        <v>0</v>
      </c>
      <c r="AT61" s="57">
        <v>0</v>
      </c>
      <c r="AU61" s="57">
        <v>0</v>
      </c>
      <c r="AV61" s="57">
        <v>0</v>
      </c>
      <c r="AW61" s="57">
        <v>0</v>
      </c>
      <c r="AX61" s="57">
        <v>0</v>
      </c>
      <c r="AY61" s="57">
        <v>0</v>
      </c>
      <c r="AZ61" s="57">
        <v>0</v>
      </c>
      <c r="BA61" s="57">
        <v>0</v>
      </c>
      <c r="BB61" s="57">
        <v>0</v>
      </c>
      <c r="BC61" s="57">
        <v>0</v>
      </c>
      <c r="BD61" s="57">
        <v>0</v>
      </c>
      <c r="BE61" s="57">
        <v>0</v>
      </c>
      <c r="BF61" s="57">
        <v>0</v>
      </c>
      <c r="BG61" s="57">
        <v>0</v>
      </c>
      <c r="BH61" s="57">
        <v>0</v>
      </c>
      <c r="BI61" s="57">
        <v>0</v>
      </c>
      <c r="BJ61" s="57">
        <v>0</v>
      </c>
      <c r="BK61" s="57">
        <v>0</v>
      </c>
      <c r="BL61" s="57">
        <v>0</v>
      </c>
      <c r="BM61" s="57">
        <v>0</v>
      </c>
      <c r="BN61" s="57">
        <v>0</v>
      </c>
      <c r="BO61" s="57">
        <v>0</v>
      </c>
      <c r="BP61" s="57">
        <v>0</v>
      </c>
      <c r="BQ61" s="57">
        <v>0</v>
      </c>
      <c r="BR61" s="57">
        <v>0</v>
      </c>
      <c r="BS61" s="57">
        <v>0</v>
      </c>
      <c r="BT61" s="57">
        <v>0</v>
      </c>
      <c r="BU61" s="57">
        <v>0</v>
      </c>
      <c r="BV61" s="57">
        <v>0</v>
      </c>
      <c r="BW61" s="57">
        <v>0</v>
      </c>
      <c r="BX61" s="57">
        <v>0</v>
      </c>
      <c r="BY61" s="57">
        <v>0</v>
      </c>
      <c r="BZ61" s="57">
        <v>0</v>
      </c>
      <c r="CA61" s="57">
        <v>0</v>
      </c>
      <c r="CB61" s="57">
        <v>0</v>
      </c>
      <c r="CC61" s="57">
        <v>0</v>
      </c>
      <c r="CD61" s="57">
        <v>0</v>
      </c>
      <c r="CE61" s="57">
        <v>0</v>
      </c>
      <c r="CF61" s="57">
        <v>0</v>
      </c>
      <c r="CG61" s="57">
        <v>0</v>
      </c>
      <c r="CH61" s="57">
        <v>0</v>
      </c>
      <c r="CI61" s="57">
        <v>0</v>
      </c>
      <c r="CJ61" s="57">
        <v>0</v>
      </c>
      <c r="CK61" s="57">
        <v>0</v>
      </c>
      <c r="CL61" s="57">
        <v>0</v>
      </c>
      <c r="CM61" s="57">
        <v>0</v>
      </c>
      <c r="CN61" s="57">
        <v>0</v>
      </c>
      <c r="CO61" s="57">
        <v>0</v>
      </c>
      <c r="CP61" s="57">
        <v>0</v>
      </c>
      <c r="CQ61" s="57">
        <v>0</v>
      </c>
      <c r="CR61" s="57">
        <v>0</v>
      </c>
      <c r="CS61" s="57">
        <v>0</v>
      </c>
      <c r="CT61" s="57">
        <v>0</v>
      </c>
      <c r="CU61" s="57">
        <v>0</v>
      </c>
      <c r="CV61" s="57">
        <v>0</v>
      </c>
      <c r="CW61" s="57">
        <v>0</v>
      </c>
      <c r="CX61" s="57">
        <v>0</v>
      </c>
      <c r="CY61" s="57">
        <v>0</v>
      </c>
      <c r="CZ61" s="57">
        <v>0</v>
      </c>
      <c r="DA61" s="57">
        <v>0</v>
      </c>
      <c r="DB61" s="57">
        <v>0</v>
      </c>
      <c r="DC61" s="57">
        <v>0</v>
      </c>
      <c r="DD61" s="57">
        <v>0</v>
      </c>
      <c r="DE61" s="57">
        <v>0</v>
      </c>
      <c r="DF61" s="57">
        <v>0</v>
      </c>
      <c r="DG61" s="137">
        <v>0</v>
      </c>
      <c r="DH61" s="137">
        <v>0</v>
      </c>
      <c r="DI61" s="137">
        <v>0</v>
      </c>
      <c r="DJ61" s="137">
        <v>0</v>
      </c>
      <c r="DK61" s="137">
        <v>0</v>
      </c>
      <c r="DL61" s="137">
        <v>0</v>
      </c>
      <c r="DM61" s="137">
        <v>0</v>
      </c>
      <c r="DN61" s="137">
        <v>0</v>
      </c>
      <c r="DO61" s="137">
        <v>0</v>
      </c>
      <c r="DP61" s="137">
        <v>0</v>
      </c>
      <c r="DQ61" s="137">
        <v>0</v>
      </c>
      <c r="DR61" s="137">
        <v>0</v>
      </c>
      <c r="DS61" s="137">
        <v>0</v>
      </c>
      <c r="DT61" s="137">
        <v>0</v>
      </c>
      <c r="DU61" s="137">
        <v>0</v>
      </c>
      <c r="DV61" s="137">
        <v>0</v>
      </c>
      <c r="DW61" s="137">
        <v>0</v>
      </c>
      <c r="DX61" s="137">
        <v>0</v>
      </c>
      <c r="DY61" s="137">
        <v>0</v>
      </c>
      <c r="DZ61" s="137">
        <v>0</v>
      </c>
      <c r="EA61" s="137">
        <v>0</v>
      </c>
    </row>
    <row r="62" spans="1:131" x14ac:dyDescent="0.35">
      <c r="A62" s="90" t="e">
        <f>VLOOKUP(E62,'Validation List'!F63:G458,2,FALSE)</f>
        <v>#N/A</v>
      </c>
      <c r="B62" s="90" t="str">
        <f>INDEX('NEW HIRE ROSTER'!$G:$G,MATCH(RAW!F62,'NEW HIRE ROSTER'!$A:$A,0))</f>
        <v>Nesting</v>
      </c>
      <c r="C62" s="90" t="str">
        <f>INDEX('NEW HIRE ROSTER'!$F:$F,MATCH(RAW!F62,'NEW HIRE ROSTER'!$A:$A,0))</f>
        <v>Class 11.2</v>
      </c>
      <c r="D62" s="90" t="str">
        <f>INDEX('Validation List'!$H:$H,MATCH(RAW!E62,'Validation List'!$F:$F,0))</f>
        <v>Jan Week 2</v>
      </c>
      <c r="E62" s="89">
        <v>45672</v>
      </c>
      <c r="F62" s="56" t="s">
        <v>2014</v>
      </c>
      <c r="G62" s="90" t="str">
        <f>VLOOKUP(F62,ML!C46:D644,2,FALSE)</f>
        <v>Khyno Elimanco Cortez</v>
      </c>
      <c r="H62" s="90" t="str">
        <f>VLOOKUP(F62,ML!C46:E644,3,FALSE)</f>
        <v>QC</v>
      </c>
      <c r="I62" s="83" t="s">
        <v>2384</v>
      </c>
      <c r="J62" s="56" t="s">
        <v>209</v>
      </c>
      <c r="K62" s="56" t="s">
        <v>2412</v>
      </c>
      <c r="L62" s="56" t="s">
        <v>2401</v>
      </c>
      <c r="M62" s="154">
        <v>1</v>
      </c>
      <c r="N62" s="57">
        <v>0</v>
      </c>
      <c r="O62" s="57">
        <v>0</v>
      </c>
      <c r="P62" s="57">
        <v>0</v>
      </c>
      <c r="Q62" s="57">
        <v>0</v>
      </c>
      <c r="R62" s="57">
        <v>0</v>
      </c>
      <c r="S62" s="57">
        <v>0</v>
      </c>
      <c r="T62" s="57">
        <v>0</v>
      </c>
      <c r="U62" s="57">
        <v>0</v>
      </c>
      <c r="V62" s="57">
        <v>0</v>
      </c>
      <c r="W62" s="57">
        <v>0</v>
      </c>
      <c r="X62" s="57">
        <v>0</v>
      </c>
      <c r="Y62" s="57">
        <v>0</v>
      </c>
      <c r="Z62" s="57">
        <v>0</v>
      </c>
      <c r="AA62" s="57">
        <v>0</v>
      </c>
      <c r="AB62" s="57">
        <v>0</v>
      </c>
      <c r="AC62" s="57">
        <v>0</v>
      </c>
      <c r="AD62" s="57">
        <v>0</v>
      </c>
      <c r="AE62" s="57">
        <v>0</v>
      </c>
      <c r="AF62" s="57">
        <v>0</v>
      </c>
      <c r="AG62" s="57">
        <v>0</v>
      </c>
      <c r="AH62" s="57">
        <v>0</v>
      </c>
      <c r="AI62" s="57">
        <v>0</v>
      </c>
      <c r="AJ62" s="57">
        <v>0</v>
      </c>
      <c r="AK62" s="57">
        <v>0</v>
      </c>
      <c r="AL62" s="57">
        <v>0</v>
      </c>
      <c r="AM62" s="57">
        <v>0</v>
      </c>
      <c r="AN62" s="57">
        <v>0</v>
      </c>
      <c r="AO62" s="57">
        <v>0</v>
      </c>
      <c r="AP62" s="57">
        <v>0</v>
      </c>
      <c r="AQ62" s="57">
        <v>0</v>
      </c>
      <c r="AR62" s="57">
        <v>0</v>
      </c>
      <c r="AS62" s="57">
        <v>0</v>
      </c>
      <c r="AT62" s="57">
        <v>0</v>
      </c>
      <c r="AU62" s="57">
        <v>0</v>
      </c>
      <c r="AV62" s="57">
        <v>0</v>
      </c>
      <c r="AW62" s="57">
        <v>0</v>
      </c>
      <c r="AX62" s="57">
        <v>0</v>
      </c>
      <c r="AY62" s="57">
        <v>0</v>
      </c>
      <c r="AZ62" s="57">
        <v>0</v>
      </c>
      <c r="BA62" s="57">
        <v>0</v>
      </c>
      <c r="BB62" s="57">
        <v>0</v>
      </c>
      <c r="BC62" s="57">
        <v>0</v>
      </c>
      <c r="BD62" s="57">
        <v>0</v>
      </c>
      <c r="BE62" s="57">
        <v>0</v>
      </c>
      <c r="BF62" s="57">
        <v>0</v>
      </c>
      <c r="BG62" s="57">
        <v>0</v>
      </c>
      <c r="BH62" s="57">
        <v>0</v>
      </c>
      <c r="BI62" s="57">
        <v>0</v>
      </c>
      <c r="BJ62" s="57">
        <v>0</v>
      </c>
      <c r="BK62" s="57">
        <v>0</v>
      </c>
      <c r="BL62" s="57">
        <v>0</v>
      </c>
      <c r="BM62" s="57">
        <v>0</v>
      </c>
      <c r="BN62" s="57">
        <v>0</v>
      </c>
      <c r="BO62" s="57">
        <v>0</v>
      </c>
      <c r="BP62" s="57">
        <v>0</v>
      </c>
      <c r="BQ62" s="57">
        <v>0</v>
      </c>
      <c r="BR62" s="57">
        <v>0</v>
      </c>
      <c r="BS62" s="57">
        <v>0</v>
      </c>
      <c r="BT62" s="57">
        <v>0</v>
      </c>
      <c r="BU62" s="57">
        <v>0</v>
      </c>
      <c r="BV62" s="57">
        <v>0</v>
      </c>
      <c r="BW62" s="57">
        <v>0</v>
      </c>
      <c r="BX62" s="57">
        <v>0</v>
      </c>
      <c r="BY62" s="57">
        <v>0</v>
      </c>
      <c r="BZ62" s="57">
        <v>0</v>
      </c>
      <c r="CA62" s="57">
        <v>0</v>
      </c>
      <c r="CB62" s="57">
        <v>0</v>
      </c>
      <c r="CC62" s="57">
        <v>0</v>
      </c>
      <c r="CD62" s="57">
        <v>0</v>
      </c>
      <c r="CE62" s="57">
        <v>0</v>
      </c>
      <c r="CF62" s="57">
        <v>0</v>
      </c>
      <c r="CG62" s="57">
        <v>0</v>
      </c>
      <c r="CH62" s="57">
        <v>0</v>
      </c>
      <c r="CI62" s="57">
        <v>0</v>
      </c>
      <c r="CJ62" s="57">
        <v>0</v>
      </c>
      <c r="CK62" s="57">
        <v>0</v>
      </c>
      <c r="CL62" s="57">
        <v>0</v>
      </c>
      <c r="CM62" s="57">
        <v>0</v>
      </c>
      <c r="CN62" s="57">
        <v>0</v>
      </c>
      <c r="CO62" s="57">
        <v>0</v>
      </c>
      <c r="CP62" s="57">
        <v>0</v>
      </c>
      <c r="CQ62" s="57">
        <v>0</v>
      </c>
      <c r="CR62" s="57">
        <v>0</v>
      </c>
      <c r="CS62" s="57">
        <v>0</v>
      </c>
      <c r="CT62" s="57">
        <v>0</v>
      </c>
      <c r="CU62" s="57">
        <v>0</v>
      </c>
      <c r="CV62" s="57">
        <v>0</v>
      </c>
      <c r="CW62" s="57">
        <v>0</v>
      </c>
      <c r="CX62" s="57">
        <v>0</v>
      </c>
      <c r="CY62" s="57">
        <v>0</v>
      </c>
      <c r="CZ62" s="57">
        <v>0</v>
      </c>
      <c r="DA62" s="57">
        <v>0</v>
      </c>
      <c r="DB62" s="57">
        <v>0</v>
      </c>
      <c r="DC62" s="57">
        <v>0</v>
      </c>
      <c r="DD62" s="57">
        <v>0</v>
      </c>
      <c r="DE62" s="57">
        <v>0</v>
      </c>
      <c r="DF62" s="57">
        <v>0</v>
      </c>
      <c r="DG62" s="137">
        <v>0</v>
      </c>
      <c r="DH62" s="137">
        <v>0</v>
      </c>
      <c r="DI62" s="137">
        <v>0</v>
      </c>
      <c r="DJ62" s="137">
        <v>0</v>
      </c>
      <c r="DK62" s="137">
        <v>0</v>
      </c>
      <c r="DL62" s="137">
        <v>0</v>
      </c>
      <c r="DM62" s="137">
        <v>0</v>
      </c>
      <c r="DN62" s="137">
        <v>0</v>
      </c>
      <c r="DO62" s="137">
        <v>0</v>
      </c>
      <c r="DP62" s="137">
        <v>0</v>
      </c>
      <c r="DQ62" s="137">
        <v>0</v>
      </c>
      <c r="DR62" s="137">
        <v>0</v>
      </c>
      <c r="DS62" s="137">
        <v>0</v>
      </c>
      <c r="DT62" s="137">
        <v>0</v>
      </c>
      <c r="DU62" s="137">
        <v>0</v>
      </c>
      <c r="DV62" s="137">
        <v>0</v>
      </c>
      <c r="DW62" s="137">
        <v>0</v>
      </c>
      <c r="DX62" s="137">
        <v>0</v>
      </c>
      <c r="DY62" s="137">
        <v>0</v>
      </c>
      <c r="DZ62" s="137">
        <v>0</v>
      </c>
      <c r="EA62" s="137">
        <v>0</v>
      </c>
    </row>
    <row r="63" spans="1:131" x14ac:dyDescent="0.35">
      <c r="A63" s="90" t="e">
        <f>VLOOKUP(E63,'Validation List'!F64:G459,2,FALSE)</f>
        <v>#N/A</v>
      </c>
      <c r="B63" s="90" t="str">
        <f>INDEX('NEW HIRE ROSTER'!$G:$G,MATCH(RAW!F63,'NEW HIRE ROSTER'!$A:$A,0))</f>
        <v>Nesting</v>
      </c>
      <c r="C63" s="90" t="str">
        <f>INDEX('NEW HIRE ROSTER'!$F:$F,MATCH(RAW!F63,'NEW HIRE ROSTER'!$A:$A,0))</f>
        <v>Class 11.2</v>
      </c>
      <c r="D63" s="90" t="str">
        <f>INDEX('Validation List'!$H:$H,MATCH(RAW!E63,'Validation List'!$F:$F,0))</f>
        <v>Jan Week 2</v>
      </c>
      <c r="E63" s="89">
        <v>45672</v>
      </c>
      <c r="F63" s="56" t="s">
        <v>2008</v>
      </c>
      <c r="G63" s="90" t="str">
        <f>VLOOKUP(F63,ML!C47:D645,2,FALSE)</f>
        <v>Khyno Elimanco Cortez</v>
      </c>
      <c r="H63" s="90" t="str">
        <f>VLOOKUP(F63,ML!C47:E645,3,FALSE)</f>
        <v>QC</v>
      </c>
      <c r="I63" s="83" t="s">
        <v>2384</v>
      </c>
      <c r="J63" s="56" t="s">
        <v>209</v>
      </c>
      <c r="K63" s="56" t="s">
        <v>164</v>
      </c>
      <c r="L63" s="56" t="s">
        <v>2402</v>
      </c>
      <c r="M63" s="154">
        <v>0.99</v>
      </c>
      <c r="N63" s="57">
        <v>0</v>
      </c>
      <c r="O63" s="57">
        <v>0</v>
      </c>
      <c r="P63" s="57">
        <v>0</v>
      </c>
      <c r="Q63" s="57">
        <v>0</v>
      </c>
      <c r="R63" s="57">
        <v>0</v>
      </c>
      <c r="S63" s="57">
        <v>0</v>
      </c>
      <c r="T63" s="57">
        <v>0</v>
      </c>
      <c r="U63" s="57">
        <v>0</v>
      </c>
      <c r="V63" s="57">
        <v>0</v>
      </c>
      <c r="W63" s="57">
        <v>0</v>
      </c>
      <c r="X63" s="57">
        <v>0</v>
      </c>
      <c r="Y63" s="57">
        <v>0</v>
      </c>
      <c r="Z63" s="57">
        <v>0</v>
      </c>
      <c r="AA63" s="57">
        <v>0</v>
      </c>
      <c r="AB63" s="57">
        <v>0</v>
      </c>
      <c r="AC63" s="57">
        <v>0</v>
      </c>
      <c r="AD63" s="57">
        <v>0</v>
      </c>
      <c r="AE63" s="57">
        <v>0</v>
      </c>
      <c r="AF63" s="57">
        <v>0</v>
      </c>
      <c r="AG63" s="57">
        <v>0</v>
      </c>
      <c r="AH63" s="57">
        <v>0</v>
      </c>
      <c r="AI63" s="57">
        <v>0</v>
      </c>
      <c r="AJ63" s="57">
        <v>0</v>
      </c>
      <c r="AK63" s="57">
        <v>0</v>
      </c>
      <c r="AL63" s="57">
        <v>0</v>
      </c>
      <c r="AM63" s="57">
        <v>0</v>
      </c>
      <c r="AN63" s="57">
        <v>0</v>
      </c>
      <c r="AO63" s="57">
        <v>0</v>
      </c>
      <c r="AP63" s="57">
        <v>0</v>
      </c>
      <c r="AQ63" s="57">
        <v>0</v>
      </c>
      <c r="AR63" s="57">
        <v>0</v>
      </c>
      <c r="AS63" s="57">
        <v>0</v>
      </c>
      <c r="AT63" s="57">
        <v>0</v>
      </c>
      <c r="AU63" s="57">
        <v>0</v>
      </c>
      <c r="AV63" s="57">
        <v>0</v>
      </c>
      <c r="AW63" s="57">
        <v>0</v>
      </c>
      <c r="AX63" s="57">
        <v>0</v>
      </c>
      <c r="AY63" s="57">
        <v>0</v>
      </c>
      <c r="AZ63" s="57">
        <v>0</v>
      </c>
      <c r="BA63" s="57">
        <v>0</v>
      </c>
      <c r="BB63" s="57">
        <v>0</v>
      </c>
      <c r="BC63" s="57">
        <v>0</v>
      </c>
      <c r="BD63" s="57">
        <v>0</v>
      </c>
      <c r="BE63" s="57">
        <v>0</v>
      </c>
      <c r="BF63" s="57">
        <v>0</v>
      </c>
      <c r="BG63" s="57">
        <v>0</v>
      </c>
      <c r="BH63" s="57">
        <v>0</v>
      </c>
      <c r="BI63" s="57">
        <v>0</v>
      </c>
      <c r="BJ63" s="57">
        <v>0</v>
      </c>
      <c r="BK63" s="57">
        <v>0</v>
      </c>
      <c r="BL63" s="57">
        <v>0</v>
      </c>
      <c r="BM63" s="57">
        <v>0</v>
      </c>
      <c r="BN63" s="57">
        <v>0</v>
      </c>
      <c r="BO63" s="57">
        <v>0</v>
      </c>
      <c r="BP63" s="57">
        <v>0</v>
      </c>
      <c r="BQ63" s="57">
        <v>0</v>
      </c>
      <c r="BR63" s="57">
        <v>0</v>
      </c>
      <c r="BS63" s="57">
        <v>0</v>
      </c>
      <c r="BT63" s="57">
        <v>0</v>
      </c>
      <c r="BU63" s="57">
        <v>0</v>
      </c>
      <c r="BV63" s="57">
        <v>0</v>
      </c>
      <c r="BW63" s="57">
        <v>0</v>
      </c>
      <c r="BX63" s="57">
        <v>0</v>
      </c>
      <c r="BY63" s="57">
        <v>0</v>
      </c>
      <c r="BZ63" s="57">
        <v>0</v>
      </c>
      <c r="CA63" s="57">
        <v>0</v>
      </c>
      <c r="CB63" s="57">
        <v>0</v>
      </c>
      <c r="CC63" s="57">
        <v>0</v>
      </c>
      <c r="CD63" s="57">
        <v>0</v>
      </c>
      <c r="CE63" s="57">
        <v>0</v>
      </c>
      <c r="CF63" s="57">
        <v>0</v>
      </c>
      <c r="CG63" s="57">
        <v>0</v>
      </c>
      <c r="CH63" s="57">
        <v>0</v>
      </c>
      <c r="CI63" s="57">
        <v>0</v>
      </c>
      <c r="CJ63" s="57">
        <v>0</v>
      </c>
      <c r="CK63" s="57">
        <v>0</v>
      </c>
      <c r="CL63" s="57">
        <v>0</v>
      </c>
      <c r="CM63" s="57">
        <v>0</v>
      </c>
      <c r="CN63" s="57">
        <v>0</v>
      </c>
      <c r="CO63" s="57">
        <v>0</v>
      </c>
      <c r="CP63" s="57">
        <v>0</v>
      </c>
      <c r="CQ63" s="57">
        <v>0</v>
      </c>
      <c r="CR63" s="57">
        <v>0</v>
      </c>
      <c r="CS63" s="57">
        <v>0</v>
      </c>
      <c r="CT63" s="57">
        <v>0</v>
      </c>
      <c r="CU63" s="57">
        <v>0</v>
      </c>
      <c r="CV63" s="57">
        <v>1</v>
      </c>
      <c r="CW63" s="57">
        <v>0</v>
      </c>
      <c r="CX63" s="57">
        <v>0</v>
      </c>
      <c r="CY63" s="57">
        <v>0</v>
      </c>
      <c r="CZ63" s="57">
        <v>0</v>
      </c>
      <c r="DA63" s="57">
        <v>0</v>
      </c>
      <c r="DB63" s="57">
        <v>0</v>
      </c>
      <c r="DC63" s="57">
        <v>0</v>
      </c>
      <c r="DD63" s="57">
        <v>0</v>
      </c>
      <c r="DE63" s="57">
        <v>0</v>
      </c>
      <c r="DF63" s="57">
        <v>0</v>
      </c>
      <c r="DG63" s="137">
        <v>0</v>
      </c>
      <c r="DH63" s="137">
        <v>0</v>
      </c>
      <c r="DI63" s="137">
        <v>0</v>
      </c>
      <c r="DJ63" s="137">
        <v>0</v>
      </c>
      <c r="DK63" s="137">
        <v>0</v>
      </c>
      <c r="DL63" s="137">
        <v>0</v>
      </c>
      <c r="DM63" s="137">
        <v>0</v>
      </c>
      <c r="DN63" s="137">
        <v>0</v>
      </c>
      <c r="DO63" s="137">
        <v>0</v>
      </c>
      <c r="DP63" s="137">
        <v>0</v>
      </c>
      <c r="DQ63" s="137">
        <v>0</v>
      </c>
      <c r="DR63" s="137">
        <v>0</v>
      </c>
      <c r="DS63" s="137">
        <v>0</v>
      </c>
      <c r="DT63" s="137">
        <v>0</v>
      </c>
      <c r="DU63" s="137">
        <v>0</v>
      </c>
      <c r="DV63" s="137">
        <v>0</v>
      </c>
      <c r="DW63" s="137">
        <v>0</v>
      </c>
      <c r="DX63" s="137">
        <v>0</v>
      </c>
      <c r="DY63" s="137">
        <v>0</v>
      </c>
      <c r="DZ63" s="137">
        <v>0</v>
      </c>
      <c r="EA63" s="137">
        <v>0</v>
      </c>
    </row>
    <row r="64" spans="1:131" x14ac:dyDescent="0.35">
      <c r="A64" s="90" t="e">
        <f>VLOOKUP(E64,'Validation List'!F65:G460,2,FALSE)</f>
        <v>#N/A</v>
      </c>
      <c r="B64" s="90" t="str">
        <f>INDEX('NEW HIRE ROSTER'!$G:$G,MATCH(RAW!F64,'NEW HIRE ROSTER'!$A:$A,0))</f>
        <v>Nesting</v>
      </c>
      <c r="C64" s="90" t="str">
        <f>INDEX('NEW HIRE ROSTER'!$F:$F,MATCH(RAW!F64,'NEW HIRE ROSTER'!$A:$A,0))</f>
        <v>Class 11.1</v>
      </c>
      <c r="D64" s="90" t="str">
        <f>INDEX('Validation List'!$H:$H,MATCH(RAW!E64,'Validation List'!$F:$F,0))</f>
        <v>Jan Week 1</v>
      </c>
      <c r="E64" s="89">
        <v>45666</v>
      </c>
      <c r="F64" s="56" t="s">
        <v>2026</v>
      </c>
      <c r="G64" s="90" t="str">
        <f>VLOOKUP(RAW!F64,ML!C:D,2)</f>
        <v>Robin Antolihao Llamido</v>
      </c>
      <c r="H64" s="90" t="str">
        <f>VLOOKUP(F64,ML!C:E,3)</f>
        <v>QC</v>
      </c>
      <c r="I64" s="83" t="s">
        <v>2385</v>
      </c>
      <c r="J64" s="56" t="s">
        <v>209</v>
      </c>
      <c r="K64" s="56" t="s">
        <v>144</v>
      </c>
      <c r="L64" s="56" t="s">
        <v>2403</v>
      </c>
      <c r="M64" s="154">
        <v>0.95</v>
      </c>
      <c r="N64" s="57">
        <v>0</v>
      </c>
      <c r="O64" s="57">
        <v>0</v>
      </c>
      <c r="P64" s="57">
        <v>0</v>
      </c>
      <c r="Q64" s="57">
        <v>0</v>
      </c>
      <c r="R64" s="57">
        <v>0</v>
      </c>
      <c r="S64" s="57">
        <v>0</v>
      </c>
      <c r="T64" s="57">
        <v>0</v>
      </c>
      <c r="U64" s="57">
        <v>0</v>
      </c>
      <c r="V64" s="57">
        <v>0</v>
      </c>
      <c r="W64" s="57">
        <v>0</v>
      </c>
      <c r="X64" s="57">
        <v>0</v>
      </c>
      <c r="Y64" s="57">
        <v>0</v>
      </c>
      <c r="Z64" s="57">
        <v>0</v>
      </c>
      <c r="AA64" s="57">
        <v>0</v>
      </c>
      <c r="AB64" s="57">
        <v>0</v>
      </c>
      <c r="AC64" s="57">
        <v>0</v>
      </c>
      <c r="AD64" s="57">
        <v>0</v>
      </c>
      <c r="AE64" s="57">
        <v>0</v>
      </c>
      <c r="AF64" s="57">
        <v>0</v>
      </c>
      <c r="AG64" s="57">
        <v>0</v>
      </c>
      <c r="AH64" s="57">
        <v>0</v>
      </c>
      <c r="AI64" s="57">
        <v>0</v>
      </c>
      <c r="AJ64" s="57">
        <v>0</v>
      </c>
      <c r="AK64" s="57">
        <v>0</v>
      </c>
      <c r="AL64" s="57">
        <v>0</v>
      </c>
      <c r="AM64" s="57">
        <v>0</v>
      </c>
      <c r="AN64" s="57">
        <v>0</v>
      </c>
      <c r="AO64" s="57">
        <v>0</v>
      </c>
      <c r="AP64" s="57">
        <v>0</v>
      </c>
      <c r="AQ64" s="57">
        <v>0</v>
      </c>
      <c r="AR64" s="57">
        <v>0</v>
      </c>
      <c r="AS64" s="57">
        <v>0</v>
      </c>
      <c r="AT64" s="57">
        <v>0</v>
      </c>
      <c r="AU64" s="57">
        <v>0</v>
      </c>
      <c r="AV64" s="57">
        <v>0</v>
      </c>
      <c r="AW64" s="57">
        <v>0</v>
      </c>
      <c r="AX64" s="57">
        <v>0</v>
      </c>
      <c r="AY64" s="57">
        <v>0</v>
      </c>
      <c r="AZ64" s="57">
        <v>0</v>
      </c>
      <c r="BA64" s="57">
        <v>0</v>
      </c>
      <c r="BB64" s="57">
        <v>0</v>
      </c>
      <c r="BC64" s="57">
        <v>0</v>
      </c>
      <c r="BD64" s="57">
        <v>0</v>
      </c>
      <c r="BE64" s="57">
        <v>0</v>
      </c>
      <c r="BF64" s="57">
        <v>0</v>
      </c>
      <c r="BG64" s="57">
        <v>0</v>
      </c>
      <c r="BH64" s="57">
        <v>0</v>
      </c>
      <c r="BI64" s="57">
        <v>0</v>
      </c>
      <c r="BJ64" s="57">
        <v>0</v>
      </c>
      <c r="BK64" s="57">
        <v>0</v>
      </c>
      <c r="BL64" s="57">
        <v>0</v>
      </c>
      <c r="BM64" s="57">
        <v>0</v>
      </c>
      <c r="BN64" s="57">
        <v>0</v>
      </c>
      <c r="BO64" s="57">
        <v>0</v>
      </c>
      <c r="BP64" s="57">
        <v>0</v>
      </c>
      <c r="BQ64" s="57">
        <v>0</v>
      </c>
      <c r="BR64" s="57">
        <v>0</v>
      </c>
      <c r="BS64" s="57">
        <v>0</v>
      </c>
      <c r="BT64" s="57">
        <v>0</v>
      </c>
      <c r="BU64" s="57">
        <v>0</v>
      </c>
      <c r="BV64" s="57">
        <v>0</v>
      </c>
      <c r="BW64" s="57">
        <v>0</v>
      </c>
      <c r="BX64" s="57">
        <v>0</v>
      </c>
      <c r="BY64" s="57">
        <v>0</v>
      </c>
      <c r="BZ64" s="57">
        <v>0</v>
      </c>
      <c r="CA64" s="57">
        <v>0</v>
      </c>
      <c r="CB64" s="57">
        <v>0</v>
      </c>
      <c r="CC64" s="57">
        <v>0</v>
      </c>
      <c r="CD64" s="57">
        <v>0</v>
      </c>
      <c r="CE64" s="57">
        <v>0</v>
      </c>
      <c r="CF64" s="57">
        <v>0</v>
      </c>
      <c r="CG64" s="57">
        <v>0</v>
      </c>
      <c r="CH64" s="57">
        <v>0</v>
      </c>
      <c r="CI64" s="57">
        <v>0</v>
      </c>
      <c r="CJ64" s="57">
        <v>0</v>
      </c>
      <c r="CK64" s="57">
        <v>0</v>
      </c>
      <c r="CL64" s="57">
        <v>0</v>
      </c>
      <c r="CM64" s="57">
        <v>0</v>
      </c>
      <c r="CN64" s="57">
        <v>0</v>
      </c>
      <c r="CO64" s="57">
        <v>0</v>
      </c>
      <c r="CP64" s="57">
        <v>0</v>
      </c>
      <c r="CQ64" s="57">
        <v>0</v>
      </c>
      <c r="CR64" s="57">
        <v>0</v>
      </c>
      <c r="CS64" s="57">
        <v>0</v>
      </c>
      <c r="CT64" s="57">
        <v>0</v>
      </c>
      <c r="CU64" s="57">
        <v>0</v>
      </c>
      <c r="CV64" s="57">
        <v>0</v>
      </c>
      <c r="CW64" s="57">
        <v>0</v>
      </c>
      <c r="CX64" s="57">
        <v>0</v>
      </c>
      <c r="CY64" s="57">
        <v>1</v>
      </c>
      <c r="CZ64" s="57">
        <v>0</v>
      </c>
      <c r="DA64" s="57">
        <v>0</v>
      </c>
      <c r="DB64" s="57">
        <v>0</v>
      </c>
      <c r="DC64" s="57">
        <v>0</v>
      </c>
      <c r="DD64" s="57">
        <v>0</v>
      </c>
      <c r="DE64" s="57">
        <v>0</v>
      </c>
      <c r="DF64" s="57">
        <v>0</v>
      </c>
      <c r="DG64" s="137">
        <v>0</v>
      </c>
      <c r="DH64" s="137">
        <v>0</v>
      </c>
      <c r="DI64" s="137">
        <v>0</v>
      </c>
      <c r="DJ64" s="137">
        <v>0</v>
      </c>
      <c r="DK64" s="137">
        <v>0</v>
      </c>
      <c r="DL64" s="137">
        <v>0</v>
      </c>
      <c r="DM64" s="137">
        <v>0</v>
      </c>
      <c r="DN64" s="137">
        <v>0</v>
      </c>
      <c r="DO64" s="137">
        <v>0</v>
      </c>
      <c r="DP64" s="137">
        <v>0</v>
      </c>
      <c r="DQ64" s="137">
        <v>0</v>
      </c>
      <c r="DR64" s="137">
        <v>0</v>
      </c>
      <c r="DS64" s="137">
        <v>0</v>
      </c>
      <c r="DT64" s="137">
        <v>0</v>
      </c>
      <c r="DU64" s="137">
        <v>0</v>
      </c>
      <c r="DV64" s="137">
        <v>0</v>
      </c>
      <c r="DW64" s="137">
        <v>0</v>
      </c>
      <c r="DX64" s="137">
        <v>0</v>
      </c>
      <c r="DY64" s="137">
        <v>0</v>
      </c>
      <c r="DZ64" s="137">
        <v>0</v>
      </c>
      <c r="EA64" s="137">
        <v>0</v>
      </c>
    </row>
    <row r="65" spans="1:131" x14ac:dyDescent="0.35">
      <c r="A65" s="90" t="e">
        <f>VLOOKUP(E65,'Validation List'!F66:G461,2,FALSE)</f>
        <v>#N/A</v>
      </c>
      <c r="B65" s="90" t="str">
        <f>INDEX('NEW HIRE ROSTER'!$G:$G,MATCH(RAW!F65,'NEW HIRE ROSTER'!$A:$A,0))</f>
        <v>Nesting</v>
      </c>
      <c r="C65" s="90" t="str">
        <f>INDEX('NEW HIRE ROSTER'!$F:$F,MATCH(RAW!F65,'NEW HIRE ROSTER'!$A:$A,0))</f>
        <v>Class 11.1</v>
      </c>
      <c r="D65" s="90" t="str">
        <f>INDEX('Validation List'!$H:$H,MATCH(RAW!E65,'Validation List'!$F:$F,0))</f>
        <v>Jan Week 1</v>
      </c>
      <c r="E65" s="89">
        <v>45666</v>
      </c>
      <c r="F65" s="56" t="s">
        <v>1957</v>
      </c>
      <c r="G65" s="90" t="str">
        <f>VLOOKUP(RAW!F65,ML!C:D,2)</f>
        <v>Robin Antolihao Llamido</v>
      </c>
      <c r="H65" s="90" t="str">
        <f>VLOOKUP(F65,ML!C49:E647,3,FALSE)</f>
        <v>QC</v>
      </c>
      <c r="I65" s="83" t="s">
        <v>2385</v>
      </c>
      <c r="J65" s="56" t="s">
        <v>209</v>
      </c>
      <c r="K65" s="56" t="s">
        <v>163</v>
      </c>
      <c r="L65" s="56" t="s">
        <v>2403</v>
      </c>
      <c r="M65" s="154">
        <v>0.88</v>
      </c>
      <c r="N65" s="57">
        <v>0</v>
      </c>
      <c r="O65" s="57">
        <v>0</v>
      </c>
      <c r="P65" s="57">
        <v>0</v>
      </c>
      <c r="Q65" s="57">
        <v>0</v>
      </c>
      <c r="R65" s="57">
        <v>0</v>
      </c>
      <c r="S65" s="57">
        <v>0</v>
      </c>
      <c r="T65" s="57">
        <v>0</v>
      </c>
      <c r="U65" s="57">
        <v>0</v>
      </c>
      <c r="V65" s="57">
        <v>0</v>
      </c>
      <c r="W65" s="57">
        <v>0</v>
      </c>
      <c r="X65" s="57">
        <v>0</v>
      </c>
      <c r="Y65" s="57">
        <v>0</v>
      </c>
      <c r="Z65" s="57">
        <v>0</v>
      </c>
      <c r="AA65" s="57">
        <v>0</v>
      </c>
      <c r="AB65" s="57">
        <v>0</v>
      </c>
      <c r="AC65" s="57">
        <v>0</v>
      </c>
      <c r="AD65" s="57">
        <v>0</v>
      </c>
      <c r="AE65" s="57">
        <v>0</v>
      </c>
      <c r="AF65" s="57">
        <v>0</v>
      </c>
      <c r="AG65" s="57">
        <v>0</v>
      </c>
      <c r="AH65" s="57">
        <v>0</v>
      </c>
      <c r="AI65" s="57">
        <v>0</v>
      </c>
      <c r="AJ65" s="57">
        <v>0</v>
      </c>
      <c r="AK65" s="57">
        <v>0</v>
      </c>
      <c r="AL65" s="57">
        <v>0</v>
      </c>
      <c r="AM65" s="57">
        <v>0</v>
      </c>
      <c r="AN65" s="57">
        <v>0</v>
      </c>
      <c r="AO65" s="57">
        <v>0</v>
      </c>
      <c r="AP65" s="57">
        <v>0</v>
      </c>
      <c r="AQ65" s="57">
        <v>0</v>
      </c>
      <c r="AR65" s="57">
        <v>0</v>
      </c>
      <c r="AS65" s="57">
        <v>0</v>
      </c>
      <c r="AT65" s="57">
        <v>0</v>
      </c>
      <c r="AU65" s="57">
        <v>0</v>
      </c>
      <c r="AV65" s="57">
        <v>0</v>
      </c>
      <c r="AW65" s="57">
        <v>0</v>
      </c>
      <c r="AX65" s="57">
        <v>0</v>
      </c>
      <c r="AY65" s="57">
        <v>1</v>
      </c>
      <c r="AZ65" s="57">
        <v>0</v>
      </c>
      <c r="BA65" s="57">
        <v>0</v>
      </c>
      <c r="BB65" s="57">
        <v>0</v>
      </c>
      <c r="BC65" s="57">
        <v>0</v>
      </c>
      <c r="BD65" s="57">
        <v>0</v>
      </c>
      <c r="BE65" s="57">
        <v>0</v>
      </c>
      <c r="BF65" s="57">
        <v>0</v>
      </c>
      <c r="BG65" s="57">
        <v>0</v>
      </c>
      <c r="BH65" s="57">
        <v>0</v>
      </c>
      <c r="BI65" s="57">
        <v>0</v>
      </c>
      <c r="BJ65" s="57">
        <v>0</v>
      </c>
      <c r="BK65" s="57">
        <v>1</v>
      </c>
      <c r="BL65" s="57">
        <v>0</v>
      </c>
      <c r="BM65" s="57">
        <v>0</v>
      </c>
      <c r="BN65" s="57">
        <v>0</v>
      </c>
      <c r="BO65" s="57">
        <v>0</v>
      </c>
      <c r="BP65" s="57">
        <v>0</v>
      </c>
      <c r="BQ65" s="57">
        <v>0</v>
      </c>
      <c r="BR65" s="57">
        <v>0</v>
      </c>
      <c r="BS65" s="57">
        <v>0</v>
      </c>
      <c r="BT65" s="57">
        <v>0</v>
      </c>
      <c r="BU65" s="57">
        <v>0</v>
      </c>
      <c r="BV65" s="57">
        <v>0</v>
      </c>
      <c r="BW65" s="57">
        <v>0</v>
      </c>
      <c r="BX65" s="57">
        <v>0</v>
      </c>
      <c r="BY65" s="57">
        <v>0</v>
      </c>
      <c r="BZ65" s="57">
        <v>0</v>
      </c>
      <c r="CA65" s="57">
        <v>0</v>
      </c>
      <c r="CB65" s="57">
        <v>0</v>
      </c>
      <c r="CC65" s="57">
        <v>0</v>
      </c>
      <c r="CD65" s="57">
        <v>0</v>
      </c>
      <c r="CE65" s="57">
        <v>0</v>
      </c>
      <c r="CF65" s="57">
        <v>0</v>
      </c>
      <c r="CG65" s="57">
        <v>0</v>
      </c>
      <c r="CH65" s="57">
        <v>0</v>
      </c>
      <c r="CI65" s="57">
        <v>0</v>
      </c>
      <c r="CJ65" s="57">
        <v>0</v>
      </c>
      <c r="CK65" s="57">
        <v>0</v>
      </c>
      <c r="CL65" s="57">
        <v>0</v>
      </c>
      <c r="CM65" s="57">
        <v>0</v>
      </c>
      <c r="CN65" s="57">
        <v>0</v>
      </c>
      <c r="CO65" s="57">
        <v>0</v>
      </c>
      <c r="CP65" s="57">
        <v>0</v>
      </c>
      <c r="CQ65" s="57">
        <v>0</v>
      </c>
      <c r="CR65" s="57">
        <v>0</v>
      </c>
      <c r="CS65" s="57">
        <v>0</v>
      </c>
      <c r="CT65" s="57">
        <v>0</v>
      </c>
      <c r="CU65" s="57">
        <v>0</v>
      </c>
      <c r="CV65" s="57">
        <v>0</v>
      </c>
      <c r="CW65" s="57">
        <v>0</v>
      </c>
      <c r="CX65" s="57">
        <v>0</v>
      </c>
      <c r="CY65" s="57">
        <v>0</v>
      </c>
      <c r="CZ65" s="57">
        <v>0</v>
      </c>
      <c r="DA65" s="57">
        <v>0</v>
      </c>
      <c r="DB65" s="57">
        <v>0</v>
      </c>
      <c r="DC65" s="57">
        <v>0</v>
      </c>
      <c r="DD65" s="57">
        <v>0</v>
      </c>
      <c r="DE65" s="57">
        <v>0</v>
      </c>
      <c r="DF65" s="57">
        <v>0</v>
      </c>
      <c r="DG65" s="137">
        <v>0</v>
      </c>
      <c r="DH65" s="137">
        <v>0</v>
      </c>
      <c r="DI65" s="137">
        <v>0</v>
      </c>
      <c r="DJ65" s="137">
        <v>0</v>
      </c>
      <c r="DK65" s="137">
        <v>0</v>
      </c>
      <c r="DL65" s="137">
        <v>0</v>
      </c>
      <c r="DM65" s="137">
        <v>0</v>
      </c>
      <c r="DN65" s="137">
        <v>0</v>
      </c>
      <c r="DO65" s="137">
        <v>0</v>
      </c>
      <c r="DP65" s="137">
        <v>0</v>
      </c>
      <c r="DQ65" s="137">
        <v>0</v>
      </c>
      <c r="DR65" s="137">
        <v>0</v>
      </c>
      <c r="DS65" s="137">
        <v>0</v>
      </c>
      <c r="DT65" s="137">
        <v>0</v>
      </c>
      <c r="DU65" s="137">
        <v>0</v>
      </c>
      <c r="DV65" s="137">
        <v>0</v>
      </c>
      <c r="DW65" s="137">
        <v>0</v>
      </c>
      <c r="DX65" s="137">
        <v>0</v>
      </c>
      <c r="DY65" s="137">
        <v>0</v>
      </c>
      <c r="DZ65" s="137">
        <v>0</v>
      </c>
      <c r="EA65" s="137">
        <v>0</v>
      </c>
    </row>
    <row r="66" spans="1:131" x14ac:dyDescent="0.35">
      <c r="A66" s="90" t="e">
        <f>VLOOKUP(E66,'Validation List'!F67:G462,2,FALSE)</f>
        <v>#N/A</v>
      </c>
      <c r="B66" s="90" t="str">
        <f>INDEX('NEW HIRE ROSTER'!$G:$G,MATCH(RAW!F66,'NEW HIRE ROSTER'!$A:$A,0))</f>
        <v>Nesting</v>
      </c>
      <c r="C66" s="90" t="str">
        <f>INDEX('NEW HIRE ROSTER'!$F:$F,MATCH(RAW!F66,'NEW HIRE ROSTER'!$A:$A,0))</f>
        <v>Class 11.1</v>
      </c>
      <c r="D66" s="90" t="str">
        <f>INDEX('Validation List'!$H:$H,MATCH(RAW!E66,'Validation List'!$F:$F,0))</f>
        <v>Jan Week 1</v>
      </c>
      <c r="E66" s="89">
        <v>45666</v>
      </c>
      <c r="F66" s="56" t="s">
        <v>1475</v>
      </c>
      <c r="G66" s="90" t="str">
        <f>VLOOKUP(RAW!F66,ML!C:D,2)</f>
        <v>Robin Antolihao Llamido</v>
      </c>
      <c r="H66" s="90" t="str">
        <f>VLOOKUP(F66,ML!C:E,3)</f>
        <v>QC</v>
      </c>
      <c r="I66" s="83" t="s">
        <v>2385</v>
      </c>
      <c r="J66" s="56" t="s">
        <v>209</v>
      </c>
      <c r="K66" s="56" t="s">
        <v>163</v>
      </c>
      <c r="L66" s="56" t="s">
        <v>2404</v>
      </c>
      <c r="M66" s="154">
        <v>0.94</v>
      </c>
      <c r="N66" s="57">
        <v>0</v>
      </c>
      <c r="O66" s="57">
        <v>0</v>
      </c>
      <c r="P66" s="57">
        <v>0</v>
      </c>
      <c r="Q66" s="57">
        <v>0</v>
      </c>
      <c r="R66" s="57">
        <v>0</v>
      </c>
      <c r="S66" s="57">
        <v>0</v>
      </c>
      <c r="T66" s="57">
        <v>0</v>
      </c>
      <c r="U66" s="57">
        <v>0</v>
      </c>
      <c r="V66" s="57">
        <v>0</v>
      </c>
      <c r="W66" s="57">
        <v>0</v>
      </c>
      <c r="X66" s="57">
        <v>0</v>
      </c>
      <c r="Y66" s="57">
        <v>0</v>
      </c>
      <c r="Z66" s="57">
        <v>0</v>
      </c>
      <c r="AA66" s="57">
        <v>0</v>
      </c>
      <c r="AB66" s="57">
        <v>0</v>
      </c>
      <c r="AC66" s="57">
        <v>0</v>
      </c>
      <c r="AD66" s="57">
        <v>0</v>
      </c>
      <c r="AE66" s="57">
        <v>0</v>
      </c>
      <c r="AF66" s="57">
        <v>0</v>
      </c>
      <c r="AG66" s="57">
        <v>0</v>
      </c>
      <c r="AH66" s="57">
        <v>0</v>
      </c>
      <c r="AI66" s="57">
        <v>0</v>
      </c>
      <c r="AJ66" s="57">
        <v>0</v>
      </c>
      <c r="AK66" s="57">
        <v>0</v>
      </c>
      <c r="AL66" s="57">
        <v>0</v>
      </c>
      <c r="AM66" s="57">
        <v>0</v>
      </c>
      <c r="AN66" s="57">
        <v>0</v>
      </c>
      <c r="AO66" s="57">
        <v>0</v>
      </c>
      <c r="AP66" s="57">
        <v>0</v>
      </c>
      <c r="AQ66" s="57">
        <v>0</v>
      </c>
      <c r="AR66" s="57">
        <v>0</v>
      </c>
      <c r="AS66" s="57">
        <v>0</v>
      </c>
      <c r="AT66" s="57">
        <v>0</v>
      </c>
      <c r="AU66" s="57">
        <v>0</v>
      </c>
      <c r="AV66" s="57">
        <v>0</v>
      </c>
      <c r="AW66" s="57">
        <v>0</v>
      </c>
      <c r="AX66" s="57">
        <v>0</v>
      </c>
      <c r="AY66" s="57">
        <v>0</v>
      </c>
      <c r="AZ66" s="57">
        <v>0</v>
      </c>
      <c r="BA66" s="57">
        <v>0</v>
      </c>
      <c r="BB66" s="57">
        <v>0</v>
      </c>
      <c r="BC66" s="57">
        <v>0</v>
      </c>
      <c r="BD66" s="57">
        <v>0</v>
      </c>
      <c r="BE66" s="57">
        <v>0</v>
      </c>
      <c r="BF66" s="57">
        <v>0</v>
      </c>
      <c r="BG66" s="57">
        <v>0</v>
      </c>
      <c r="BH66" s="57">
        <v>0</v>
      </c>
      <c r="BI66" s="57">
        <v>0</v>
      </c>
      <c r="BJ66" s="57">
        <v>0</v>
      </c>
      <c r="BK66" s="57">
        <v>0</v>
      </c>
      <c r="BL66" s="57">
        <v>0</v>
      </c>
      <c r="BM66" s="57">
        <v>0</v>
      </c>
      <c r="BN66" s="57">
        <v>0</v>
      </c>
      <c r="BO66" s="57">
        <v>0</v>
      </c>
      <c r="BP66" s="57">
        <v>0</v>
      </c>
      <c r="BQ66" s="57">
        <v>0</v>
      </c>
      <c r="BR66" s="57">
        <v>0</v>
      </c>
      <c r="BS66" s="57">
        <v>0</v>
      </c>
      <c r="BT66" s="57">
        <v>0</v>
      </c>
      <c r="BU66" s="57">
        <v>0</v>
      </c>
      <c r="BV66" s="57">
        <v>0</v>
      </c>
      <c r="BW66" s="57">
        <v>0</v>
      </c>
      <c r="BX66" s="57">
        <v>0</v>
      </c>
      <c r="BY66" s="57">
        <v>0</v>
      </c>
      <c r="BZ66" s="57">
        <v>0</v>
      </c>
      <c r="CA66" s="57">
        <v>0</v>
      </c>
      <c r="CB66" s="57">
        <v>0</v>
      </c>
      <c r="CC66" s="57">
        <v>1</v>
      </c>
      <c r="CD66" s="57">
        <v>0</v>
      </c>
      <c r="CE66" s="57">
        <v>0</v>
      </c>
      <c r="CF66" s="57">
        <v>0</v>
      </c>
      <c r="CG66" s="57">
        <v>0</v>
      </c>
      <c r="CH66" s="57">
        <v>0</v>
      </c>
      <c r="CI66" s="57">
        <v>0</v>
      </c>
      <c r="CJ66" s="57">
        <v>0</v>
      </c>
      <c r="CK66" s="57">
        <v>0</v>
      </c>
      <c r="CL66" s="57">
        <v>0</v>
      </c>
      <c r="CM66" s="57">
        <v>0</v>
      </c>
      <c r="CN66" s="57">
        <v>0</v>
      </c>
      <c r="CO66" s="57">
        <v>0</v>
      </c>
      <c r="CP66" s="57">
        <v>0</v>
      </c>
      <c r="CQ66" s="57">
        <v>0</v>
      </c>
      <c r="CR66" s="57">
        <v>0</v>
      </c>
      <c r="CS66" s="57">
        <v>0</v>
      </c>
      <c r="CT66" s="57">
        <v>0</v>
      </c>
      <c r="CU66" s="57">
        <v>0</v>
      </c>
      <c r="CV66" s="57">
        <v>0</v>
      </c>
      <c r="CW66" s="57">
        <v>0</v>
      </c>
      <c r="CX66" s="57">
        <v>0</v>
      </c>
      <c r="CY66" s="57">
        <v>0</v>
      </c>
      <c r="CZ66" s="57">
        <v>0</v>
      </c>
      <c r="DA66" s="57">
        <v>0</v>
      </c>
      <c r="DB66" s="57">
        <v>0</v>
      </c>
      <c r="DC66" s="57">
        <v>0</v>
      </c>
      <c r="DD66" s="57">
        <v>0</v>
      </c>
      <c r="DE66" s="57">
        <v>0</v>
      </c>
      <c r="DF66" s="57">
        <v>0</v>
      </c>
      <c r="DG66" s="137">
        <v>0</v>
      </c>
      <c r="DH66" s="137">
        <v>0</v>
      </c>
      <c r="DI66" s="137">
        <v>0</v>
      </c>
      <c r="DJ66" s="137">
        <v>0</v>
      </c>
      <c r="DK66" s="137">
        <v>0</v>
      </c>
      <c r="DL66" s="137">
        <v>0</v>
      </c>
      <c r="DM66" s="137">
        <v>0</v>
      </c>
      <c r="DN66" s="137">
        <v>0</v>
      </c>
      <c r="DO66" s="137">
        <v>0</v>
      </c>
      <c r="DP66" s="137">
        <v>0</v>
      </c>
      <c r="DQ66" s="137">
        <v>0</v>
      </c>
      <c r="DR66" s="137">
        <v>0</v>
      </c>
      <c r="DS66" s="137">
        <v>0</v>
      </c>
      <c r="DT66" s="137">
        <v>0</v>
      </c>
      <c r="DU66" s="137">
        <v>0</v>
      </c>
      <c r="DV66" s="137">
        <v>0</v>
      </c>
      <c r="DW66" s="137">
        <v>0</v>
      </c>
      <c r="DX66" s="137">
        <v>0</v>
      </c>
      <c r="DY66" s="137">
        <v>0</v>
      </c>
      <c r="DZ66" s="137">
        <v>0</v>
      </c>
      <c r="EA66" s="137">
        <v>0</v>
      </c>
    </row>
    <row r="67" spans="1:131" x14ac:dyDescent="0.35">
      <c r="A67" s="90" t="e">
        <f>VLOOKUP(E67,'Validation List'!F68:G463,2,FALSE)</f>
        <v>#N/A</v>
      </c>
      <c r="B67" s="90" t="str">
        <f>INDEX('NEW HIRE ROSTER'!$G:$G,MATCH(RAW!F67,'NEW HIRE ROSTER'!$A:$A,0))</f>
        <v>Nesting</v>
      </c>
      <c r="C67" s="90" t="str">
        <f>INDEX('NEW HIRE ROSTER'!$F:$F,MATCH(RAW!F67,'NEW HIRE ROSTER'!$A:$A,0))</f>
        <v>Class 11.2</v>
      </c>
      <c r="D67" s="90" t="str">
        <f>INDEX('Validation List'!$H:$H,MATCH(RAW!E67,'Validation List'!$F:$F,0))</f>
        <v>Jan Week 1</v>
      </c>
      <c r="E67" s="89">
        <v>45666</v>
      </c>
      <c r="F67" s="56" t="s">
        <v>2029</v>
      </c>
      <c r="G67" s="90" t="str">
        <f>VLOOKUP(F67,ML!C51:D649,2,FALSE)</f>
        <v>Khyno Elimanco Cortez</v>
      </c>
      <c r="H67" s="90" t="str">
        <f>VLOOKUP(F67,ML!C51:E649,3,FALSE)</f>
        <v>QC</v>
      </c>
      <c r="I67" s="83" t="s">
        <v>2386</v>
      </c>
      <c r="J67" s="56" t="s">
        <v>209</v>
      </c>
      <c r="K67" s="56" t="s">
        <v>163</v>
      </c>
      <c r="L67" s="56" t="s">
        <v>2405</v>
      </c>
      <c r="M67" s="154">
        <v>0.74</v>
      </c>
      <c r="N67" s="57">
        <v>0</v>
      </c>
      <c r="O67" s="57">
        <v>0</v>
      </c>
      <c r="P67" s="57">
        <v>0</v>
      </c>
      <c r="Q67" s="57">
        <v>0</v>
      </c>
      <c r="R67" s="57">
        <v>0</v>
      </c>
      <c r="S67" s="57">
        <v>0</v>
      </c>
      <c r="T67" s="57">
        <v>0</v>
      </c>
      <c r="U67" s="57">
        <v>0</v>
      </c>
      <c r="V67" s="57">
        <v>0</v>
      </c>
      <c r="W67" s="57">
        <v>0</v>
      </c>
      <c r="X67" s="57">
        <v>1</v>
      </c>
      <c r="Y67" s="57">
        <v>0</v>
      </c>
      <c r="Z67" s="57">
        <v>0</v>
      </c>
      <c r="AA67" s="57">
        <v>0</v>
      </c>
      <c r="AB67" s="57">
        <v>0</v>
      </c>
      <c r="AC67" s="57">
        <v>0</v>
      </c>
      <c r="AD67" s="57">
        <v>0</v>
      </c>
      <c r="AE67" s="57">
        <v>1</v>
      </c>
      <c r="AF67" s="57">
        <v>0</v>
      </c>
      <c r="AG67" s="57">
        <v>0</v>
      </c>
      <c r="AH67" s="57">
        <v>0</v>
      </c>
      <c r="AI67" s="57">
        <v>0</v>
      </c>
      <c r="AJ67" s="57">
        <v>0</v>
      </c>
      <c r="AK67" s="57">
        <v>0</v>
      </c>
      <c r="AL67" s="57">
        <v>1</v>
      </c>
      <c r="AM67" s="57">
        <v>0</v>
      </c>
      <c r="AN67" s="57">
        <v>0</v>
      </c>
      <c r="AO67" s="57">
        <v>0</v>
      </c>
      <c r="AP67" s="57">
        <v>0</v>
      </c>
      <c r="AQ67" s="57">
        <v>1</v>
      </c>
      <c r="AR67" s="57">
        <v>0</v>
      </c>
      <c r="AS67" s="57">
        <v>0</v>
      </c>
      <c r="AT67" s="57">
        <v>0</v>
      </c>
      <c r="AU67" s="57">
        <v>0</v>
      </c>
      <c r="AV67" s="57">
        <v>0</v>
      </c>
      <c r="AW67" s="57">
        <v>0</v>
      </c>
      <c r="AX67" s="57">
        <v>0</v>
      </c>
      <c r="AY67" s="57">
        <v>0</v>
      </c>
      <c r="AZ67" s="57">
        <v>0</v>
      </c>
      <c r="BA67" s="57">
        <v>0</v>
      </c>
      <c r="BB67" s="57">
        <v>0</v>
      </c>
      <c r="BC67" s="57">
        <v>0</v>
      </c>
      <c r="BD67" s="57">
        <v>0</v>
      </c>
      <c r="BE67" s="57">
        <v>0</v>
      </c>
      <c r="BF67" s="57">
        <v>0</v>
      </c>
      <c r="BG67" s="57">
        <v>0</v>
      </c>
      <c r="BH67" s="57">
        <v>0</v>
      </c>
      <c r="BI67" s="57">
        <v>0</v>
      </c>
      <c r="BJ67" s="57">
        <v>0</v>
      </c>
      <c r="BK67" s="57">
        <v>0</v>
      </c>
      <c r="BL67" s="57">
        <v>0</v>
      </c>
      <c r="BM67" s="57">
        <v>0</v>
      </c>
      <c r="BN67" s="57">
        <v>0</v>
      </c>
      <c r="BO67" s="57">
        <v>0</v>
      </c>
      <c r="BP67" s="57">
        <v>0</v>
      </c>
      <c r="BQ67" s="57">
        <v>0</v>
      </c>
      <c r="BR67" s="57">
        <v>0</v>
      </c>
      <c r="BS67" s="57">
        <v>0</v>
      </c>
      <c r="BT67" s="57">
        <v>0</v>
      </c>
      <c r="BU67" s="57">
        <v>0</v>
      </c>
      <c r="BV67" s="57">
        <v>0</v>
      </c>
      <c r="BW67" s="57">
        <v>0</v>
      </c>
      <c r="BX67" s="57">
        <v>0</v>
      </c>
      <c r="BY67" s="57">
        <v>0</v>
      </c>
      <c r="BZ67" s="57">
        <v>0</v>
      </c>
      <c r="CA67" s="57">
        <v>0</v>
      </c>
      <c r="CB67" s="57">
        <v>0</v>
      </c>
      <c r="CC67" s="57">
        <v>0</v>
      </c>
      <c r="CD67" s="57">
        <v>0</v>
      </c>
      <c r="CE67" s="57">
        <v>0</v>
      </c>
      <c r="CF67" s="57">
        <v>0</v>
      </c>
      <c r="CG67" s="57">
        <v>0</v>
      </c>
      <c r="CH67" s="57">
        <v>1</v>
      </c>
      <c r="CI67" s="57">
        <v>0</v>
      </c>
      <c r="CJ67" s="57">
        <v>0</v>
      </c>
      <c r="CK67" s="57">
        <v>0</v>
      </c>
      <c r="CL67" s="57">
        <v>0</v>
      </c>
      <c r="CM67" s="57">
        <v>0</v>
      </c>
      <c r="CN67" s="57">
        <v>0</v>
      </c>
      <c r="CO67" s="57">
        <v>0</v>
      </c>
      <c r="CP67" s="57">
        <v>0</v>
      </c>
      <c r="CQ67" s="57">
        <v>0</v>
      </c>
      <c r="CR67" s="57">
        <v>0</v>
      </c>
      <c r="CS67" s="57">
        <v>0</v>
      </c>
      <c r="CT67" s="57">
        <v>0</v>
      </c>
      <c r="CU67" s="57">
        <v>0</v>
      </c>
      <c r="CV67" s="57">
        <v>0</v>
      </c>
      <c r="CW67" s="57">
        <v>0</v>
      </c>
      <c r="CX67" s="57">
        <v>0</v>
      </c>
      <c r="CY67" s="57">
        <v>0</v>
      </c>
      <c r="CZ67" s="57">
        <v>0</v>
      </c>
      <c r="DA67" s="57">
        <v>0</v>
      </c>
      <c r="DB67" s="57">
        <v>1</v>
      </c>
      <c r="DC67" s="57">
        <v>0</v>
      </c>
      <c r="DD67" s="57">
        <v>0</v>
      </c>
      <c r="DE67" s="57">
        <v>0</v>
      </c>
      <c r="DF67" s="57">
        <v>0</v>
      </c>
      <c r="DG67" s="137">
        <v>0</v>
      </c>
      <c r="DH67" s="137">
        <v>0</v>
      </c>
      <c r="DI67" s="137">
        <v>0</v>
      </c>
      <c r="DJ67" s="137">
        <v>0</v>
      </c>
      <c r="DK67" s="137">
        <v>0</v>
      </c>
      <c r="DL67" s="137">
        <v>0</v>
      </c>
      <c r="DM67" s="137">
        <v>0</v>
      </c>
      <c r="DN67" s="137">
        <v>0</v>
      </c>
      <c r="DO67" s="137">
        <v>0</v>
      </c>
      <c r="DP67" s="137">
        <v>0</v>
      </c>
      <c r="DQ67" s="137">
        <v>0</v>
      </c>
      <c r="DR67" s="137">
        <v>0</v>
      </c>
      <c r="DS67" s="137">
        <v>0</v>
      </c>
      <c r="DT67" s="137">
        <v>0</v>
      </c>
      <c r="DU67" s="137">
        <v>0</v>
      </c>
      <c r="DV67" s="137">
        <v>0</v>
      </c>
      <c r="DW67" s="137">
        <v>0</v>
      </c>
      <c r="DX67" s="137">
        <v>0</v>
      </c>
      <c r="DY67" s="137">
        <v>0</v>
      </c>
      <c r="DZ67" s="137">
        <v>0</v>
      </c>
      <c r="EA67" s="137">
        <v>0</v>
      </c>
    </row>
    <row r="68" spans="1:131" x14ac:dyDescent="0.35">
      <c r="A68" s="90" t="e">
        <f>VLOOKUP(E68,'Validation List'!F69:G464,2,FALSE)</f>
        <v>#N/A</v>
      </c>
      <c r="B68" s="90" t="str">
        <f>INDEX('NEW HIRE ROSTER'!$G:$G,MATCH(RAW!F68,'NEW HIRE ROSTER'!$A:$A,0))</f>
        <v>Nesting</v>
      </c>
      <c r="C68" s="90" t="str">
        <f>INDEX('NEW HIRE ROSTER'!$F:$F,MATCH(RAW!F68,'NEW HIRE ROSTER'!$A:$A,0))</f>
        <v>Class 11.2</v>
      </c>
      <c r="D68" s="90" t="str">
        <f>INDEX('Validation List'!$H:$H,MATCH(RAW!E68,'Validation List'!$F:$F,0))</f>
        <v>Jan Week 1</v>
      </c>
      <c r="E68" s="89">
        <v>45666</v>
      </c>
      <c r="F68" s="56" t="s">
        <v>2011</v>
      </c>
      <c r="G68" s="90" t="str">
        <f>VLOOKUP(F68,ML!C52:D650,2,FALSE)</f>
        <v>Khyno Elimanco Cortez</v>
      </c>
      <c r="H68" s="90" t="str">
        <f>VLOOKUP(F68,ML!C52:E650,3,FALSE)</f>
        <v>QC</v>
      </c>
      <c r="I68" s="83" t="s">
        <v>2386</v>
      </c>
      <c r="J68" s="56" t="s">
        <v>213</v>
      </c>
      <c r="K68" s="56" t="s">
        <v>155</v>
      </c>
      <c r="L68" s="56" t="s">
        <v>2406</v>
      </c>
      <c r="M68" s="154">
        <v>0.85</v>
      </c>
      <c r="N68" s="57">
        <v>0</v>
      </c>
      <c r="O68" s="57">
        <v>0</v>
      </c>
      <c r="P68" s="57">
        <v>0</v>
      </c>
      <c r="Q68" s="57">
        <v>0</v>
      </c>
      <c r="R68" s="57">
        <v>0</v>
      </c>
      <c r="S68" s="57">
        <v>0</v>
      </c>
      <c r="T68" s="57">
        <v>0</v>
      </c>
      <c r="U68" s="57">
        <v>0</v>
      </c>
      <c r="V68" s="57">
        <v>0</v>
      </c>
      <c r="W68" s="57">
        <v>0</v>
      </c>
      <c r="X68" s="57">
        <v>0</v>
      </c>
      <c r="Y68" s="57">
        <v>0</v>
      </c>
      <c r="Z68" s="57">
        <v>0</v>
      </c>
      <c r="AA68" s="57">
        <v>0</v>
      </c>
      <c r="AB68" s="57">
        <v>0</v>
      </c>
      <c r="AC68" s="57">
        <v>0</v>
      </c>
      <c r="AD68" s="57">
        <v>0</v>
      </c>
      <c r="AE68" s="57">
        <v>0</v>
      </c>
      <c r="AF68" s="57">
        <v>0</v>
      </c>
      <c r="AG68" s="57">
        <v>0</v>
      </c>
      <c r="AH68" s="57">
        <v>0</v>
      </c>
      <c r="AI68" s="57">
        <v>0</v>
      </c>
      <c r="AJ68" s="57">
        <v>0</v>
      </c>
      <c r="AK68" s="57">
        <v>0</v>
      </c>
      <c r="AL68" s="57">
        <v>0</v>
      </c>
      <c r="AM68" s="57">
        <v>0</v>
      </c>
      <c r="AN68" s="57">
        <v>0</v>
      </c>
      <c r="AO68" s="57">
        <v>0</v>
      </c>
      <c r="AP68" s="57">
        <v>0</v>
      </c>
      <c r="AQ68" s="57">
        <v>0</v>
      </c>
      <c r="AR68" s="57">
        <v>0</v>
      </c>
      <c r="AS68" s="57">
        <v>0</v>
      </c>
      <c r="AT68" s="57">
        <v>0</v>
      </c>
      <c r="AU68" s="57">
        <v>0</v>
      </c>
      <c r="AV68" s="57">
        <v>0</v>
      </c>
      <c r="AW68" s="57">
        <v>0</v>
      </c>
      <c r="AX68" s="57">
        <v>0</v>
      </c>
      <c r="AY68" s="57">
        <v>0</v>
      </c>
      <c r="AZ68" s="57">
        <v>0</v>
      </c>
      <c r="BA68" s="57">
        <v>0</v>
      </c>
      <c r="BB68" s="57">
        <v>0</v>
      </c>
      <c r="BC68" s="57">
        <v>0</v>
      </c>
      <c r="BD68" s="57">
        <v>0</v>
      </c>
      <c r="BE68" s="57">
        <v>0</v>
      </c>
      <c r="BF68" s="57">
        <v>0</v>
      </c>
      <c r="BG68" s="57">
        <v>0</v>
      </c>
      <c r="BH68" s="57">
        <v>0</v>
      </c>
      <c r="BI68" s="57">
        <v>0</v>
      </c>
      <c r="BJ68" s="57">
        <v>0</v>
      </c>
      <c r="BK68" s="57">
        <v>0</v>
      </c>
      <c r="BL68" s="57">
        <v>0</v>
      </c>
      <c r="BM68" s="57">
        <v>0</v>
      </c>
      <c r="BN68" s="57">
        <v>0</v>
      </c>
      <c r="BO68" s="57">
        <v>0</v>
      </c>
      <c r="BP68" s="57">
        <v>0</v>
      </c>
      <c r="BQ68" s="57">
        <v>0</v>
      </c>
      <c r="BR68" s="57">
        <v>0</v>
      </c>
      <c r="BS68" s="57">
        <v>0</v>
      </c>
      <c r="BT68" s="57">
        <v>0</v>
      </c>
      <c r="BU68" s="57">
        <v>0</v>
      </c>
      <c r="BV68" s="57">
        <v>0</v>
      </c>
      <c r="BW68" s="57">
        <v>0</v>
      </c>
      <c r="BX68" s="57">
        <v>0</v>
      </c>
      <c r="BY68" s="57">
        <v>0</v>
      </c>
      <c r="BZ68" s="57">
        <v>0</v>
      </c>
      <c r="CA68" s="57">
        <v>0</v>
      </c>
      <c r="CB68" s="57">
        <v>0</v>
      </c>
      <c r="CC68" s="57">
        <v>0</v>
      </c>
      <c r="CD68" s="57">
        <v>0</v>
      </c>
      <c r="CE68" s="57">
        <v>0</v>
      </c>
      <c r="CF68" s="57">
        <v>0</v>
      </c>
      <c r="CG68" s="57">
        <v>0</v>
      </c>
      <c r="CH68" s="57">
        <v>0</v>
      </c>
      <c r="CI68" s="57">
        <v>0</v>
      </c>
      <c r="CJ68" s="57">
        <v>0</v>
      </c>
      <c r="CK68" s="57">
        <v>0</v>
      </c>
      <c r="CL68" s="57">
        <v>0</v>
      </c>
      <c r="CM68" s="57">
        <v>0</v>
      </c>
      <c r="CN68" s="57">
        <v>0</v>
      </c>
      <c r="CO68" s="57">
        <v>0</v>
      </c>
      <c r="CP68" s="57">
        <v>0</v>
      </c>
      <c r="CQ68" s="57">
        <v>0</v>
      </c>
      <c r="CR68" s="57">
        <v>0</v>
      </c>
      <c r="CS68" s="57">
        <v>0</v>
      </c>
      <c r="CT68" s="57">
        <v>0</v>
      </c>
      <c r="CU68" s="57">
        <v>0</v>
      </c>
      <c r="CV68" s="57">
        <v>0</v>
      </c>
      <c r="CW68" s="57">
        <v>0</v>
      </c>
      <c r="CX68" s="57">
        <v>1</v>
      </c>
      <c r="CY68" s="57">
        <v>0</v>
      </c>
      <c r="CZ68" s="57">
        <v>0</v>
      </c>
      <c r="DA68" s="57">
        <v>0</v>
      </c>
      <c r="DB68" s="57">
        <v>0</v>
      </c>
      <c r="DC68" s="57">
        <v>0</v>
      </c>
      <c r="DD68" s="57">
        <v>0</v>
      </c>
      <c r="DE68" s="57">
        <v>0</v>
      </c>
      <c r="DF68" s="57">
        <v>1</v>
      </c>
      <c r="DG68" s="137">
        <v>0</v>
      </c>
      <c r="DH68" s="137">
        <v>0</v>
      </c>
      <c r="DI68" s="137">
        <v>0</v>
      </c>
      <c r="DJ68" s="137">
        <v>0</v>
      </c>
      <c r="DK68" s="137">
        <v>0</v>
      </c>
      <c r="DL68" s="137">
        <v>0</v>
      </c>
      <c r="DM68" s="137">
        <v>0</v>
      </c>
      <c r="DN68" s="137">
        <v>0</v>
      </c>
      <c r="DO68" s="137">
        <v>0</v>
      </c>
      <c r="DP68" s="137">
        <v>0</v>
      </c>
      <c r="DQ68" s="137">
        <v>0</v>
      </c>
      <c r="DR68" s="137">
        <v>0</v>
      </c>
      <c r="DS68" s="137">
        <v>0</v>
      </c>
      <c r="DT68" s="137">
        <v>0</v>
      </c>
      <c r="DU68" s="137">
        <v>0</v>
      </c>
      <c r="DV68" s="137">
        <v>0</v>
      </c>
      <c r="DW68" s="137">
        <v>0</v>
      </c>
      <c r="DX68" s="137">
        <v>0</v>
      </c>
      <c r="DY68" s="137">
        <v>0</v>
      </c>
      <c r="DZ68" s="137">
        <v>0</v>
      </c>
      <c r="EA68" s="137">
        <v>0</v>
      </c>
    </row>
    <row r="69" spans="1:131" x14ac:dyDescent="0.35">
      <c r="A69" s="90" t="e">
        <f>VLOOKUP(E69,'Validation List'!F70:G465,2,FALSE)</f>
        <v>#N/A</v>
      </c>
      <c r="B69" s="90" t="str">
        <f>INDEX('NEW HIRE ROSTER'!$G:$G,MATCH(RAW!F69,'NEW HIRE ROSTER'!$A:$A,0))</f>
        <v>Nesting</v>
      </c>
      <c r="C69" s="90" t="str">
        <f>INDEX('NEW HIRE ROSTER'!$F:$F,MATCH(RAW!F69,'NEW HIRE ROSTER'!$A:$A,0))</f>
        <v>Class 11.2</v>
      </c>
      <c r="D69" s="90" t="str">
        <f>INDEX('Validation List'!$H:$H,MATCH(RAW!E69,'Validation List'!$F:$F,0))</f>
        <v>Jan Week 2</v>
      </c>
      <c r="E69" s="89">
        <v>45672</v>
      </c>
      <c r="F69" s="56" t="s">
        <v>1987</v>
      </c>
      <c r="G69" s="90" t="str">
        <f>VLOOKUP(F69,ML!C53:D651,2,FALSE)</f>
        <v>Khyno Elimanco Cortez</v>
      </c>
      <c r="H69" s="90" t="str">
        <f>VLOOKUP(F69,ML!C53:E651,3,FALSE)</f>
        <v>QC</v>
      </c>
      <c r="I69" s="83" t="s">
        <v>2384</v>
      </c>
      <c r="J69" s="56" t="s">
        <v>209</v>
      </c>
      <c r="K69" s="56" t="s">
        <v>163</v>
      </c>
      <c r="L69" s="56" t="s">
        <v>2415</v>
      </c>
      <c r="M69" s="154">
        <v>0.94</v>
      </c>
      <c r="N69" s="57">
        <v>0</v>
      </c>
      <c r="O69" s="57">
        <v>0</v>
      </c>
      <c r="P69" s="57">
        <v>0</v>
      </c>
      <c r="Q69" s="57">
        <v>0</v>
      </c>
      <c r="R69" s="57">
        <v>0</v>
      </c>
      <c r="S69" s="57">
        <v>0</v>
      </c>
      <c r="T69" s="57">
        <v>0</v>
      </c>
      <c r="U69" s="57">
        <v>0</v>
      </c>
      <c r="V69" s="57">
        <v>0</v>
      </c>
      <c r="W69" s="57">
        <v>0</v>
      </c>
      <c r="X69" s="57">
        <v>0</v>
      </c>
      <c r="Y69" s="57">
        <v>0</v>
      </c>
      <c r="Z69" s="57">
        <v>0</v>
      </c>
      <c r="AA69" s="57">
        <v>0</v>
      </c>
      <c r="AB69" s="57">
        <v>0</v>
      </c>
      <c r="AC69" s="57">
        <v>0</v>
      </c>
      <c r="AD69" s="57">
        <v>0</v>
      </c>
      <c r="AE69" s="57">
        <v>0</v>
      </c>
      <c r="AF69" s="57">
        <v>0</v>
      </c>
      <c r="AG69" s="57">
        <v>0</v>
      </c>
      <c r="AH69" s="57">
        <v>0</v>
      </c>
      <c r="AI69" s="57">
        <v>0</v>
      </c>
      <c r="AJ69" s="57">
        <v>0</v>
      </c>
      <c r="AK69" s="57">
        <v>0</v>
      </c>
      <c r="AL69" s="57">
        <v>0</v>
      </c>
      <c r="AM69" s="57">
        <v>0</v>
      </c>
      <c r="AN69" s="57">
        <v>0</v>
      </c>
      <c r="AO69" s="57">
        <v>0</v>
      </c>
      <c r="AP69" s="57">
        <v>0</v>
      </c>
      <c r="AQ69" s="57">
        <v>0</v>
      </c>
      <c r="AR69" s="57">
        <v>0</v>
      </c>
      <c r="AS69" s="57">
        <v>0</v>
      </c>
      <c r="AT69" s="57">
        <v>0</v>
      </c>
      <c r="AU69" s="57">
        <v>0</v>
      </c>
      <c r="AV69" s="57">
        <v>0</v>
      </c>
      <c r="AW69" s="57">
        <v>0</v>
      </c>
      <c r="AX69" s="57">
        <v>0</v>
      </c>
      <c r="AY69" s="57">
        <v>0</v>
      </c>
      <c r="AZ69" s="57">
        <v>0</v>
      </c>
      <c r="BA69" s="57">
        <v>0</v>
      </c>
      <c r="BB69" s="57">
        <v>0</v>
      </c>
      <c r="BC69" s="57">
        <v>0</v>
      </c>
      <c r="BD69" s="57">
        <v>0</v>
      </c>
      <c r="BE69" s="57">
        <v>0</v>
      </c>
      <c r="BF69" s="57">
        <v>0</v>
      </c>
      <c r="BG69" s="57">
        <v>0</v>
      </c>
      <c r="BH69" s="57">
        <v>0</v>
      </c>
      <c r="BI69" s="57">
        <v>0</v>
      </c>
      <c r="BJ69" s="57">
        <v>0</v>
      </c>
      <c r="BK69" s="57">
        <v>0</v>
      </c>
      <c r="BL69" s="57">
        <v>0</v>
      </c>
      <c r="BM69" s="57">
        <v>0</v>
      </c>
      <c r="BN69" s="57">
        <v>0</v>
      </c>
      <c r="BO69" s="57">
        <v>0</v>
      </c>
      <c r="BP69" s="57">
        <v>0</v>
      </c>
      <c r="BQ69" s="57">
        <v>0</v>
      </c>
      <c r="BR69" s="57">
        <v>0</v>
      </c>
      <c r="BS69" s="57">
        <v>0</v>
      </c>
      <c r="BT69" s="57">
        <v>0</v>
      </c>
      <c r="BU69" s="57">
        <v>0</v>
      </c>
      <c r="BV69" s="57">
        <v>0</v>
      </c>
      <c r="BW69" s="57">
        <v>0</v>
      </c>
      <c r="BX69" s="57">
        <v>0</v>
      </c>
      <c r="BY69" s="57">
        <v>0</v>
      </c>
      <c r="BZ69" s="57">
        <v>0</v>
      </c>
      <c r="CA69" s="57">
        <v>0</v>
      </c>
      <c r="CB69" s="57">
        <v>0</v>
      </c>
      <c r="CC69" s="57">
        <v>1</v>
      </c>
      <c r="CD69" s="57">
        <v>0</v>
      </c>
      <c r="CE69" s="57">
        <v>0</v>
      </c>
      <c r="CF69" s="57">
        <v>0</v>
      </c>
      <c r="CG69" s="57">
        <v>0</v>
      </c>
      <c r="CH69" s="57">
        <v>0</v>
      </c>
      <c r="CI69" s="57">
        <v>0</v>
      </c>
      <c r="CJ69" s="57">
        <v>0</v>
      </c>
      <c r="CK69" s="57">
        <v>0</v>
      </c>
      <c r="CL69" s="57">
        <v>0</v>
      </c>
      <c r="CM69" s="57">
        <v>0</v>
      </c>
      <c r="CN69" s="57">
        <v>0</v>
      </c>
      <c r="CO69" s="57">
        <v>0</v>
      </c>
      <c r="CP69" s="57">
        <v>0</v>
      </c>
      <c r="CQ69" s="57">
        <v>0</v>
      </c>
      <c r="CR69" s="57">
        <v>0</v>
      </c>
      <c r="CS69" s="57">
        <v>0</v>
      </c>
      <c r="CT69" s="57">
        <v>0</v>
      </c>
      <c r="CU69" s="57">
        <v>0</v>
      </c>
      <c r="CV69" s="57">
        <v>0</v>
      </c>
      <c r="CW69" s="57">
        <v>0</v>
      </c>
      <c r="CX69" s="57">
        <v>0</v>
      </c>
      <c r="CY69" s="57">
        <v>0</v>
      </c>
      <c r="CZ69" s="57">
        <v>0</v>
      </c>
      <c r="DA69" s="57">
        <v>0</v>
      </c>
      <c r="DB69" s="57">
        <v>0</v>
      </c>
      <c r="DC69" s="57">
        <v>0</v>
      </c>
      <c r="DD69" s="57">
        <v>0</v>
      </c>
      <c r="DE69" s="57">
        <v>0</v>
      </c>
      <c r="DF69" s="57">
        <v>0</v>
      </c>
      <c r="DG69" s="137">
        <v>0</v>
      </c>
      <c r="DH69" s="137">
        <v>0</v>
      </c>
      <c r="DI69" s="137">
        <v>0</v>
      </c>
      <c r="DJ69" s="137">
        <v>0</v>
      </c>
      <c r="DK69" s="137">
        <v>0</v>
      </c>
      <c r="DL69" s="137">
        <v>0</v>
      </c>
      <c r="DM69" s="137">
        <v>0</v>
      </c>
      <c r="DN69" s="137">
        <v>0</v>
      </c>
      <c r="DO69" s="137">
        <v>0</v>
      </c>
      <c r="DP69" s="137">
        <v>0</v>
      </c>
      <c r="DQ69" s="137">
        <v>0</v>
      </c>
      <c r="DR69" s="137">
        <v>0</v>
      </c>
      <c r="DS69" s="137">
        <v>0</v>
      </c>
      <c r="DT69" s="137">
        <v>0</v>
      </c>
      <c r="DU69" s="137">
        <v>0</v>
      </c>
      <c r="DV69" s="137">
        <v>0</v>
      </c>
      <c r="DW69" s="137">
        <v>0</v>
      </c>
      <c r="DX69" s="137">
        <v>0</v>
      </c>
      <c r="DY69" s="137">
        <v>0</v>
      </c>
      <c r="DZ69" s="137">
        <v>0</v>
      </c>
      <c r="EA69" s="137">
        <v>0</v>
      </c>
    </row>
    <row r="70" spans="1:131" x14ac:dyDescent="0.35">
      <c r="A70" s="90" t="e">
        <f>VLOOKUP(E70,'Validation List'!F71:G466,2,FALSE)</f>
        <v>#N/A</v>
      </c>
      <c r="B70" s="90" t="str">
        <f>INDEX('NEW HIRE ROSTER'!$G:$G,MATCH(RAW!F70,'NEW HIRE ROSTER'!$A:$A,0))</f>
        <v>Nesting</v>
      </c>
      <c r="C70" s="90" t="str">
        <f>INDEX('NEW HIRE ROSTER'!$F:$F,MATCH(RAW!F70,'NEW HIRE ROSTER'!$A:$A,0))</f>
        <v>Class 11.2</v>
      </c>
      <c r="D70" s="90" t="str">
        <f>INDEX('Validation List'!$H:$H,MATCH(RAW!E70,'Validation List'!$F:$F,0))</f>
        <v>Jan Week 2</v>
      </c>
      <c r="E70" s="89">
        <v>45672</v>
      </c>
      <c r="F70" s="56" t="s">
        <v>2020</v>
      </c>
      <c r="G70" s="90" t="str">
        <f>VLOOKUP(F70,ML!C54:D652,2,FALSE)</f>
        <v>Khyno Elimanco Cortez</v>
      </c>
      <c r="H70" s="90" t="str">
        <f>VLOOKUP(F70,ML!C54:E652,3,FALSE)</f>
        <v>QC</v>
      </c>
      <c r="I70" s="83" t="s">
        <v>2384</v>
      </c>
      <c r="J70" s="56" t="s">
        <v>209</v>
      </c>
      <c r="K70" s="56" t="s">
        <v>163</v>
      </c>
      <c r="L70" s="56" t="s">
        <v>2416</v>
      </c>
      <c r="M70" s="154">
        <v>0.93</v>
      </c>
      <c r="N70" s="57">
        <v>0</v>
      </c>
      <c r="O70" s="57">
        <v>0</v>
      </c>
      <c r="P70" s="57">
        <v>0</v>
      </c>
      <c r="Q70" s="57">
        <v>0</v>
      </c>
      <c r="R70" s="57">
        <v>0</v>
      </c>
      <c r="S70" s="57">
        <v>0</v>
      </c>
      <c r="T70" s="57">
        <v>0</v>
      </c>
      <c r="U70" s="57">
        <v>0</v>
      </c>
      <c r="V70" s="57">
        <v>0</v>
      </c>
      <c r="W70" s="57">
        <v>0</v>
      </c>
      <c r="X70" s="57">
        <v>0</v>
      </c>
      <c r="Y70" s="57">
        <v>0</v>
      </c>
      <c r="Z70" s="57">
        <v>0</v>
      </c>
      <c r="AA70" s="57">
        <v>0</v>
      </c>
      <c r="AB70" s="57">
        <v>0</v>
      </c>
      <c r="AC70" s="57">
        <v>0</v>
      </c>
      <c r="AD70" s="57">
        <v>0</v>
      </c>
      <c r="AE70" s="57">
        <v>0</v>
      </c>
      <c r="AF70" s="57">
        <v>0</v>
      </c>
      <c r="AG70" s="57">
        <v>0</v>
      </c>
      <c r="AH70" s="57">
        <v>0</v>
      </c>
      <c r="AI70" s="57">
        <v>0</v>
      </c>
      <c r="AJ70" s="57">
        <v>0</v>
      </c>
      <c r="AK70" s="57">
        <v>0</v>
      </c>
      <c r="AL70" s="57">
        <v>0</v>
      </c>
      <c r="AM70" s="57">
        <v>0</v>
      </c>
      <c r="AN70" s="57">
        <v>0</v>
      </c>
      <c r="AO70" s="57">
        <v>0</v>
      </c>
      <c r="AP70" s="57">
        <v>0</v>
      </c>
      <c r="AQ70" s="57">
        <v>0</v>
      </c>
      <c r="AR70" s="57">
        <v>0</v>
      </c>
      <c r="AS70" s="57">
        <v>0</v>
      </c>
      <c r="AT70" s="57">
        <v>0</v>
      </c>
      <c r="AU70" s="57">
        <v>0</v>
      </c>
      <c r="AV70" s="57">
        <v>0</v>
      </c>
      <c r="AW70" s="57">
        <v>0</v>
      </c>
      <c r="AX70" s="57">
        <v>0</v>
      </c>
      <c r="AY70" s="57">
        <v>0</v>
      </c>
      <c r="AZ70" s="57">
        <v>0</v>
      </c>
      <c r="BA70" s="57">
        <v>0</v>
      </c>
      <c r="BB70" s="57">
        <v>0</v>
      </c>
      <c r="BC70" s="57">
        <v>0</v>
      </c>
      <c r="BD70" s="57">
        <v>0</v>
      </c>
      <c r="BE70" s="57">
        <v>0</v>
      </c>
      <c r="BF70" s="57">
        <v>0</v>
      </c>
      <c r="BG70" s="57">
        <v>0</v>
      </c>
      <c r="BH70" s="57">
        <v>0</v>
      </c>
      <c r="BI70" s="57">
        <v>0</v>
      </c>
      <c r="BJ70" s="57">
        <v>0</v>
      </c>
      <c r="BK70" s="57">
        <v>0</v>
      </c>
      <c r="BL70" s="57">
        <v>0</v>
      </c>
      <c r="BM70" s="57">
        <v>0</v>
      </c>
      <c r="BN70" s="57">
        <v>0</v>
      </c>
      <c r="BO70" s="57">
        <v>0</v>
      </c>
      <c r="BP70" s="57">
        <v>0</v>
      </c>
      <c r="BQ70" s="57">
        <v>0</v>
      </c>
      <c r="BR70" s="57">
        <v>0</v>
      </c>
      <c r="BS70" s="57">
        <v>0</v>
      </c>
      <c r="BT70" s="57">
        <v>0</v>
      </c>
      <c r="BU70" s="57">
        <v>0</v>
      </c>
      <c r="BV70" s="57">
        <v>0</v>
      </c>
      <c r="BW70" s="57">
        <v>0</v>
      </c>
      <c r="BX70" s="57">
        <v>0</v>
      </c>
      <c r="BY70" s="57">
        <v>0</v>
      </c>
      <c r="BZ70" s="57">
        <v>0</v>
      </c>
      <c r="CA70" s="57">
        <v>0</v>
      </c>
      <c r="CB70" s="57">
        <v>0</v>
      </c>
      <c r="CC70" s="57">
        <v>1</v>
      </c>
      <c r="CD70" s="57">
        <v>0</v>
      </c>
      <c r="CE70" s="57">
        <v>0</v>
      </c>
      <c r="CF70" s="57">
        <v>0</v>
      </c>
      <c r="CG70" s="57">
        <v>0</v>
      </c>
      <c r="CH70" s="57">
        <v>0</v>
      </c>
      <c r="CI70" s="57">
        <v>0</v>
      </c>
      <c r="CJ70" s="57">
        <v>0</v>
      </c>
      <c r="CK70" s="57">
        <v>0</v>
      </c>
      <c r="CL70" s="57">
        <v>0</v>
      </c>
      <c r="CM70" s="57">
        <v>0</v>
      </c>
      <c r="CN70" s="57">
        <v>1</v>
      </c>
      <c r="CO70" s="57">
        <v>0</v>
      </c>
      <c r="CP70" s="57">
        <v>0</v>
      </c>
      <c r="CQ70" s="57">
        <v>0</v>
      </c>
      <c r="CR70" s="57">
        <v>0</v>
      </c>
      <c r="CS70" s="57">
        <v>0</v>
      </c>
      <c r="CT70" s="57">
        <v>0</v>
      </c>
      <c r="CU70" s="57">
        <v>0</v>
      </c>
      <c r="CV70" s="57">
        <v>0</v>
      </c>
      <c r="CW70" s="57">
        <v>0</v>
      </c>
      <c r="CX70" s="57">
        <v>0</v>
      </c>
      <c r="CY70" s="57">
        <v>0</v>
      </c>
      <c r="CZ70" s="57">
        <v>0</v>
      </c>
      <c r="DA70" s="57">
        <v>0</v>
      </c>
      <c r="DB70" s="57">
        <v>0</v>
      </c>
      <c r="DC70" s="57">
        <v>0</v>
      </c>
      <c r="DD70" s="57">
        <v>0</v>
      </c>
      <c r="DE70" s="57">
        <v>0</v>
      </c>
      <c r="DF70" s="57">
        <v>0</v>
      </c>
      <c r="DG70" s="137">
        <v>0</v>
      </c>
      <c r="DH70" s="137">
        <v>0</v>
      </c>
      <c r="DI70" s="137">
        <v>0</v>
      </c>
      <c r="DJ70" s="137">
        <v>0</v>
      </c>
      <c r="DK70" s="137">
        <v>0</v>
      </c>
      <c r="DL70" s="137">
        <v>0</v>
      </c>
      <c r="DM70" s="137">
        <v>0</v>
      </c>
      <c r="DN70" s="137">
        <v>0</v>
      </c>
      <c r="DO70" s="137">
        <v>0</v>
      </c>
      <c r="DP70" s="137">
        <v>0</v>
      </c>
      <c r="DQ70" s="137">
        <v>0</v>
      </c>
      <c r="DR70" s="137">
        <v>0</v>
      </c>
      <c r="DS70" s="137">
        <v>0</v>
      </c>
      <c r="DT70" s="137">
        <v>0</v>
      </c>
      <c r="DU70" s="137">
        <v>0</v>
      </c>
      <c r="DV70" s="137">
        <v>0</v>
      </c>
      <c r="DW70" s="137">
        <v>0</v>
      </c>
      <c r="DX70" s="137">
        <v>0</v>
      </c>
      <c r="DY70" s="137">
        <v>0</v>
      </c>
      <c r="DZ70" s="137">
        <v>0</v>
      </c>
      <c r="EA70" s="137">
        <v>0</v>
      </c>
    </row>
    <row r="71" spans="1:131" x14ac:dyDescent="0.35">
      <c r="A71" s="90" t="e">
        <f>VLOOKUP(E71,'Validation List'!F72:G467,2,FALSE)</f>
        <v>#N/A</v>
      </c>
      <c r="B71" s="90" t="str">
        <f>INDEX('NEW HIRE ROSTER'!$G:$G,MATCH(RAW!F71,'NEW HIRE ROSTER'!$A:$A,0))</f>
        <v>Nesting</v>
      </c>
      <c r="C71" s="90" t="str">
        <f>INDEX('NEW HIRE ROSTER'!$F:$F,MATCH(RAW!F71,'NEW HIRE ROSTER'!$A:$A,0))</f>
        <v>Class 11.2</v>
      </c>
      <c r="D71" s="90" t="str">
        <f>INDEX('Validation List'!$H:$H,MATCH(RAW!E71,'Validation List'!$F:$F,0))</f>
        <v>Jan Week 2</v>
      </c>
      <c r="E71" s="89">
        <v>45672</v>
      </c>
      <c r="F71" s="56" t="s">
        <v>2023</v>
      </c>
      <c r="G71" s="90" t="str">
        <f>VLOOKUP(F71,ML!C55:D653,2,FALSE)</f>
        <v>Khyno Elimanco Cortez</v>
      </c>
      <c r="H71" s="90" t="str">
        <f>VLOOKUP(F71,ML!C55:E653,3,FALSE)</f>
        <v>QC</v>
      </c>
      <c r="I71" s="83" t="s">
        <v>2381</v>
      </c>
      <c r="J71" s="56" t="s">
        <v>209</v>
      </c>
      <c r="K71" s="56" t="s">
        <v>163</v>
      </c>
      <c r="L71" s="56" t="s">
        <v>2417</v>
      </c>
      <c r="M71" s="154">
        <v>0.94</v>
      </c>
      <c r="N71" s="57">
        <v>0</v>
      </c>
      <c r="O71" s="57">
        <v>0</v>
      </c>
      <c r="P71" s="57">
        <v>0</v>
      </c>
      <c r="Q71" s="57">
        <v>0</v>
      </c>
      <c r="R71" s="57">
        <v>0</v>
      </c>
      <c r="S71" s="57">
        <v>0</v>
      </c>
      <c r="T71" s="57">
        <v>0</v>
      </c>
      <c r="U71" s="57">
        <v>0</v>
      </c>
      <c r="V71" s="57">
        <v>0</v>
      </c>
      <c r="W71" s="57">
        <v>0</v>
      </c>
      <c r="X71" s="57">
        <v>0</v>
      </c>
      <c r="Y71" s="57">
        <v>0</v>
      </c>
      <c r="Z71" s="57">
        <v>0</v>
      </c>
      <c r="AA71" s="57">
        <v>0</v>
      </c>
      <c r="AB71" s="57">
        <v>0</v>
      </c>
      <c r="AC71" s="57">
        <v>0</v>
      </c>
      <c r="AD71" s="57">
        <v>0</v>
      </c>
      <c r="AE71" s="57">
        <v>0</v>
      </c>
      <c r="AF71" s="57">
        <v>0</v>
      </c>
      <c r="AG71" s="57">
        <v>0</v>
      </c>
      <c r="AH71" s="57">
        <v>0</v>
      </c>
      <c r="AI71" s="57">
        <v>0</v>
      </c>
      <c r="AJ71" s="57">
        <v>0</v>
      </c>
      <c r="AK71" s="57">
        <v>0</v>
      </c>
      <c r="AL71" s="57">
        <v>0</v>
      </c>
      <c r="AM71" s="57">
        <v>0</v>
      </c>
      <c r="AN71" s="57">
        <v>0</v>
      </c>
      <c r="AO71" s="57">
        <v>0</v>
      </c>
      <c r="AP71" s="57">
        <v>0</v>
      </c>
      <c r="AQ71" s="57">
        <v>1</v>
      </c>
      <c r="AR71" s="57">
        <v>0</v>
      </c>
      <c r="AS71" s="57">
        <v>0</v>
      </c>
      <c r="AT71" s="57">
        <v>0</v>
      </c>
      <c r="AU71" s="57">
        <v>0</v>
      </c>
      <c r="AV71" s="57">
        <v>0</v>
      </c>
      <c r="AW71" s="57">
        <v>0</v>
      </c>
      <c r="AX71" s="57">
        <v>0</v>
      </c>
      <c r="AY71" s="57">
        <v>0</v>
      </c>
      <c r="AZ71" s="57">
        <v>0</v>
      </c>
      <c r="BA71" s="57">
        <v>0</v>
      </c>
      <c r="BB71" s="57">
        <v>0</v>
      </c>
      <c r="BC71" s="57">
        <v>0</v>
      </c>
      <c r="BD71" s="57">
        <v>0</v>
      </c>
      <c r="BE71" s="57">
        <v>0</v>
      </c>
      <c r="BF71" s="57">
        <v>0</v>
      </c>
      <c r="BG71" s="57">
        <v>0</v>
      </c>
      <c r="BH71" s="57">
        <v>0</v>
      </c>
      <c r="BI71" s="57">
        <v>0</v>
      </c>
      <c r="BJ71" s="57">
        <v>0</v>
      </c>
      <c r="BK71" s="57">
        <v>0</v>
      </c>
      <c r="BL71" s="57">
        <v>0</v>
      </c>
      <c r="BM71" s="57">
        <v>0</v>
      </c>
      <c r="BN71" s="57">
        <v>0</v>
      </c>
      <c r="BO71" s="57">
        <v>0</v>
      </c>
      <c r="BP71" s="57">
        <v>0</v>
      </c>
      <c r="BQ71" s="57">
        <v>0</v>
      </c>
      <c r="BR71" s="57">
        <v>0</v>
      </c>
      <c r="BS71" s="57">
        <v>0</v>
      </c>
      <c r="BT71" s="57">
        <v>0</v>
      </c>
      <c r="BU71" s="57">
        <v>0</v>
      </c>
      <c r="BV71" s="57">
        <v>0</v>
      </c>
      <c r="BW71" s="57">
        <v>0</v>
      </c>
      <c r="BX71" s="57">
        <v>0</v>
      </c>
      <c r="BY71" s="57">
        <v>0</v>
      </c>
      <c r="BZ71" s="57">
        <v>0</v>
      </c>
      <c r="CA71" s="57">
        <v>0</v>
      </c>
      <c r="CB71" s="57">
        <v>0</v>
      </c>
      <c r="CC71" s="57">
        <v>0</v>
      </c>
      <c r="CD71" s="57">
        <v>0</v>
      </c>
      <c r="CE71" s="57">
        <v>0</v>
      </c>
      <c r="CF71" s="57">
        <v>0</v>
      </c>
      <c r="CG71" s="57">
        <v>0</v>
      </c>
      <c r="CH71" s="57">
        <v>0</v>
      </c>
      <c r="CI71" s="57">
        <v>0</v>
      </c>
      <c r="CJ71" s="57">
        <v>0</v>
      </c>
      <c r="CK71" s="57">
        <v>0</v>
      </c>
      <c r="CL71" s="57">
        <v>0</v>
      </c>
      <c r="CM71" s="57">
        <v>0</v>
      </c>
      <c r="CN71" s="57">
        <v>0</v>
      </c>
      <c r="CO71" s="57">
        <v>0</v>
      </c>
      <c r="CP71" s="57">
        <v>0</v>
      </c>
      <c r="CQ71" s="57">
        <v>0</v>
      </c>
      <c r="CR71" s="57">
        <v>0</v>
      </c>
      <c r="CS71" s="57">
        <v>0</v>
      </c>
      <c r="CT71" s="57">
        <v>0</v>
      </c>
      <c r="CU71" s="57">
        <v>0</v>
      </c>
      <c r="CV71" s="57">
        <v>0</v>
      </c>
      <c r="CW71" s="57">
        <v>0</v>
      </c>
      <c r="CX71" s="57">
        <v>0</v>
      </c>
      <c r="CY71" s="57">
        <v>0</v>
      </c>
      <c r="CZ71" s="57">
        <v>0</v>
      </c>
      <c r="DA71" s="57">
        <v>0</v>
      </c>
      <c r="DB71" s="57">
        <v>0</v>
      </c>
      <c r="DC71" s="57">
        <v>0</v>
      </c>
      <c r="DD71" s="57">
        <v>0</v>
      </c>
      <c r="DE71" s="57">
        <v>0</v>
      </c>
      <c r="DF71" s="57">
        <v>0</v>
      </c>
      <c r="DG71" s="137">
        <v>0</v>
      </c>
      <c r="DH71" s="137">
        <v>0</v>
      </c>
      <c r="DI71" s="137">
        <v>0</v>
      </c>
      <c r="DJ71" s="137">
        <v>0</v>
      </c>
      <c r="DK71" s="137">
        <v>0</v>
      </c>
      <c r="DL71" s="137">
        <v>0</v>
      </c>
      <c r="DM71" s="137">
        <v>0</v>
      </c>
      <c r="DN71" s="137">
        <v>0</v>
      </c>
      <c r="DO71" s="137">
        <v>0</v>
      </c>
      <c r="DP71" s="137">
        <v>0</v>
      </c>
      <c r="DQ71" s="137">
        <v>0</v>
      </c>
      <c r="DR71" s="137">
        <v>0</v>
      </c>
      <c r="DS71" s="137">
        <v>0</v>
      </c>
      <c r="DT71" s="137">
        <v>0</v>
      </c>
      <c r="DU71" s="137">
        <v>0</v>
      </c>
      <c r="DV71" s="137">
        <v>0</v>
      </c>
      <c r="DW71" s="137">
        <v>0</v>
      </c>
      <c r="DX71" s="137">
        <v>0</v>
      </c>
      <c r="DY71" s="137">
        <v>0</v>
      </c>
      <c r="DZ71" s="137">
        <v>0</v>
      </c>
      <c r="EA71" s="137">
        <v>0</v>
      </c>
    </row>
    <row r="72" spans="1:131" x14ac:dyDescent="0.35">
      <c r="A72" s="90" t="e">
        <f>VLOOKUP(E72,'Validation List'!F73:G468,2,FALSE)</f>
        <v>#N/A</v>
      </c>
      <c r="B72" s="90" t="str">
        <f>INDEX('NEW HIRE ROSTER'!$G:$G,MATCH(RAW!F72,'NEW HIRE ROSTER'!$A:$A,0))</f>
        <v>Nesting</v>
      </c>
      <c r="C72" s="90" t="str">
        <f>INDEX('NEW HIRE ROSTER'!$F:$F,MATCH(RAW!F72,'NEW HIRE ROSTER'!$A:$A,0))</f>
        <v>Class 11.2</v>
      </c>
      <c r="D72" s="90" t="str">
        <f>INDEX('Validation List'!$H:$H,MATCH(RAW!E72,'Validation List'!$F:$F,0))</f>
        <v>Jan Week 2</v>
      </c>
      <c r="E72" s="89">
        <v>45672</v>
      </c>
      <c r="F72" s="56" t="s">
        <v>2008</v>
      </c>
      <c r="G72" s="90" t="str">
        <f>VLOOKUP(F72,ML!C56:D654,2,FALSE)</f>
        <v>Khyno Elimanco Cortez</v>
      </c>
      <c r="H72" s="90" t="str">
        <f>VLOOKUP(F72,ML!C56:E654,3,FALSE)</f>
        <v>QC</v>
      </c>
      <c r="I72" s="83" t="s">
        <v>2383</v>
      </c>
      <c r="J72" s="56" t="s">
        <v>209</v>
      </c>
      <c r="K72" s="56" t="s">
        <v>163</v>
      </c>
      <c r="L72" s="56" t="s">
        <v>2418</v>
      </c>
      <c r="M72" s="154">
        <v>0.99</v>
      </c>
      <c r="N72" s="57">
        <v>0</v>
      </c>
      <c r="O72" s="57">
        <v>0</v>
      </c>
      <c r="P72" s="57">
        <v>0</v>
      </c>
      <c r="Q72" s="57">
        <v>0</v>
      </c>
      <c r="R72" s="57">
        <v>0</v>
      </c>
      <c r="S72" s="57">
        <v>0</v>
      </c>
      <c r="T72" s="57">
        <v>0</v>
      </c>
      <c r="U72" s="57">
        <v>0</v>
      </c>
      <c r="V72" s="57">
        <v>0</v>
      </c>
      <c r="W72" s="57">
        <v>0</v>
      </c>
      <c r="X72" s="57">
        <v>0</v>
      </c>
      <c r="Y72" s="57">
        <v>0</v>
      </c>
      <c r="Z72" s="57">
        <v>0</v>
      </c>
      <c r="AA72" s="57">
        <v>0</v>
      </c>
      <c r="AB72" s="57">
        <v>0</v>
      </c>
      <c r="AC72" s="57">
        <v>0</v>
      </c>
      <c r="AD72" s="57">
        <v>0</v>
      </c>
      <c r="AE72" s="57">
        <v>0</v>
      </c>
      <c r="AF72" s="57">
        <v>0</v>
      </c>
      <c r="AG72" s="57">
        <v>0</v>
      </c>
      <c r="AH72" s="57">
        <v>0</v>
      </c>
      <c r="AI72" s="57">
        <v>0</v>
      </c>
      <c r="AJ72" s="57">
        <v>0</v>
      </c>
      <c r="AK72" s="57">
        <v>0</v>
      </c>
      <c r="AL72" s="57">
        <v>0</v>
      </c>
      <c r="AM72" s="57">
        <v>0</v>
      </c>
      <c r="AN72" s="57">
        <v>0</v>
      </c>
      <c r="AO72" s="57">
        <v>0</v>
      </c>
      <c r="AP72" s="57">
        <v>0</v>
      </c>
      <c r="AQ72" s="57">
        <v>0</v>
      </c>
      <c r="AR72" s="57">
        <v>0</v>
      </c>
      <c r="AS72" s="57">
        <v>0</v>
      </c>
      <c r="AT72" s="57">
        <v>0</v>
      </c>
      <c r="AU72" s="57">
        <v>0</v>
      </c>
      <c r="AV72" s="57">
        <v>0</v>
      </c>
      <c r="AW72" s="57">
        <v>0</v>
      </c>
      <c r="AX72" s="57">
        <v>0</v>
      </c>
      <c r="AY72" s="57">
        <v>0</v>
      </c>
      <c r="AZ72" s="57">
        <v>0</v>
      </c>
      <c r="BA72" s="57">
        <v>0</v>
      </c>
      <c r="BB72" s="57">
        <v>0</v>
      </c>
      <c r="BC72" s="57">
        <v>0</v>
      </c>
      <c r="BD72" s="57">
        <v>0</v>
      </c>
      <c r="BE72" s="57">
        <v>0</v>
      </c>
      <c r="BF72" s="57">
        <v>0</v>
      </c>
      <c r="BG72" s="57">
        <v>0</v>
      </c>
      <c r="BH72" s="57">
        <v>0</v>
      </c>
      <c r="BI72" s="57">
        <v>0</v>
      </c>
      <c r="BJ72" s="57">
        <v>0</v>
      </c>
      <c r="BK72" s="57">
        <v>0</v>
      </c>
      <c r="BL72" s="57">
        <v>0</v>
      </c>
      <c r="BM72" s="57">
        <v>0</v>
      </c>
      <c r="BN72" s="57">
        <v>0</v>
      </c>
      <c r="BO72" s="57">
        <v>0</v>
      </c>
      <c r="BP72" s="57">
        <v>0</v>
      </c>
      <c r="BQ72" s="57">
        <v>0</v>
      </c>
      <c r="BR72" s="57">
        <v>0</v>
      </c>
      <c r="BS72" s="57">
        <v>0</v>
      </c>
      <c r="BT72" s="57">
        <v>0</v>
      </c>
      <c r="BU72" s="57">
        <v>0</v>
      </c>
      <c r="BV72" s="57">
        <v>0</v>
      </c>
      <c r="BW72" s="57">
        <v>0</v>
      </c>
      <c r="BX72" s="57">
        <v>0</v>
      </c>
      <c r="BY72" s="57">
        <v>0</v>
      </c>
      <c r="BZ72" s="57">
        <v>0</v>
      </c>
      <c r="CA72" s="57">
        <v>0</v>
      </c>
      <c r="CB72" s="57">
        <v>0</v>
      </c>
      <c r="CC72" s="57">
        <v>0</v>
      </c>
      <c r="CD72" s="57">
        <v>0</v>
      </c>
      <c r="CE72" s="57">
        <v>0</v>
      </c>
      <c r="CF72" s="57">
        <v>0</v>
      </c>
      <c r="CG72" s="57">
        <v>0</v>
      </c>
      <c r="CH72" s="57">
        <v>0</v>
      </c>
      <c r="CI72" s="57">
        <v>0</v>
      </c>
      <c r="CJ72" s="57">
        <v>0</v>
      </c>
      <c r="CK72" s="57">
        <v>0</v>
      </c>
      <c r="CL72" s="57">
        <v>0</v>
      </c>
      <c r="CM72" s="57">
        <v>0</v>
      </c>
      <c r="CN72" s="57">
        <v>0</v>
      </c>
      <c r="CO72" s="57">
        <v>0</v>
      </c>
      <c r="CP72" s="57">
        <v>0</v>
      </c>
      <c r="CQ72" s="57">
        <v>0</v>
      </c>
      <c r="CR72" s="57">
        <v>0</v>
      </c>
      <c r="CS72" s="57">
        <v>0</v>
      </c>
      <c r="CT72" s="57">
        <v>0</v>
      </c>
      <c r="CU72" s="57">
        <v>0</v>
      </c>
      <c r="CV72" s="57">
        <v>0</v>
      </c>
      <c r="CW72" s="57">
        <v>0</v>
      </c>
      <c r="CX72" s="57">
        <v>0</v>
      </c>
      <c r="CY72" s="57">
        <v>0</v>
      </c>
      <c r="CZ72" s="57">
        <v>0</v>
      </c>
      <c r="DA72" s="57">
        <v>0</v>
      </c>
      <c r="DB72" s="57">
        <v>0</v>
      </c>
      <c r="DC72" s="57">
        <v>0</v>
      </c>
      <c r="DD72" s="57">
        <v>0</v>
      </c>
      <c r="DE72" s="57">
        <v>0</v>
      </c>
      <c r="DF72" s="57">
        <v>0</v>
      </c>
      <c r="DG72" s="137">
        <v>0</v>
      </c>
      <c r="DH72" s="137">
        <v>0</v>
      </c>
      <c r="DI72" s="137">
        <v>0</v>
      </c>
      <c r="DJ72" s="137">
        <v>0</v>
      </c>
      <c r="DK72" s="137">
        <v>1</v>
      </c>
      <c r="DL72" s="137">
        <v>0</v>
      </c>
      <c r="DM72" s="137">
        <v>0</v>
      </c>
      <c r="DN72" s="137">
        <v>0</v>
      </c>
      <c r="DO72" s="137">
        <v>0</v>
      </c>
      <c r="DP72" s="137">
        <v>0</v>
      </c>
      <c r="DQ72" s="137">
        <v>0</v>
      </c>
      <c r="DR72" s="137">
        <v>0</v>
      </c>
      <c r="DS72" s="137">
        <v>0</v>
      </c>
      <c r="DT72" s="137">
        <v>0</v>
      </c>
      <c r="DU72" s="137">
        <v>0</v>
      </c>
      <c r="DV72" s="137">
        <v>0</v>
      </c>
      <c r="DW72" s="137">
        <v>0</v>
      </c>
      <c r="DX72" s="137">
        <v>0</v>
      </c>
      <c r="DY72" s="137">
        <v>0</v>
      </c>
      <c r="DZ72" s="137">
        <v>0</v>
      </c>
      <c r="EA72" s="137">
        <v>0</v>
      </c>
    </row>
    <row r="73" spans="1:131" x14ac:dyDescent="0.35">
      <c r="A73" s="90" t="e">
        <f>VLOOKUP(E73,'Validation List'!F74:G469,2,FALSE)</f>
        <v>#N/A</v>
      </c>
      <c r="B73" s="90" t="str">
        <f>INDEX('NEW HIRE ROSTER'!$G:$G,MATCH(RAW!F73,'NEW HIRE ROSTER'!$A:$A,0))</f>
        <v>Nesting</v>
      </c>
      <c r="C73" s="90" t="str">
        <f>INDEX('NEW HIRE ROSTER'!$F:$F,MATCH(RAW!F73,'NEW HIRE ROSTER'!$A:$A,0))</f>
        <v>Class 11.2</v>
      </c>
      <c r="D73" s="90" t="str">
        <f>INDEX('Validation List'!$H:$H,MATCH(RAW!E73,'Validation List'!$F:$F,0))</f>
        <v>Jan Week 2</v>
      </c>
      <c r="E73" s="89">
        <v>45673</v>
      </c>
      <c r="F73" s="56" t="s">
        <v>2032</v>
      </c>
      <c r="G73" s="90" t="str">
        <f>VLOOKUP(F73,ML!C57:D655,2,FALSE)</f>
        <v>Khyno Elimanco Cortez</v>
      </c>
      <c r="H73" s="90" t="str">
        <f>VLOOKUP(F73,ML!C57:E655,3,FALSE)</f>
        <v>QC</v>
      </c>
      <c r="I73" s="83" t="s">
        <v>2384</v>
      </c>
      <c r="J73" s="56" t="s">
        <v>209</v>
      </c>
      <c r="K73" s="56" t="s">
        <v>2408</v>
      </c>
      <c r="L73" s="56" t="s">
        <v>2419</v>
      </c>
      <c r="M73" s="154">
        <v>1</v>
      </c>
      <c r="N73" s="57">
        <v>0</v>
      </c>
      <c r="O73" s="57">
        <v>0</v>
      </c>
      <c r="P73" s="57">
        <v>0</v>
      </c>
      <c r="Q73" s="57">
        <v>0</v>
      </c>
      <c r="R73" s="57">
        <v>0</v>
      </c>
      <c r="S73" s="57">
        <v>0</v>
      </c>
      <c r="T73" s="57">
        <v>0</v>
      </c>
      <c r="U73" s="57">
        <v>0</v>
      </c>
      <c r="V73" s="57">
        <v>0</v>
      </c>
      <c r="W73" s="57">
        <v>0</v>
      </c>
      <c r="X73" s="57">
        <v>0</v>
      </c>
      <c r="Y73" s="57">
        <v>0</v>
      </c>
      <c r="Z73" s="57">
        <v>0</v>
      </c>
      <c r="AA73" s="57">
        <v>0</v>
      </c>
      <c r="AB73" s="57">
        <v>0</v>
      </c>
      <c r="AC73" s="57">
        <v>0</v>
      </c>
      <c r="AD73" s="57">
        <v>0</v>
      </c>
      <c r="AE73" s="57">
        <v>0</v>
      </c>
      <c r="AF73" s="57">
        <v>0</v>
      </c>
      <c r="AG73" s="57">
        <v>0</v>
      </c>
      <c r="AH73" s="57">
        <v>0</v>
      </c>
      <c r="AI73" s="57">
        <v>0</v>
      </c>
      <c r="AJ73" s="57">
        <v>0</v>
      </c>
      <c r="AK73" s="57">
        <v>0</v>
      </c>
      <c r="AL73" s="57">
        <v>0</v>
      </c>
      <c r="AM73" s="57">
        <v>0</v>
      </c>
      <c r="AN73" s="57">
        <v>0</v>
      </c>
      <c r="AO73" s="57">
        <v>0</v>
      </c>
      <c r="AP73" s="57">
        <v>0</v>
      </c>
      <c r="AQ73" s="57">
        <v>0</v>
      </c>
      <c r="AR73" s="57">
        <v>0</v>
      </c>
      <c r="AS73" s="57">
        <v>0</v>
      </c>
      <c r="AT73" s="57">
        <v>0</v>
      </c>
      <c r="AU73" s="57">
        <v>0</v>
      </c>
      <c r="AV73" s="57">
        <v>0</v>
      </c>
      <c r="AW73" s="57">
        <v>0</v>
      </c>
      <c r="AX73" s="57">
        <v>0</v>
      </c>
      <c r="AY73" s="57">
        <v>0</v>
      </c>
      <c r="AZ73" s="57">
        <v>0</v>
      </c>
      <c r="BA73" s="57">
        <v>0</v>
      </c>
      <c r="BB73" s="57">
        <v>0</v>
      </c>
      <c r="BC73" s="57">
        <v>0</v>
      </c>
      <c r="BD73" s="57">
        <v>0</v>
      </c>
      <c r="BE73" s="57">
        <v>0</v>
      </c>
      <c r="BF73" s="57">
        <v>0</v>
      </c>
      <c r="BG73" s="57">
        <v>0</v>
      </c>
      <c r="BH73" s="57">
        <v>0</v>
      </c>
      <c r="BI73" s="57">
        <v>0</v>
      </c>
      <c r="BJ73" s="57">
        <v>0</v>
      </c>
      <c r="BK73" s="57">
        <v>0</v>
      </c>
      <c r="BL73" s="57">
        <v>0</v>
      </c>
      <c r="BM73" s="57">
        <v>0</v>
      </c>
      <c r="BN73" s="57">
        <v>0</v>
      </c>
      <c r="BO73" s="57">
        <v>0</v>
      </c>
      <c r="BP73" s="57">
        <v>0</v>
      </c>
      <c r="BQ73" s="57">
        <v>0</v>
      </c>
      <c r="BR73" s="57">
        <v>0</v>
      </c>
      <c r="BS73" s="57">
        <v>0</v>
      </c>
      <c r="BT73" s="57">
        <v>0</v>
      </c>
      <c r="BU73" s="57">
        <v>0</v>
      </c>
      <c r="BV73" s="57">
        <v>0</v>
      </c>
      <c r="BW73" s="57">
        <v>0</v>
      </c>
      <c r="BX73" s="57">
        <v>0</v>
      </c>
      <c r="BY73" s="57">
        <v>0</v>
      </c>
      <c r="BZ73" s="57">
        <v>0</v>
      </c>
      <c r="CA73" s="57">
        <v>0</v>
      </c>
      <c r="CB73" s="57">
        <v>0</v>
      </c>
      <c r="CC73" s="57">
        <v>0</v>
      </c>
      <c r="CD73" s="57">
        <v>0</v>
      </c>
      <c r="CE73" s="57">
        <v>0</v>
      </c>
      <c r="CF73" s="57">
        <v>0</v>
      </c>
      <c r="CG73" s="57">
        <v>0</v>
      </c>
      <c r="CH73" s="57">
        <v>0</v>
      </c>
      <c r="CI73" s="57">
        <v>0</v>
      </c>
      <c r="CJ73" s="57">
        <v>0</v>
      </c>
      <c r="CK73" s="57">
        <v>0</v>
      </c>
      <c r="CL73" s="57">
        <v>0</v>
      </c>
      <c r="CM73" s="57">
        <v>0</v>
      </c>
      <c r="CN73" s="57">
        <v>0</v>
      </c>
      <c r="CO73" s="57">
        <v>0</v>
      </c>
      <c r="CP73" s="57">
        <v>0</v>
      </c>
      <c r="CQ73" s="57">
        <v>0</v>
      </c>
      <c r="CR73" s="57">
        <v>0</v>
      </c>
      <c r="CS73" s="57">
        <v>0</v>
      </c>
      <c r="CT73" s="57">
        <v>0</v>
      </c>
      <c r="CU73" s="57">
        <v>0</v>
      </c>
      <c r="CV73" s="57">
        <v>0</v>
      </c>
      <c r="CW73" s="57">
        <v>0</v>
      </c>
      <c r="CX73" s="57">
        <v>0</v>
      </c>
      <c r="CY73" s="57">
        <v>0</v>
      </c>
      <c r="CZ73" s="57">
        <v>0</v>
      </c>
      <c r="DA73" s="57">
        <v>0</v>
      </c>
      <c r="DB73" s="57">
        <v>0</v>
      </c>
      <c r="DC73" s="57">
        <v>0</v>
      </c>
      <c r="DD73" s="57">
        <v>0</v>
      </c>
      <c r="DE73" s="57">
        <v>0</v>
      </c>
      <c r="DF73" s="57">
        <v>0</v>
      </c>
      <c r="DG73" s="137">
        <v>0</v>
      </c>
      <c r="DH73" s="137">
        <v>0</v>
      </c>
      <c r="DI73" s="137">
        <v>0</v>
      </c>
      <c r="DJ73" s="137">
        <v>0</v>
      </c>
      <c r="DK73" s="137">
        <v>0</v>
      </c>
      <c r="DL73" s="137">
        <v>0</v>
      </c>
      <c r="DM73" s="137">
        <v>0</v>
      </c>
      <c r="DN73" s="137">
        <v>0</v>
      </c>
      <c r="DO73" s="137">
        <v>0</v>
      </c>
      <c r="DP73" s="137">
        <v>0</v>
      </c>
      <c r="DQ73" s="137">
        <v>0</v>
      </c>
      <c r="DR73" s="137">
        <v>0</v>
      </c>
      <c r="DS73" s="137">
        <v>0</v>
      </c>
      <c r="DT73" s="137">
        <v>0</v>
      </c>
      <c r="DU73" s="137">
        <v>0</v>
      </c>
      <c r="DV73" s="137">
        <v>0</v>
      </c>
      <c r="DW73" s="137">
        <v>0</v>
      </c>
      <c r="DX73" s="137">
        <v>0</v>
      </c>
      <c r="DY73" s="137">
        <v>0</v>
      </c>
      <c r="DZ73" s="137">
        <v>0</v>
      </c>
      <c r="EA73" s="137">
        <v>0</v>
      </c>
    </row>
    <row r="74" spans="1:131" x14ac:dyDescent="0.35">
      <c r="A74" s="90" t="e">
        <f>VLOOKUP(E74,'Validation List'!F75:G470,2,FALSE)</f>
        <v>#N/A</v>
      </c>
      <c r="B74" s="90" t="str">
        <f>INDEX('NEW HIRE ROSTER'!$G:$G,MATCH(RAW!F74,'NEW HIRE ROSTER'!$A:$A,0))</f>
        <v>Nesting</v>
      </c>
      <c r="C74" s="90" t="str">
        <f>INDEX('NEW HIRE ROSTER'!$F:$F,MATCH(RAW!F74,'NEW HIRE ROSTER'!$A:$A,0))</f>
        <v>Class 11.2</v>
      </c>
      <c r="D74" s="90" t="str">
        <f>INDEX('Validation List'!$H:$H,MATCH(RAW!E74,'Validation List'!$F:$F,0))</f>
        <v>Jan Week 2</v>
      </c>
      <c r="E74" s="89">
        <v>45673</v>
      </c>
      <c r="F74" s="56" t="s">
        <v>2023</v>
      </c>
      <c r="G74" s="90" t="str">
        <f>VLOOKUP(F74,ML!C58:D656,2,FALSE)</f>
        <v>Khyno Elimanco Cortez</v>
      </c>
      <c r="H74" s="90" t="str">
        <f>VLOOKUP(F74,ML!C58:E656,3,FALSE)</f>
        <v>QC</v>
      </c>
      <c r="I74" s="83" t="s">
        <v>2384</v>
      </c>
      <c r="J74" s="56" t="s">
        <v>209</v>
      </c>
      <c r="K74" s="56" t="s">
        <v>2413</v>
      </c>
      <c r="L74" s="56" t="s">
        <v>2420</v>
      </c>
      <c r="M74" s="154">
        <v>1</v>
      </c>
      <c r="N74" s="57">
        <v>0</v>
      </c>
      <c r="O74" s="57">
        <v>0</v>
      </c>
      <c r="P74" s="57">
        <v>0</v>
      </c>
      <c r="Q74" s="57">
        <v>0</v>
      </c>
      <c r="R74" s="57">
        <v>0</v>
      </c>
      <c r="S74" s="57">
        <v>0</v>
      </c>
      <c r="T74" s="57">
        <v>0</v>
      </c>
      <c r="U74" s="57">
        <v>0</v>
      </c>
      <c r="V74" s="57">
        <v>0</v>
      </c>
      <c r="W74" s="57">
        <v>0</v>
      </c>
      <c r="X74" s="57">
        <v>0</v>
      </c>
      <c r="Y74" s="57">
        <v>0</v>
      </c>
      <c r="Z74" s="57">
        <v>0</v>
      </c>
      <c r="AA74" s="57">
        <v>0</v>
      </c>
      <c r="AB74" s="57">
        <v>0</v>
      </c>
      <c r="AC74" s="57">
        <v>0</v>
      </c>
      <c r="AD74" s="57">
        <v>0</v>
      </c>
      <c r="AE74" s="57">
        <v>0</v>
      </c>
      <c r="AF74" s="57">
        <v>0</v>
      </c>
      <c r="AG74" s="57">
        <v>0</v>
      </c>
      <c r="AH74" s="57">
        <v>0</v>
      </c>
      <c r="AI74" s="57">
        <v>0</v>
      </c>
      <c r="AJ74" s="57">
        <v>0</v>
      </c>
      <c r="AK74" s="57">
        <v>0</v>
      </c>
      <c r="AL74" s="57">
        <v>0</v>
      </c>
      <c r="AM74" s="57">
        <v>0</v>
      </c>
      <c r="AN74" s="57">
        <v>0</v>
      </c>
      <c r="AO74" s="57">
        <v>0</v>
      </c>
      <c r="AP74" s="57">
        <v>0</v>
      </c>
      <c r="AQ74" s="57">
        <v>0</v>
      </c>
      <c r="AR74" s="57">
        <v>0</v>
      </c>
      <c r="AS74" s="57">
        <v>0</v>
      </c>
      <c r="AT74" s="57">
        <v>0</v>
      </c>
      <c r="AU74" s="57">
        <v>0</v>
      </c>
      <c r="AV74" s="57">
        <v>0</v>
      </c>
      <c r="AW74" s="57">
        <v>0</v>
      </c>
      <c r="AX74" s="57">
        <v>0</v>
      </c>
      <c r="AY74" s="57">
        <v>0</v>
      </c>
      <c r="AZ74" s="57">
        <v>0</v>
      </c>
      <c r="BA74" s="57">
        <v>0</v>
      </c>
      <c r="BB74" s="57">
        <v>0</v>
      </c>
      <c r="BC74" s="57">
        <v>0</v>
      </c>
      <c r="BD74" s="57">
        <v>0</v>
      </c>
      <c r="BE74" s="57">
        <v>0</v>
      </c>
      <c r="BF74" s="57">
        <v>0</v>
      </c>
      <c r="BG74" s="57">
        <v>0</v>
      </c>
      <c r="BH74" s="57">
        <v>0</v>
      </c>
      <c r="BI74" s="57">
        <v>0</v>
      </c>
      <c r="BJ74" s="57">
        <v>0</v>
      </c>
      <c r="BK74" s="57">
        <v>0</v>
      </c>
      <c r="BL74" s="57">
        <v>0</v>
      </c>
      <c r="BM74" s="57">
        <v>0</v>
      </c>
      <c r="BN74" s="57">
        <v>0</v>
      </c>
      <c r="BO74" s="57">
        <v>0</v>
      </c>
      <c r="BP74" s="57">
        <v>0</v>
      </c>
      <c r="BQ74" s="57">
        <v>0</v>
      </c>
      <c r="BR74" s="57">
        <v>0</v>
      </c>
      <c r="BS74" s="57">
        <v>0</v>
      </c>
      <c r="BT74" s="57">
        <v>0</v>
      </c>
      <c r="BU74" s="57">
        <v>0</v>
      </c>
      <c r="BV74" s="57">
        <v>0</v>
      </c>
      <c r="BW74" s="57">
        <v>0</v>
      </c>
      <c r="BX74" s="57">
        <v>0</v>
      </c>
      <c r="BY74" s="57">
        <v>0</v>
      </c>
      <c r="BZ74" s="57">
        <v>0</v>
      </c>
      <c r="CA74" s="57">
        <v>0</v>
      </c>
      <c r="CB74" s="57">
        <v>0</v>
      </c>
      <c r="CC74" s="57">
        <v>0</v>
      </c>
      <c r="CD74" s="57">
        <v>0</v>
      </c>
      <c r="CE74" s="57">
        <v>0</v>
      </c>
      <c r="CF74" s="57">
        <v>0</v>
      </c>
      <c r="CG74" s="57">
        <v>0</v>
      </c>
      <c r="CH74" s="57">
        <v>0</v>
      </c>
      <c r="CI74" s="57">
        <v>0</v>
      </c>
      <c r="CJ74" s="57">
        <v>0</v>
      </c>
      <c r="CK74" s="57">
        <v>0</v>
      </c>
      <c r="CL74" s="57">
        <v>0</v>
      </c>
      <c r="CM74" s="57">
        <v>0</v>
      </c>
      <c r="CN74" s="57">
        <v>0</v>
      </c>
      <c r="CO74" s="57">
        <v>0</v>
      </c>
      <c r="CP74" s="57">
        <v>0</v>
      </c>
      <c r="CQ74" s="57">
        <v>0</v>
      </c>
      <c r="CR74" s="57">
        <v>0</v>
      </c>
      <c r="CS74" s="57">
        <v>0</v>
      </c>
      <c r="CT74" s="57">
        <v>0</v>
      </c>
      <c r="CU74" s="57">
        <v>0</v>
      </c>
      <c r="CV74" s="57">
        <v>0</v>
      </c>
      <c r="CW74" s="57">
        <v>0</v>
      </c>
      <c r="CX74" s="57">
        <v>0</v>
      </c>
      <c r="CY74" s="57">
        <v>0</v>
      </c>
      <c r="CZ74" s="57">
        <v>0</v>
      </c>
      <c r="DA74" s="57">
        <v>0</v>
      </c>
      <c r="DB74" s="57">
        <v>0</v>
      </c>
      <c r="DC74" s="57">
        <v>0</v>
      </c>
      <c r="DD74" s="57">
        <v>0</v>
      </c>
      <c r="DE74" s="57">
        <v>0</v>
      </c>
      <c r="DF74" s="57">
        <v>0</v>
      </c>
      <c r="DG74" s="137">
        <v>0</v>
      </c>
      <c r="DH74" s="137">
        <v>0</v>
      </c>
      <c r="DI74" s="137">
        <v>0</v>
      </c>
      <c r="DJ74" s="137">
        <v>0</v>
      </c>
      <c r="DK74" s="137">
        <v>0</v>
      </c>
      <c r="DL74" s="137">
        <v>0</v>
      </c>
      <c r="DM74" s="137">
        <v>0</v>
      </c>
      <c r="DN74" s="137">
        <v>0</v>
      </c>
      <c r="DO74" s="137">
        <v>0</v>
      </c>
      <c r="DP74" s="137">
        <v>0</v>
      </c>
      <c r="DQ74" s="137">
        <v>0</v>
      </c>
      <c r="DR74" s="137">
        <v>0</v>
      </c>
      <c r="DS74" s="137">
        <v>0</v>
      </c>
      <c r="DT74" s="137">
        <v>0</v>
      </c>
      <c r="DU74" s="137">
        <v>0</v>
      </c>
      <c r="DV74" s="137">
        <v>0</v>
      </c>
      <c r="DW74" s="137">
        <v>0</v>
      </c>
      <c r="DX74" s="137">
        <v>0</v>
      </c>
      <c r="DY74" s="137">
        <v>0</v>
      </c>
      <c r="DZ74" s="137">
        <v>0</v>
      </c>
      <c r="EA74" s="137">
        <v>0</v>
      </c>
    </row>
    <row r="75" spans="1:131" x14ac:dyDescent="0.35">
      <c r="A75" s="90" t="e">
        <f>VLOOKUP(E75,'Validation List'!F76:G471,2,FALSE)</f>
        <v>#N/A</v>
      </c>
      <c r="B75" s="90" t="str">
        <f>INDEX('NEW HIRE ROSTER'!$G:$G,MATCH(RAW!F75,'NEW HIRE ROSTER'!$A:$A,0))</f>
        <v>Nesting</v>
      </c>
      <c r="C75" s="90" t="str">
        <f>INDEX('NEW HIRE ROSTER'!$F:$F,MATCH(RAW!F75,'NEW HIRE ROSTER'!$A:$A,0))</f>
        <v>Class 11.1</v>
      </c>
      <c r="D75" s="90" t="str">
        <f>INDEX('Validation List'!$H:$H,MATCH(RAW!E75,'Validation List'!$F:$F,0))</f>
        <v>Jan Week 2</v>
      </c>
      <c r="E75" s="89">
        <v>45673</v>
      </c>
      <c r="F75" s="56" t="s">
        <v>1475</v>
      </c>
      <c r="G75" s="90" t="str">
        <f>VLOOKUP(F75,ML!C:D,2,FALSE)</f>
        <v>Robin Antolihao Llamido</v>
      </c>
      <c r="H75" s="90" t="str">
        <f>VLOOKUP(F75,ML!C:E,3,FALSE)</f>
        <v>QC</v>
      </c>
      <c r="I75" s="83" t="s">
        <v>2379</v>
      </c>
      <c r="J75" s="56" t="s">
        <v>209</v>
      </c>
      <c r="K75" s="56" t="s">
        <v>2409</v>
      </c>
      <c r="L75" s="56" t="s">
        <v>2421</v>
      </c>
      <c r="M75" s="154">
        <v>0.96</v>
      </c>
      <c r="N75" s="57">
        <v>0</v>
      </c>
      <c r="O75" s="57">
        <v>0</v>
      </c>
      <c r="P75" s="57">
        <v>0</v>
      </c>
      <c r="Q75" s="57">
        <v>0</v>
      </c>
      <c r="R75" s="57">
        <v>0</v>
      </c>
      <c r="S75" s="57">
        <v>0</v>
      </c>
      <c r="T75" s="57">
        <v>0</v>
      </c>
      <c r="U75" s="57">
        <v>0</v>
      </c>
      <c r="V75" s="57">
        <v>0</v>
      </c>
      <c r="W75" s="57">
        <v>0</v>
      </c>
      <c r="X75" s="57">
        <v>0</v>
      </c>
      <c r="Y75" s="57">
        <v>0</v>
      </c>
      <c r="Z75" s="57">
        <v>0</v>
      </c>
      <c r="AA75" s="57">
        <v>0</v>
      </c>
      <c r="AB75" s="57">
        <v>0</v>
      </c>
      <c r="AC75" s="57">
        <v>0</v>
      </c>
      <c r="AD75" s="57">
        <v>0</v>
      </c>
      <c r="AE75" s="57">
        <v>0</v>
      </c>
      <c r="AF75" s="57">
        <v>0</v>
      </c>
      <c r="AG75" s="57">
        <v>0</v>
      </c>
      <c r="AH75" s="57">
        <v>0</v>
      </c>
      <c r="AI75" s="57">
        <v>0</v>
      </c>
      <c r="AJ75" s="57">
        <v>0</v>
      </c>
      <c r="AK75" s="57">
        <v>0</v>
      </c>
      <c r="AL75" s="57">
        <v>0</v>
      </c>
      <c r="AM75" s="57">
        <v>0</v>
      </c>
      <c r="AN75" s="57">
        <v>0</v>
      </c>
      <c r="AO75" s="57">
        <v>0</v>
      </c>
      <c r="AP75" s="57">
        <v>0</v>
      </c>
      <c r="AQ75" s="57">
        <v>0</v>
      </c>
      <c r="AR75" s="57">
        <v>0</v>
      </c>
      <c r="AS75" s="57">
        <v>0</v>
      </c>
      <c r="AT75" s="57">
        <v>0</v>
      </c>
      <c r="AU75" s="57">
        <v>0</v>
      </c>
      <c r="AV75" s="57">
        <v>0</v>
      </c>
      <c r="AW75" s="57">
        <v>0</v>
      </c>
      <c r="AX75" s="57">
        <v>0</v>
      </c>
      <c r="AY75" s="57">
        <v>0</v>
      </c>
      <c r="AZ75" s="57">
        <v>0</v>
      </c>
      <c r="BA75" s="57">
        <v>0</v>
      </c>
      <c r="BB75" s="57">
        <v>0</v>
      </c>
      <c r="BC75" s="57">
        <v>0</v>
      </c>
      <c r="BD75" s="57">
        <v>0</v>
      </c>
      <c r="BE75" s="57">
        <v>0</v>
      </c>
      <c r="BF75" s="57">
        <v>0</v>
      </c>
      <c r="BG75" s="57">
        <v>0</v>
      </c>
      <c r="BH75" s="57">
        <v>0</v>
      </c>
      <c r="BI75" s="57">
        <v>0</v>
      </c>
      <c r="BJ75" s="57">
        <v>0</v>
      </c>
      <c r="BK75" s="57">
        <v>0</v>
      </c>
      <c r="BL75" s="57">
        <v>0</v>
      </c>
      <c r="BM75" s="57">
        <v>0</v>
      </c>
      <c r="BN75" s="57">
        <v>0</v>
      </c>
      <c r="BO75" s="57">
        <v>0</v>
      </c>
      <c r="BP75" s="57">
        <v>0</v>
      </c>
      <c r="BQ75" s="57">
        <v>0</v>
      </c>
      <c r="BR75" s="57">
        <v>0</v>
      </c>
      <c r="BS75" s="57">
        <v>0</v>
      </c>
      <c r="BT75" s="57">
        <v>0</v>
      </c>
      <c r="BU75" s="57">
        <v>0</v>
      </c>
      <c r="BV75" s="57">
        <v>0</v>
      </c>
      <c r="BW75" s="57">
        <v>0</v>
      </c>
      <c r="BX75" s="57">
        <v>0</v>
      </c>
      <c r="BY75" s="57">
        <v>0</v>
      </c>
      <c r="BZ75" s="57">
        <v>0</v>
      </c>
      <c r="CA75" s="57">
        <v>0</v>
      </c>
      <c r="CB75" s="57">
        <v>0</v>
      </c>
      <c r="CC75" s="57">
        <v>0</v>
      </c>
      <c r="CD75" s="57">
        <v>0</v>
      </c>
      <c r="CE75" s="57">
        <v>0</v>
      </c>
      <c r="CF75" s="57">
        <v>0</v>
      </c>
      <c r="CG75" s="57">
        <v>0</v>
      </c>
      <c r="CH75" s="57">
        <v>0</v>
      </c>
      <c r="CI75" s="57">
        <v>0</v>
      </c>
      <c r="CJ75" s="57">
        <v>0</v>
      </c>
      <c r="CK75" s="57">
        <v>0</v>
      </c>
      <c r="CL75" s="57">
        <v>1</v>
      </c>
      <c r="CM75" s="57">
        <v>0</v>
      </c>
      <c r="CN75" s="57">
        <v>1</v>
      </c>
      <c r="CO75" s="57">
        <v>0</v>
      </c>
      <c r="CP75" s="57">
        <v>0</v>
      </c>
      <c r="CQ75" s="57">
        <v>0</v>
      </c>
      <c r="CR75" s="57">
        <v>0</v>
      </c>
      <c r="CS75" s="57">
        <v>0</v>
      </c>
      <c r="CT75" s="57">
        <v>0</v>
      </c>
      <c r="CU75" s="57">
        <v>0</v>
      </c>
      <c r="CV75" s="57">
        <v>0</v>
      </c>
      <c r="CW75" s="57">
        <v>0</v>
      </c>
      <c r="CX75" s="57">
        <v>0</v>
      </c>
      <c r="CY75" s="57">
        <v>0</v>
      </c>
      <c r="CZ75" s="57">
        <v>0</v>
      </c>
      <c r="DA75" s="57">
        <v>0</v>
      </c>
      <c r="DB75" s="57">
        <v>0</v>
      </c>
      <c r="DC75" s="57">
        <v>0</v>
      </c>
      <c r="DD75" s="57">
        <v>0</v>
      </c>
      <c r="DE75" s="57">
        <v>0</v>
      </c>
      <c r="DF75" s="57">
        <v>0</v>
      </c>
      <c r="DG75" s="137">
        <v>0</v>
      </c>
      <c r="DH75" s="137">
        <v>0</v>
      </c>
      <c r="DI75" s="137">
        <v>0</v>
      </c>
      <c r="DJ75" s="137">
        <v>0</v>
      </c>
      <c r="DK75" s="137">
        <v>0</v>
      </c>
      <c r="DL75" s="137">
        <v>0</v>
      </c>
      <c r="DM75" s="137">
        <v>0</v>
      </c>
      <c r="DN75" s="137">
        <v>0</v>
      </c>
      <c r="DO75" s="137">
        <v>0</v>
      </c>
      <c r="DP75" s="137">
        <v>0</v>
      </c>
      <c r="DQ75" s="137">
        <v>0</v>
      </c>
      <c r="DR75" s="137">
        <v>0</v>
      </c>
      <c r="DS75" s="137">
        <v>0</v>
      </c>
      <c r="DT75" s="137">
        <v>0</v>
      </c>
      <c r="DU75" s="137">
        <v>0</v>
      </c>
      <c r="DV75" s="137">
        <v>0</v>
      </c>
      <c r="DW75" s="137">
        <v>0</v>
      </c>
      <c r="DX75" s="137">
        <v>0</v>
      </c>
      <c r="DY75" s="137">
        <v>0</v>
      </c>
      <c r="DZ75" s="137">
        <v>0</v>
      </c>
      <c r="EA75" s="137">
        <v>0</v>
      </c>
    </row>
    <row r="76" spans="1:131" x14ac:dyDescent="0.35">
      <c r="A76" s="90" t="e">
        <f>VLOOKUP(E76,'Validation List'!F77:G472,2,FALSE)</f>
        <v>#N/A</v>
      </c>
      <c r="B76" s="90" t="str">
        <f>INDEX('NEW HIRE ROSTER'!$G:$G,MATCH(RAW!F76,'NEW HIRE ROSTER'!$A:$A,0))</f>
        <v>Nesting</v>
      </c>
      <c r="C76" s="90" t="str">
        <f>INDEX('NEW HIRE ROSTER'!$F:$F,MATCH(RAW!F76,'NEW HIRE ROSTER'!$A:$A,0))</f>
        <v>Class 11.2</v>
      </c>
      <c r="D76" s="90" t="str">
        <f>INDEX('Validation List'!$H:$H,MATCH(RAW!E76,'Validation List'!$F:$F,0))</f>
        <v>Jan Week 2</v>
      </c>
      <c r="E76" s="89">
        <v>45673</v>
      </c>
      <c r="F76" s="56" t="s">
        <v>2029</v>
      </c>
      <c r="G76" s="90" t="str">
        <f>VLOOKUP(F76,ML!C60:D658,2,FALSE)</f>
        <v>Khyno Elimanco Cortez</v>
      </c>
      <c r="H76" s="90" t="str">
        <f>VLOOKUP(F76,ML!C60:E658,3,FALSE)</f>
        <v>QC</v>
      </c>
      <c r="I76" s="83" t="s">
        <v>2382</v>
      </c>
      <c r="J76" s="56" t="s">
        <v>209</v>
      </c>
      <c r="K76" s="56" t="s">
        <v>2410</v>
      </c>
      <c r="L76" s="56" t="s">
        <v>2422</v>
      </c>
      <c r="M76" s="154">
        <v>0.84</v>
      </c>
      <c r="N76" s="57">
        <v>0</v>
      </c>
      <c r="O76" s="57">
        <v>0</v>
      </c>
      <c r="P76" s="57">
        <v>0</v>
      </c>
      <c r="Q76" s="57">
        <v>0</v>
      </c>
      <c r="R76" s="57">
        <v>0</v>
      </c>
      <c r="S76" s="57">
        <v>0</v>
      </c>
      <c r="T76" s="57">
        <v>1</v>
      </c>
      <c r="U76" s="57">
        <v>0</v>
      </c>
      <c r="V76" s="57">
        <v>0</v>
      </c>
      <c r="W76" s="57">
        <v>0</v>
      </c>
      <c r="X76" s="57">
        <v>0</v>
      </c>
      <c r="Y76" s="57">
        <v>0</v>
      </c>
      <c r="Z76" s="57">
        <v>0</v>
      </c>
      <c r="AA76" s="57">
        <v>0</v>
      </c>
      <c r="AB76" s="57">
        <v>0</v>
      </c>
      <c r="AC76" s="57">
        <v>0</v>
      </c>
      <c r="AD76" s="57">
        <v>0</v>
      </c>
      <c r="AE76" s="57">
        <v>0</v>
      </c>
      <c r="AF76" s="57">
        <v>0</v>
      </c>
      <c r="AG76" s="57">
        <v>0</v>
      </c>
      <c r="AH76" s="57">
        <v>0</v>
      </c>
      <c r="AI76" s="57">
        <v>0</v>
      </c>
      <c r="AJ76" s="57">
        <v>0</v>
      </c>
      <c r="AK76" s="57">
        <v>0</v>
      </c>
      <c r="AL76" s="57">
        <v>0</v>
      </c>
      <c r="AM76" s="57">
        <v>0</v>
      </c>
      <c r="AN76" s="57">
        <v>0</v>
      </c>
      <c r="AO76" s="57">
        <v>0</v>
      </c>
      <c r="AP76" s="57">
        <v>0</v>
      </c>
      <c r="AQ76" s="57">
        <v>0</v>
      </c>
      <c r="AR76" s="57">
        <v>0</v>
      </c>
      <c r="AS76" s="57">
        <v>0</v>
      </c>
      <c r="AT76" s="57">
        <v>0</v>
      </c>
      <c r="AU76" s="57">
        <v>0</v>
      </c>
      <c r="AV76" s="57">
        <v>0</v>
      </c>
      <c r="AW76" s="57">
        <v>0</v>
      </c>
      <c r="AX76" s="57">
        <v>0</v>
      </c>
      <c r="AY76" s="57">
        <v>0</v>
      </c>
      <c r="AZ76" s="57">
        <v>0</v>
      </c>
      <c r="BA76" s="57">
        <v>0</v>
      </c>
      <c r="BB76" s="57">
        <v>0</v>
      </c>
      <c r="BC76" s="57">
        <v>0</v>
      </c>
      <c r="BD76" s="57">
        <v>0</v>
      </c>
      <c r="BE76" s="57">
        <v>0</v>
      </c>
      <c r="BF76" s="57">
        <v>0</v>
      </c>
      <c r="BG76" s="57">
        <v>0</v>
      </c>
      <c r="BH76" s="57">
        <v>0</v>
      </c>
      <c r="BI76" s="57">
        <v>0</v>
      </c>
      <c r="BJ76" s="57">
        <v>0</v>
      </c>
      <c r="BK76" s="57">
        <v>0</v>
      </c>
      <c r="BL76" s="57">
        <v>0</v>
      </c>
      <c r="BM76" s="57">
        <v>0</v>
      </c>
      <c r="BN76" s="57">
        <v>0</v>
      </c>
      <c r="BO76" s="57">
        <v>0</v>
      </c>
      <c r="BP76" s="57">
        <v>0</v>
      </c>
      <c r="BQ76" s="57">
        <v>0</v>
      </c>
      <c r="BR76" s="57">
        <v>0</v>
      </c>
      <c r="BS76" s="57">
        <v>0</v>
      </c>
      <c r="BT76" s="57">
        <v>0</v>
      </c>
      <c r="BU76" s="57">
        <v>0</v>
      </c>
      <c r="BV76" s="57">
        <v>0</v>
      </c>
      <c r="BW76" s="57">
        <v>0</v>
      </c>
      <c r="BX76" s="57">
        <v>0</v>
      </c>
      <c r="BY76" s="57">
        <v>0</v>
      </c>
      <c r="BZ76" s="57">
        <v>0</v>
      </c>
      <c r="CA76" s="57">
        <v>0</v>
      </c>
      <c r="CB76" s="57">
        <v>0</v>
      </c>
      <c r="CC76" s="57">
        <v>0</v>
      </c>
      <c r="CD76" s="57">
        <v>0</v>
      </c>
      <c r="CE76" s="57">
        <v>0</v>
      </c>
      <c r="CF76" s="57">
        <v>0</v>
      </c>
      <c r="CG76" s="57">
        <v>0</v>
      </c>
      <c r="CH76" s="57">
        <v>0</v>
      </c>
      <c r="CI76" s="57">
        <v>0</v>
      </c>
      <c r="CJ76" s="57">
        <v>0</v>
      </c>
      <c r="CK76" s="57">
        <v>0</v>
      </c>
      <c r="CL76" s="57">
        <v>0</v>
      </c>
      <c r="CM76" s="57">
        <v>0</v>
      </c>
      <c r="CN76" s="57">
        <v>0</v>
      </c>
      <c r="CO76" s="57">
        <v>0</v>
      </c>
      <c r="CP76" s="57">
        <v>0</v>
      </c>
      <c r="CQ76" s="57">
        <v>0</v>
      </c>
      <c r="CR76" s="57">
        <v>0</v>
      </c>
      <c r="CS76" s="57">
        <v>0</v>
      </c>
      <c r="CT76" s="57">
        <v>0</v>
      </c>
      <c r="CU76" s="57">
        <v>0</v>
      </c>
      <c r="CV76" s="57">
        <v>0</v>
      </c>
      <c r="CW76" s="57">
        <v>0</v>
      </c>
      <c r="CX76" s="57">
        <v>0</v>
      </c>
      <c r="CY76" s="57">
        <v>0</v>
      </c>
      <c r="CZ76" s="57">
        <v>0</v>
      </c>
      <c r="DA76" s="57">
        <v>0</v>
      </c>
      <c r="DB76" s="57">
        <v>0</v>
      </c>
      <c r="DC76" s="57">
        <v>0</v>
      </c>
      <c r="DD76" s="57">
        <v>0</v>
      </c>
      <c r="DE76" s="57">
        <v>0</v>
      </c>
      <c r="DF76" s="57">
        <v>1</v>
      </c>
      <c r="DG76" s="137">
        <v>0</v>
      </c>
      <c r="DH76" s="137">
        <v>0</v>
      </c>
      <c r="DI76" s="137">
        <v>0</v>
      </c>
      <c r="DJ76" s="137">
        <v>0</v>
      </c>
      <c r="DK76" s="137">
        <v>0</v>
      </c>
      <c r="DL76" s="137">
        <v>0</v>
      </c>
      <c r="DM76" s="137">
        <v>0</v>
      </c>
      <c r="DN76" s="137">
        <v>0</v>
      </c>
      <c r="DO76" s="137">
        <v>0</v>
      </c>
      <c r="DP76" s="137">
        <v>0</v>
      </c>
      <c r="DQ76" s="137">
        <v>0</v>
      </c>
      <c r="DR76" s="137">
        <v>0</v>
      </c>
      <c r="DS76" s="137">
        <v>0</v>
      </c>
      <c r="DT76" s="137">
        <v>0</v>
      </c>
      <c r="DU76" s="137">
        <v>0</v>
      </c>
      <c r="DV76" s="137">
        <v>0</v>
      </c>
      <c r="DW76" s="137">
        <v>0</v>
      </c>
      <c r="DX76" s="137">
        <v>0</v>
      </c>
      <c r="DY76" s="137">
        <v>0</v>
      </c>
      <c r="DZ76" s="137">
        <v>0</v>
      </c>
      <c r="EA76" s="137">
        <v>0</v>
      </c>
    </row>
    <row r="77" spans="1:131" x14ac:dyDescent="0.35">
      <c r="A77" s="90" t="e">
        <f>VLOOKUP(E77,'Validation List'!F78:G473,2,FALSE)</f>
        <v>#N/A</v>
      </c>
      <c r="B77" s="90" t="str">
        <f>INDEX('NEW HIRE ROSTER'!$G:$G,MATCH(RAW!F77,'NEW HIRE ROSTER'!$A:$A,0))</f>
        <v>Nesting</v>
      </c>
      <c r="C77" s="90" t="str">
        <f>INDEX('NEW HIRE ROSTER'!$F:$F,MATCH(RAW!F77,'NEW HIRE ROSTER'!$A:$A,0))</f>
        <v>Class 11.2</v>
      </c>
      <c r="D77" s="90" t="str">
        <f>INDEX('Validation List'!$H:$H,MATCH(RAW!E77,'Validation List'!$F:$F,0))</f>
        <v>Jan Week 2</v>
      </c>
      <c r="E77" s="89">
        <v>45673</v>
      </c>
      <c r="F77" s="56" t="s">
        <v>2014</v>
      </c>
      <c r="G77" s="90" t="str">
        <f>VLOOKUP(F77,ML!C61:D659,2,FALSE)</f>
        <v>Khyno Elimanco Cortez</v>
      </c>
      <c r="H77" s="90" t="str">
        <f>VLOOKUP(F77,ML!C61:E659,3,FALSE)</f>
        <v>QC</v>
      </c>
      <c r="I77" s="83" t="s">
        <v>2382</v>
      </c>
      <c r="J77" s="56" t="s">
        <v>209</v>
      </c>
      <c r="K77" s="56" t="s">
        <v>2413</v>
      </c>
      <c r="L77" s="56" t="s">
        <v>2423</v>
      </c>
      <c r="M77" s="154">
        <v>1</v>
      </c>
      <c r="N77" s="57">
        <v>0</v>
      </c>
      <c r="O77" s="57">
        <v>0</v>
      </c>
      <c r="P77" s="57">
        <v>0</v>
      </c>
      <c r="Q77" s="57">
        <v>0</v>
      </c>
      <c r="R77" s="57">
        <v>0</v>
      </c>
      <c r="S77" s="57">
        <v>0</v>
      </c>
      <c r="T77" s="57">
        <v>0</v>
      </c>
      <c r="U77" s="57">
        <v>0</v>
      </c>
      <c r="V77" s="57">
        <v>0</v>
      </c>
      <c r="W77" s="57">
        <v>0</v>
      </c>
      <c r="X77" s="57">
        <v>0</v>
      </c>
      <c r="Y77" s="57">
        <v>0</v>
      </c>
      <c r="Z77" s="57">
        <v>0</v>
      </c>
      <c r="AA77" s="57">
        <v>0</v>
      </c>
      <c r="AB77" s="57">
        <v>0</v>
      </c>
      <c r="AC77" s="57">
        <v>0</v>
      </c>
      <c r="AD77" s="57">
        <v>0</v>
      </c>
      <c r="AE77" s="57">
        <v>0</v>
      </c>
      <c r="AF77" s="57">
        <v>0</v>
      </c>
      <c r="AG77" s="57">
        <v>0</v>
      </c>
      <c r="AH77" s="57">
        <v>0</v>
      </c>
      <c r="AI77" s="57">
        <v>0</v>
      </c>
      <c r="AJ77" s="57">
        <v>0</v>
      </c>
      <c r="AK77" s="57">
        <v>0</v>
      </c>
      <c r="AL77" s="57">
        <v>0</v>
      </c>
      <c r="AM77" s="57">
        <v>0</v>
      </c>
      <c r="AN77" s="57">
        <v>0</v>
      </c>
      <c r="AO77" s="57">
        <v>0</v>
      </c>
      <c r="AP77" s="57">
        <v>0</v>
      </c>
      <c r="AQ77" s="57">
        <v>0</v>
      </c>
      <c r="AR77" s="57">
        <v>0</v>
      </c>
      <c r="AS77" s="57">
        <v>0</v>
      </c>
      <c r="AT77" s="57">
        <v>0</v>
      </c>
      <c r="AU77" s="57">
        <v>0</v>
      </c>
      <c r="AV77" s="57">
        <v>0</v>
      </c>
      <c r="AW77" s="57">
        <v>0</v>
      </c>
      <c r="AX77" s="57">
        <v>0</v>
      </c>
      <c r="AY77" s="57">
        <v>0</v>
      </c>
      <c r="AZ77" s="57">
        <v>0</v>
      </c>
      <c r="BA77" s="57">
        <v>0</v>
      </c>
      <c r="BB77" s="57">
        <v>0</v>
      </c>
      <c r="BC77" s="57">
        <v>0</v>
      </c>
      <c r="BD77" s="57">
        <v>0</v>
      </c>
      <c r="BE77" s="57">
        <v>0</v>
      </c>
      <c r="BF77" s="57">
        <v>0</v>
      </c>
      <c r="BG77" s="57">
        <v>0</v>
      </c>
      <c r="BH77" s="57">
        <v>0</v>
      </c>
      <c r="BI77" s="57">
        <v>0</v>
      </c>
      <c r="BJ77" s="57">
        <v>0</v>
      </c>
      <c r="BK77" s="57">
        <v>0</v>
      </c>
      <c r="BL77" s="57">
        <v>0</v>
      </c>
      <c r="BM77" s="57">
        <v>0</v>
      </c>
      <c r="BN77" s="57">
        <v>0</v>
      </c>
      <c r="BO77" s="57">
        <v>0</v>
      </c>
      <c r="BP77" s="57">
        <v>0</v>
      </c>
      <c r="BQ77" s="57">
        <v>0</v>
      </c>
      <c r="BR77" s="57">
        <v>0</v>
      </c>
      <c r="BS77" s="57">
        <v>0</v>
      </c>
      <c r="BT77" s="57">
        <v>0</v>
      </c>
      <c r="BU77" s="57">
        <v>0</v>
      </c>
      <c r="BV77" s="57">
        <v>0</v>
      </c>
      <c r="BW77" s="57">
        <v>0</v>
      </c>
      <c r="BX77" s="57">
        <v>0</v>
      </c>
      <c r="BY77" s="57">
        <v>0</v>
      </c>
      <c r="BZ77" s="57">
        <v>0</v>
      </c>
      <c r="CA77" s="57">
        <v>0</v>
      </c>
      <c r="CB77" s="57">
        <v>0</v>
      </c>
      <c r="CC77" s="57">
        <v>0</v>
      </c>
      <c r="CD77" s="57">
        <v>0</v>
      </c>
      <c r="CE77" s="57">
        <v>0</v>
      </c>
      <c r="CF77" s="57">
        <v>0</v>
      </c>
      <c r="CG77" s="57">
        <v>0</v>
      </c>
      <c r="CH77" s="57">
        <v>0</v>
      </c>
      <c r="CI77" s="57">
        <v>0</v>
      </c>
      <c r="CJ77" s="57">
        <v>0</v>
      </c>
      <c r="CK77" s="57">
        <v>0</v>
      </c>
      <c r="CL77" s="57">
        <v>0</v>
      </c>
      <c r="CM77" s="57">
        <v>0</v>
      </c>
      <c r="CN77" s="57">
        <v>0</v>
      </c>
      <c r="CO77" s="57">
        <v>0</v>
      </c>
      <c r="CP77" s="57">
        <v>0</v>
      </c>
      <c r="CQ77" s="57">
        <v>0</v>
      </c>
      <c r="CR77" s="57">
        <v>0</v>
      </c>
      <c r="CS77" s="57">
        <v>0</v>
      </c>
      <c r="CT77" s="57">
        <v>0</v>
      </c>
      <c r="CU77" s="57">
        <v>0</v>
      </c>
      <c r="CV77" s="57">
        <v>0</v>
      </c>
      <c r="CW77" s="57">
        <v>0</v>
      </c>
      <c r="CX77" s="57">
        <v>0</v>
      </c>
      <c r="CY77" s="57">
        <v>0</v>
      </c>
      <c r="CZ77" s="57">
        <v>0</v>
      </c>
      <c r="DA77" s="57">
        <v>0</v>
      </c>
      <c r="DB77" s="57">
        <v>0</v>
      </c>
      <c r="DC77" s="57">
        <v>0</v>
      </c>
      <c r="DD77" s="57">
        <v>0</v>
      </c>
      <c r="DE77" s="57">
        <v>0</v>
      </c>
      <c r="DF77" s="57">
        <v>0</v>
      </c>
      <c r="DG77" s="137">
        <v>0</v>
      </c>
      <c r="DH77" s="137">
        <v>0</v>
      </c>
      <c r="DI77" s="137">
        <v>0</v>
      </c>
      <c r="DJ77" s="137">
        <v>0</v>
      </c>
      <c r="DK77" s="137">
        <v>0</v>
      </c>
      <c r="DL77" s="137">
        <v>0</v>
      </c>
      <c r="DM77" s="137">
        <v>0</v>
      </c>
      <c r="DN77" s="137">
        <v>0</v>
      </c>
      <c r="DO77" s="137">
        <v>0</v>
      </c>
      <c r="DP77" s="137">
        <v>0</v>
      </c>
      <c r="DQ77" s="137">
        <v>0</v>
      </c>
      <c r="DR77" s="137">
        <v>0</v>
      </c>
      <c r="DS77" s="137">
        <v>0</v>
      </c>
      <c r="DT77" s="137">
        <v>0</v>
      </c>
      <c r="DU77" s="137">
        <v>0</v>
      </c>
      <c r="DV77" s="137">
        <v>0</v>
      </c>
      <c r="DW77" s="137">
        <v>0</v>
      </c>
      <c r="DX77" s="137">
        <v>0</v>
      </c>
      <c r="DY77" s="137">
        <v>0</v>
      </c>
      <c r="DZ77" s="137">
        <v>0</v>
      </c>
      <c r="EA77" s="137">
        <v>0</v>
      </c>
    </row>
    <row r="78" spans="1:131" x14ac:dyDescent="0.35">
      <c r="A78" s="90" t="e">
        <f>VLOOKUP(E78,'Validation List'!F79:G474,2,FALSE)</f>
        <v>#N/A</v>
      </c>
      <c r="B78" s="90" t="str">
        <f>INDEX('NEW HIRE ROSTER'!$G:$G,MATCH(RAW!F78,'NEW HIRE ROSTER'!$A:$A,0))</f>
        <v>Nesting</v>
      </c>
      <c r="C78" s="90" t="str">
        <f>INDEX('NEW HIRE ROSTER'!$F:$F,MATCH(RAW!F78,'NEW HIRE ROSTER'!$A:$A,0))</f>
        <v>Class 11.2</v>
      </c>
      <c r="D78" s="90" t="str">
        <f>INDEX('Validation List'!$H:$H,MATCH(RAW!E78,'Validation List'!$F:$F,0))</f>
        <v>Jan Week 2</v>
      </c>
      <c r="E78" s="89">
        <v>45673</v>
      </c>
      <c r="F78" s="56" t="s">
        <v>1993</v>
      </c>
      <c r="G78" s="90" t="str">
        <f>VLOOKUP(F78,ML!C62:D660,2,FALSE)</f>
        <v>Khyno Elimanco Cortez</v>
      </c>
      <c r="H78" s="90" t="str">
        <f>VLOOKUP(F78,ML!C62:E660,3,FALSE)</f>
        <v>QC</v>
      </c>
      <c r="I78" s="83" t="s">
        <v>2382</v>
      </c>
      <c r="J78" s="56" t="s">
        <v>209</v>
      </c>
      <c r="K78" s="56" t="s">
        <v>2411</v>
      </c>
      <c r="L78" s="56" t="s">
        <v>2424</v>
      </c>
      <c r="M78" s="154">
        <v>0.91</v>
      </c>
      <c r="N78" s="57">
        <v>0</v>
      </c>
      <c r="O78" s="57">
        <v>0</v>
      </c>
      <c r="P78" s="57">
        <v>0</v>
      </c>
      <c r="Q78" s="57">
        <v>0</v>
      </c>
      <c r="R78" s="57">
        <v>0</v>
      </c>
      <c r="S78" s="57">
        <v>0</v>
      </c>
      <c r="T78" s="57">
        <v>0</v>
      </c>
      <c r="U78" s="57">
        <v>0</v>
      </c>
      <c r="V78" s="57">
        <v>0</v>
      </c>
      <c r="W78" s="57">
        <v>0</v>
      </c>
      <c r="X78" s="57">
        <v>0</v>
      </c>
      <c r="Y78" s="57">
        <v>0</v>
      </c>
      <c r="Z78" s="57">
        <v>0</v>
      </c>
      <c r="AA78" s="57">
        <v>0</v>
      </c>
      <c r="AB78" s="57">
        <v>0</v>
      </c>
      <c r="AC78" s="57">
        <v>0</v>
      </c>
      <c r="AD78" s="57">
        <v>0</v>
      </c>
      <c r="AE78" s="57">
        <v>0</v>
      </c>
      <c r="AF78" s="57">
        <v>0</v>
      </c>
      <c r="AG78" s="57">
        <v>0</v>
      </c>
      <c r="AH78" s="57">
        <v>0</v>
      </c>
      <c r="AI78" s="57">
        <v>0</v>
      </c>
      <c r="AJ78" s="57">
        <v>0</v>
      </c>
      <c r="AK78" s="57">
        <v>0</v>
      </c>
      <c r="AL78" s="57">
        <v>0</v>
      </c>
      <c r="AM78" s="57">
        <v>0</v>
      </c>
      <c r="AN78" s="57">
        <v>0</v>
      </c>
      <c r="AO78" s="57">
        <v>0</v>
      </c>
      <c r="AP78" s="57">
        <v>0</v>
      </c>
      <c r="AQ78" s="57">
        <v>0</v>
      </c>
      <c r="AR78" s="57">
        <v>0</v>
      </c>
      <c r="AS78" s="57">
        <v>0</v>
      </c>
      <c r="AT78" s="57">
        <v>0</v>
      </c>
      <c r="AU78" s="57">
        <v>0</v>
      </c>
      <c r="AV78" s="57">
        <v>0</v>
      </c>
      <c r="AW78" s="57">
        <v>0</v>
      </c>
      <c r="AX78" s="57">
        <v>0</v>
      </c>
      <c r="AY78" s="57">
        <v>0</v>
      </c>
      <c r="AZ78" s="57">
        <v>0</v>
      </c>
      <c r="BA78" s="57">
        <v>0</v>
      </c>
      <c r="BB78" s="57">
        <v>0</v>
      </c>
      <c r="BC78" s="57">
        <v>0</v>
      </c>
      <c r="BD78" s="57">
        <v>0</v>
      </c>
      <c r="BE78" s="57">
        <v>0</v>
      </c>
      <c r="BF78" s="57">
        <v>0</v>
      </c>
      <c r="BG78" s="57">
        <v>0</v>
      </c>
      <c r="BH78" s="57">
        <v>0</v>
      </c>
      <c r="BI78" s="57">
        <v>0</v>
      </c>
      <c r="BJ78" s="57">
        <v>0</v>
      </c>
      <c r="BK78" s="57">
        <v>0</v>
      </c>
      <c r="BL78" s="57">
        <v>0</v>
      </c>
      <c r="BM78" s="57">
        <v>0</v>
      </c>
      <c r="BN78" s="57">
        <v>0</v>
      </c>
      <c r="BO78" s="57">
        <v>0</v>
      </c>
      <c r="BP78" s="57">
        <v>0</v>
      </c>
      <c r="BQ78" s="57">
        <v>0</v>
      </c>
      <c r="BR78" s="57">
        <v>0</v>
      </c>
      <c r="BS78" s="57">
        <v>0</v>
      </c>
      <c r="BT78" s="57">
        <v>0</v>
      </c>
      <c r="BU78" s="57">
        <v>0</v>
      </c>
      <c r="BV78" s="57">
        <v>0</v>
      </c>
      <c r="BW78" s="57">
        <v>0</v>
      </c>
      <c r="BX78" s="57">
        <v>0</v>
      </c>
      <c r="BY78" s="57">
        <v>0</v>
      </c>
      <c r="BZ78" s="57">
        <v>0</v>
      </c>
      <c r="CA78" s="57">
        <v>0</v>
      </c>
      <c r="CB78" s="57">
        <v>0</v>
      </c>
      <c r="CC78" s="57">
        <v>1</v>
      </c>
      <c r="CD78" s="57">
        <v>0</v>
      </c>
      <c r="CE78" s="57">
        <v>0</v>
      </c>
      <c r="CF78" s="57">
        <v>0</v>
      </c>
      <c r="CG78" s="57">
        <v>0</v>
      </c>
      <c r="CH78" s="57">
        <v>0</v>
      </c>
      <c r="CI78" s="57">
        <v>0</v>
      </c>
      <c r="CJ78" s="57">
        <v>0</v>
      </c>
      <c r="CK78" s="57">
        <v>0</v>
      </c>
      <c r="CL78" s="57">
        <v>0</v>
      </c>
      <c r="CM78" s="57">
        <v>0</v>
      </c>
      <c r="CN78" s="57">
        <v>0</v>
      </c>
      <c r="CO78" s="57">
        <v>0</v>
      </c>
      <c r="CP78" s="57">
        <v>0</v>
      </c>
      <c r="CQ78" s="57">
        <v>0</v>
      </c>
      <c r="CR78" s="57">
        <v>0</v>
      </c>
      <c r="CS78" s="57">
        <v>0</v>
      </c>
      <c r="CT78" s="57">
        <v>0</v>
      </c>
      <c r="CU78" s="57">
        <v>1</v>
      </c>
      <c r="CV78" s="57">
        <v>0</v>
      </c>
      <c r="CW78" s="57">
        <v>0</v>
      </c>
      <c r="CX78" s="57">
        <v>0</v>
      </c>
      <c r="CY78" s="57">
        <v>0</v>
      </c>
      <c r="CZ78" s="57">
        <v>0</v>
      </c>
      <c r="DA78" s="57">
        <v>0</v>
      </c>
      <c r="DB78" s="57">
        <v>1</v>
      </c>
      <c r="DC78" s="57">
        <v>0</v>
      </c>
      <c r="DD78" s="57">
        <v>0</v>
      </c>
      <c r="DE78" s="57">
        <v>0</v>
      </c>
      <c r="DF78" s="57">
        <v>0</v>
      </c>
      <c r="DG78" s="137">
        <v>0</v>
      </c>
      <c r="DH78" s="137">
        <v>0</v>
      </c>
      <c r="DI78" s="137">
        <v>0</v>
      </c>
      <c r="DJ78" s="137">
        <v>0</v>
      </c>
      <c r="DK78" s="137">
        <v>0</v>
      </c>
      <c r="DL78" s="137">
        <v>0</v>
      </c>
      <c r="DM78" s="137">
        <v>0</v>
      </c>
      <c r="DN78" s="137">
        <v>0</v>
      </c>
      <c r="DO78" s="137">
        <v>0</v>
      </c>
      <c r="DP78" s="137">
        <v>0</v>
      </c>
      <c r="DQ78" s="137">
        <v>0</v>
      </c>
      <c r="DR78" s="137">
        <v>0</v>
      </c>
      <c r="DS78" s="137">
        <v>0</v>
      </c>
      <c r="DT78" s="137">
        <v>0</v>
      </c>
      <c r="DU78" s="137">
        <v>0</v>
      </c>
      <c r="DV78" s="137">
        <v>0</v>
      </c>
      <c r="DW78" s="137">
        <v>0</v>
      </c>
      <c r="DX78" s="137">
        <v>0</v>
      </c>
      <c r="DY78" s="137">
        <v>0</v>
      </c>
      <c r="DZ78" s="137">
        <v>0</v>
      </c>
      <c r="EA78" s="137">
        <v>0</v>
      </c>
    </row>
    <row r="79" spans="1:131" x14ac:dyDescent="0.35">
      <c r="A79" s="90" t="e">
        <f>VLOOKUP(E79,'Validation List'!F80:G475,2,FALSE)</f>
        <v>#N/A</v>
      </c>
      <c r="B79" s="90" t="str">
        <f>INDEX('NEW HIRE ROSTER'!$G:$G,MATCH(RAW!F79,'NEW HIRE ROSTER'!$A:$A,0))</f>
        <v>Nesting</v>
      </c>
      <c r="C79" s="90" t="str">
        <f>INDEX('NEW HIRE ROSTER'!$F:$F,MATCH(RAW!F79,'NEW HIRE ROSTER'!$A:$A,0))</f>
        <v>Class 11.2</v>
      </c>
      <c r="D79" s="90" t="str">
        <f>INDEX('Validation List'!$H:$H,MATCH(RAW!E79,'Validation List'!$F:$F,0))</f>
        <v>Jan Week 2</v>
      </c>
      <c r="E79" s="89">
        <v>45673</v>
      </c>
      <c r="F79" s="56" t="s">
        <v>2011</v>
      </c>
      <c r="G79" s="90" t="str">
        <f>VLOOKUP(F79,ML!C63:D661,2,FALSE)</f>
        <v>Khyno Elimanco Cortez</v>
      </c>
      <c r="H79" s="90" t="str">
        <f>VLOOKUP(F79,ML!C63:E661,3,FALSE)</f>
        <v>QC</v>
      </c>
      <c r="I79" s="83" t="s">
        <v>2382</v>
      </c>
      <c r="J79" s="56" t="s">
        <v>209</v>
      </c>
      <c r="K79" s="56" t="s">
        <v>2409</v>
      </c>
      <c r="L79" s="56" t="s">
        <v>2425</v>
      </c>
      <c r="M79" s="154">
        <v>0.94</v>
      </c>
      <c r="N79" s="57">
        <v>0</v>
      </c>
      <c r="O79" s="57">
        <v>0</v>
      </c>
      <c r="P79" s="57">
        <v>0</v>
      </c>
      <c r="Q79" s="57">
        <v>0</v>
      </c>
      <c r="R79" s="57">
        <v>0</v>
      </c>
      <c r="S79" s="57">
        <v>0</v>
      </c>
      <c r="T79" s="57">
        <v>0</v>
      </c>
      <c r="U79" s="57">
        <v>0</v>
      </c>
      <c r="V79" s="57">
        <v>0</v>
      </c>
      <c r="W79" s="57">
        <v>0</v>
      </c>
      <c r="X79" s="57">
        <v>0</v>
      </c>
      <c r="Y79" s="57">
        <v>0</v>
      </c>
      <c r="Z79" s="57">
        <v>0</v>
      </c>
      <c r="AA79" s="57">
        <v>0</v>
      </c>
      <c r="AB79" s="57">
        <v>0</v>
      </c>
      <c r="AC79" s="57">
        <v>0</v>
      </c>
      <c r="AD79" s="57">
        <v>0</v>
      </c>
      <c r="AE79" s="57">
        <v>0</v>
      </c>
      <c r="AF79" s="57">
        <v>0</v>
      </c>
      <c r="AG79" s="57">
        <v>0</v>
      </c>
      <c r="AH79" s="57">
        <v>0</v>
      </c>
      <c r="AI79" s="57">
        <v>0</v>
      </c>
      <c r="AJ79" s="57">
        <v>0</v>
      </c>
      <c r="AK79" s="57">
        <v>0</v>
      </c>
      <c r="AL79" s="57">
        <v>0</v>
      </c>
      <c r="AM79" s="57">
        <v>0</v>
      </c>
      <c r="AN79" s="57">
        <v>0</v>
      </c>
      <c r="AO79" s="57">
        <v>0</v>
      </c>
      <c r="AP79" s="57">
        <v>0</v>
      </c>
      <c r="AQ79" s="57">
        <v>0</v>
      </c>
      <c r="AR79" s="57">
        <v>1</v>
      </c>
      <c r="AS79" s="57">
        <v>0</v>
      </c>
      <c r="AT79" s="57">
        <v>0</v>
      </c>
      <c r="AU79" s="57">
        <v>0</v>
      </c>
      <c r="AV79" s="57">
        <v>0</v>
      </c>
      <c r="AW79" s="57">
        <v>0</v>
      </c>
      <c r="AX79" s="57">
        <v>0</v>
      </c>
      <c r="AY79" s="57">
        <v>0</v>
      </c>
      <c r="AZ79" s="57">
        <v>0</v>
      </c>
      <c r="BA79" s="57">
        <v>0</v>
      </c>
      <c r="BB79" s="57">
        <v>0</v>
      </c>
      <c r="BC79" s="57">
        <v>0</v>
      </c>
      <c r="BD79" s="57">
        <v>0</v>
      </c>
      <c r="BE79" s="57">
        <v>0</v>
      </c>
      <c r="BF79" s="57">
        <v>0</v>
      </c>
      <c r="BG79" s="57">
        <v>0</v>
      </c>
      <c r="BH79" s="57">
        <v>0</v>
      </c>
      <c r="BI79" s="57">
        <v>0</v>
      </c>
      <c r="BJ79" s="57">
        <v>0</v>
      </c>
      <c r="BK79" s="57">
        <v>0</v>
      </c>
      <c r="BL79" s="57">
        <v>0</v>
      </c>
      <c r="BM79" s="57">
        <v>0</v>
      </c>
      <c r="BN79" s="57">
        <v>0</v>
      </c>
      <c r="BO79" s="57">
        <v>0</v>
      </c>
      <c r="BP79" s="57">
        <v>0</v>
      </c>
      <c r="BQ79" s="57">
        <v>0</v>
      </c>
      <c r="BR79" s="57">
        <v>0</v>
      </c>
      <c r="BS79" s="57">
        <v>0</v>
      </c>
      <c r="BT79" s="57">
        <v>0</v>
      </c>
      <c r="BU79" s="57">
        <v>0</v>
      </c>
      <c r="BV79" s="57">
        <v>0</v>
      </c>
      <c r="BW79" s="57">
        <v>0</v>
      </c>
      <c r="BX79" s="57">
        <v>0</v>
      </c>
      <c r="BY79" s="57">
        <v>0</v>
      </c>
      <c r="BZ79" s="57">
        <v>0</v>
      </c>
      <c r="CA79" s="57">
        <v>0</v>
      </c>
      <c r="CB79" s="57">
        <v>0</v>
      </c>
      <c r="CC79" s="57">
        <v>0</v>
      </c>
      <c r="CD79" s="57">
        <v>0</v>
      </c>
      <c r="CE79" s="57">
        <v>0</v>
      </c>
      <c r="CF79" s="57">
        <v>0</v>
      </c>
      <c r="CG79" s="57">
        <v>0</v>
      </c>
      <c r="CH79" s="57">
        <v>0</v>
      </c>
      <c r="CI79" s="57">
        <v>0</v>
      </c>
      <c r="CJ79" s="57">
        <v>0</v>
      </c>
      <c r="CK79" s="57">
        <v>0</v>
      </c>
      <c r="CL79" s="57">
        <v>0</v>
      </c>
      <c r="CM79" s="57">
        <v>0</v>
      </c>
      <c r="CN79" s="57">
        <v>0</v>
      </c>
      <c r="CO79" s="57">
        <v>0</v>
      </c>
      <c r="CP79" s="57">
        <v>0</v>
      </c>
      <c r="CQ79" s="57">
        <v>0</v>
      </c>
      <c r="CR79" s="57">
        <v>0</v>
      </c>
      <c r="CS79" s="57">
        <v>0</v>
      </c>
      <c r="CT79" s="57">
        <v>0</v>
      </c>
      <c r="CU79" s="57">
        <v>0</v>
      </c>
      <c r="CV79" s="57">
        <v>0</v>
      </c>
      <c r="CW79" s="57">
        <v>0</v>
      </c>
      <c r="CX79" s="57">
        <v>0</v>
      </c>
      <c r="CY79" s="57">
        <v>0</v>
      </c>
      <c r="CZ79" s="57">
        <v>0</v>
      </c>
      <c r="DA79" s="57">
        <v>0</v>
      </c>
      <c r="DB79" s="57">
        <v>0</v>
      </c>
      <c r="DC79" s="57">
        <v>0</v>
      </c>
      <c r="DD79" s="57">
        <v>0</v>
      </c>
      <c r="DE79" s="57">
        <v>0</v>
      </c>
      <c r="DF79" s="57">
        <v>0</v>
      </c>
      <c r="DG79" s="137">
        <v>0</v>
      </c>
      <c r="DH79" s="137">
        <v>0</v>
      </c>
      <c r="DI79" s="137">
        <v>0</v>
      </c>
      <c r="DJ79" s="137">
        <v>0</v>
      </c>
      <c r="DK79" s="137">
        <v>0</v>
      </c>
      <c r="DL79" s="137">
        <v>0</v>
      </c>
      <c r="DM79" s="137">
        <v>0</v>
      </c>
      <c r="DN79" s="137">
        <v>0</v>
      </c>
      <c r="DO79" s="137">
        <v>0</v>
      </c>
      <c r="DP79" s="137">
        <v>0</v>
      </c>
      <c r="DQ79" s="137">
        <v>0</v>
      </c>
      <c r="DR79" s="137">
        <v>0</v>
      </c>
      <c r="DS79" s="137">
        <v>0</v>
      </c>
      <c r="DT79" s="137">
        <v>0</v>
      </c>
      <c r="DU79" s="137">
        <v>0</v>
      </c>
      <c r="DV79" s="137">
        <v>0</v>
      </c>
      <c r="DW79" s="137">
        <v>0</v>
      </c>
      <c r="DX79" s="137">
        <v>0</v>
      </c>
      <c r="DY79" s="137">
        <v>0</v>
      </c>
      <c r="DZ79" s="137">
        <v>0</v>
      </c>
      <c r="EA79" s="137">
        <v>0</v>
      </c>
    </row>
    <row r="80" spans="1:131" x14ac:dyDescent="0.35">
      <c r="A80" s="90" t="e">
        <f>VLOOKUP(E80,'Validation List'!F81:G476,2,FALSE)</f>
        <v>#N/A</v>
      </c>
      <c r="B80" s="90" t="str">
        <f>INDEX('NEW HIRE ROSTER'!$G:$G,MATCH(RAW!F80,'NEW HIRE ROSTER'!$A:$A,0))</f>
        <v>Nesting</v>
      </c>
      <c r="C80" s="90" t="str">
        <f>INDEX('NEW HIRE ROSTER'!$F:$F,MATCH(RAW!F80,'NEW HIRE ROSTER'!$A:$A,0))</f>
        <v>Class 11.1</v>
      </c>
      <c r="D80" s="90" t="str">
        <f>INDEX('Validation List'!$H:$H,MATCH(RAW!E80,'Validation List'!$F:$F,0))</f>
        <v>Jan Week 2</v>
      </c>
      <c r="E80" s="89">
        <v>45673</v>
      </c>
      <c r="F80" s="56" t="s">
        <v>2002</v>
      </c>
      <c r="G80" s="90" t="str">
        <f>VLOOKUP(F80,ML!C64:D662,2,FALSE)</f>
        <v>Robin Antolihao Llamido</v>
      </c>
      <c r="H80" s="90" t="str">
        <f>VLOOKUP(F80,ML!C64:E662,3,FALSE)</f>
        <v>QC</v>
      </c>
      <c r="I80" s="83" t="s">
        <v>2380</v>
      </c>
      <c r="J80" s="56" t="s">
        <v>209</v>
      </c>
      <c r="K80" s="56" t="s">
        <v>2409</v>
      </c>
      <c r="L80" s="56" t="s">
        <v>2426</v>
      </c>
      <c r="M80" s="154">
        <v>0.98</v>
      </c>
      <c r="N80" s="57">
        <v>0</v>
      </c>
      <c r="O80" s="57">
        <v>0</v>
      </c>
      <c r="P80" s="57">
        <v>0</v>
      </c>
      <c r="Q80" s="57">
        <v>0</v>
      </c>
      <c r="R80" s="57">
        <v>0</v>
      </c>
      <c r="S80" s="57">
        <v>0</v>
      </c>
      <c r="T80" s="57">
        <v>0</v>
      </c>
      <c r="U80" s="57">
        <v>0</v>
      </c>
      <c r="V80" s="57">
        <v>0</v>
      </c>
      <c r="W80" s="57">
        <v>0</v>
      </c>
      <c r="X80" s="57">
        <v>0</v>
      </c>
      <c r="Y80" s="57">
        <v>0</v>
      </c>
      <c r="Z80" s="57">
        <v>0</v>
      </c>
      <c r="AA80" s="57">
        <v>0</v>
      </c>
      <c r="AB80" s="57">
        <v>0</v>
      </c>
      <c r="AC80" s="57">
        <v>0</v>
      </c>
      <c r="AD80" s="57">
        <v>0</v>
      </c>
      <c r="AE80" s="57">
        <v>0</v>
      </c>
      <c r="AF80" s="57">
        <v>0</v>
      </c>
      <c r="AG80" s="57">
        <v>0</v>
      </c>
      <c r="AH80" s="57">
        <v>0</v>
      </c>
      <c r="AI80" s="57">
        <v>0</v>
      </c>
      <c r="AJ80" s="57">
        <v>0</v>
      </c>
      <c r="AK80" s="57">
        <v>0</v>
      </c>
      <c r="AL80" s="57">
        <v>0</v>
      </c>
      <c r="AM80" s="57">
        <v>0</v>
      </c>
      <c r="AN80" s="57">
        <v>0</v>
      </c>
      <c r="AO80" s="57">
        <v>0</v>
      </c>
      <c r="AP80" s="57">
        <v>0</v>
      </c>
      <c r="AQ80" s="57">
        <v>0</v>
      </c>
      <c r="AR80" s="57">
        <v>0</v>
      </c>
      <c r="AS80" s="57">
        <v>0</v>
      </c>
      <c r="AT80" s="57">
        <v>0</v>
      </c>
      <c r="AU80" s="57">
        <v>0</v>
      </c>
      <c r="AV80" s="57">
        <v>0</v>
      </c>
      <c r="AW80" s="57">
        <v>0</v>
      </c>
      <c r="AX80" s="57">
        <v>0</v>
      </c>
      <c r="AY80" s="57">
        <v>0</v>
      </c>
      <c r="AZ80" s="57">
        <v>0</v>
      </c>
      <c r="BA80" s="57">
        <v>0</v>
      </c>
      <c r="BB80" s="57">
        <v>0</v>
      </c>
      <c r="BC80" s="57">
        <v>0</v>
      </c>
      <c r="BD80" s="57">
        <v>0</v>
      </c>
      <c r="BE80" s="57">
        <v>0</v>
      </c>
      <c r="BF80" s="57">
        <v>0</v>
      </c>
      <c r="BG80" s="57">
        <v>0</v>
      </c>
      <c r="BH80" s="57">
        <v>0</v>
      </c>
      <c r="BI80" s="57">
        <v>0</v>
      </c>
      <c r="BJ80" s="57">
        <v>0</v>
      </c>
      <c r="BK80" s="57">
        <v>0</v>
      </c>
      <c r="BL80" s="57">
        <v>0</v>
      </c>
      <c r="BM80" s="57">
        <v>0</v>
      </c>
      <c r="BN80" s="57">
        <v>0</v>
      </c>
      <c r="BO80" s="57">
        <v>0</v>
      </c>
      <c r="BP80" s="57">
        <v>0</v>
      </c>
      <c r="BQ80" s="57">
        <v>0</v>
      </c>
      <c r="BR80" s="57">
        <v>0</v>
      </c>
      <c r="BS80" s="57">
        <v>0</v>
      </c>
      <c r="BT80" s="57">
        <v>0</v>
      </c>
      <c r="BU80" s="57">
        <v>0</v>
      </c>
      <c r="BV80" s="57">
        <v>0</v>
      </c>
      <c r="BW80" s="57">
        <v>0</v>
      </c>
      <c r="BX80" s="57">
        <v>0</v>
      </c>
      <c r="BY80" s="57">
        <v>0</v>
      </c>
      <c r="BZ80" s="57">
        <v>0</v>
      </c>
      <c r="CA80" s="57">
        <v>0</v>
      </c>
      <c r="CB80" s="57">
        <v>0</v>
      </c>
      <c r="CC80" s="57">
        <v>0</v>
      </c>
      <c r="CD80" s="57">
        <v>0</v>
      </c>
      <c r="CE80" s="57">
        <v>0</v>
      </c>
      <c r="CF80" s="57">
        <v>0</v>
      </c>
      <c r="CG80" s="57">
        <v>0</v>
      </c>
      <c r="CH80" s="57">
        <v>0</v>
      </c>
      <c r="CI80" s="57">
        <v>0</v>
      </c>
      <c r="CJ80" s="57">
        <v>0</v>
      </c>
      <c r="CK80" s="57">
        <v>0</v>
      </c>
      <c r="CL80" s="57">
        <v>0</v>
      </c>
      <c r="CM80" s="57">
        <v>0</v>
      </c>
      <c r="CN80" s="57">
        <v>1</v>
      </c>
      <c r="CO80" s="57">
        <v>0</v>
      </c>
      <c r="CP80" s="57">
        <v>0</v>
      </c>
      <c r="CQ80" s="57">
        <v>1</v>
      </c>
      <c r="CR80" s="57">
        <v>0</v>
      </c>
      <c r="CS80" s="57">
        <v>0</v>
      </c>
      <c r="CT80" s="57">
        <v>0</v>
      </c>
      <c r="CU80" s="57">
        <v>0</v>
      </c>
      <c r="CV80" s="57">
        <v>0</v>
      </c>
      <c r="CW80" s="57">
        <v>0</v>
      </c>
      <c r="CX80" s="57">
        <v>0</v>
      </c>
      <c r="CY80" s="57">
        <v>0</v>
      </c>
      <c r="CZ80" s="57">
        <v>0</v>
      </c>
      <c r="DA80" s="57">
        <v>0</v>
      </c>
      <c r="DB80" s="57">
        <v>0</v>
      </c>
      <c r="DC80" s="57">
        <v>0</v>
      </c>
      <c r="DD80" s="57">
        <v>0</v>
      </c>
      <c r="DE80" s="57">
        <v>0</v>
      </c>
      <c r="DF80" s="57">
        <v>0</v>
      </c>
      <c r="DG80" s="137">
        <v>0</v>
      </c>
      <c r="DH80" s="137">
        <v>0</v>
      </c>
      <c r="DI80" s="137">
        <v>0</v>
      </c>
      <c r="DJ80" s="137">
        <v>0</v>
      </c>
      <c r="DK80" s="137">
        <v>0</v>
      </c>
      <c r="DL80" s="137">
        <v>0</v>
      </c>
      <c r="DM80" s="137">
        <v>0</v>
      </c>
      <c r="DN80" s="137">
        <v>0</v>
      </c>
      <c r="DO80" s="137">
        <v>0</v>
      </c>
      <c r="DP80" s="137">
        <v>0</v>
      </c>
      <c r="DQ80" s="137">
        <v>0</v>
      </c>
      <c r="DR80" s="137">
        <v>0</v>
      </c>
      <c r="DS80" s="137">
        <v>0</v>
      </c>
      <c r="DT80" s="137">
        <v>0</v>
      </c>
      <c r="DU80" s="137">
        <v>0</v>
      </c>
      <c r="DV80" s="137">
        <v>0</v>
      </c>
      <c r="DW80" s="137">
        <v>0</v>
      </c>
      <c r="DX80" s="137">
        <v>0</v>
      </c>
      <c r="DY80" s="137">
        <v>0</v>
      </c>
      <c r="DZ80" s="137">
        <v>0</v>
      </c>
      <c r="EA80" s="137">
        <v>0</v>
      </c>
    </row>
    <row r="81" spans="1:131" x14ac:dyDescent="0.35">
      <c r="A81" s="90" t="e">
        <f>VLOOKUP(E81,'Validation List'!F82:G477,2,FALSE)</f>
        <v>#N/A</v>
      </c>
      <c r="B81" s="90" t="e">
        <f>INDEX('NEW HIRE ROSTER'!$G:$G,MATCH(RAW!F81,'NEW HIRE ROSTER'!$A:$A,0))</f>
        <v>#N/A</v>
      </c>
      <c r="C81" s="90" t="e">
        <f>INDEX('NEW HIRE ROSTER'!$F:$F,MATCH(RAW!F81,'NEW HIRE ROSTER'!$A:$A,0))</f>
        <v>#N/A</v>
      </c>
      <c r="D81" s="90" t="e">
        <f>INDEX('Validation List'!$H:$H,MATCH(RAW!E81,'Validation List'!$F:$F,0))</f>
        <v>#N/A</v>
      </c>
      <c r="G81" s="90" t="e">
        <f>VLOOKUP(F81,ML!C65:D663,2,FALSE)</f>
        <v>#N/A</v>
      </c>
      <c r="H81" s="90" t="e">
        <f>VLOOKUP(F81,ML!C65:E663,3,FALSE)</f>
        <v>#N/A</v>
      </c>
      <c r="M81" s="83"/>
      <c r="N81" s="57">
        <v>0</v>
      </c>
      <c r="O81" s="57">
        <v>0</v>
      </c>
      <c r="P81" s="57">
        <v>0</v>
      </c>
      <c r="Q81" s="57">
        <v>0</v>
      </c>
      <c r="R81" s="57">
        <v>0</v>
      </c>
      <c r="S81" s="57">
        <v>0</v>
      </c>
      <c r="T81" s="57">
        <v>0</v>
      </c>
      <c r="U81" s="57">
        <v>0</v>
      </c>
      <c r="V81" s="57">
        <v>0</v>
      </c>
      <c r="W81" s="57">
        <v>0</v>
      </c>
      <c r="X81" s="57">
        <v>0</v>
      </c>
      <c r="Y81" s="57">
        <v>0</v>
      </c>
      <c r="Z81" s="57">
        <v>0</v>
      </c>
      <c r="AA81" s="57">
        <v>0</v>
      </c>
      <c r="AB81" s="57">
        <v>0</v>
      </c>
      <c r="AC81" s="57">
        <v>0</v>
      </c>
      <c r="AD81" s="57">
        <v>0</v>
      </c>
      <c r="AE81" s="57">
        <v>0</v>
      </c>
      <c r="AF81" s="57">
        <v>0</v>
      </c>
      <c r="AG81" s="57">
        <v>0</v>
      </c>
      <c r="AH81" s="57">
        <v>0</v>
      </c>
      <c r="AI81" s="57">
        <v>0</v>
      </c>
      <c r="AJ81" s="57">
        <v>0</v>
      </c>
      <c r="AK81" s="57">
        <v>0</v>
      </c>
      <c r="AL81" s="57">
        <v>0</v>
      </c>
      <c r="AM81" s="57">
        <v>0</v>
      </c>
      <c r="AN81" s="57">
        <v>0</v>
      </c>
      <c r="AO81" s="57">
        <v>0</v>
      </c>
      <c r="AP81" s="57">
        <v>0</v>
      </c>
      <c r="AQ81" s="57">
        <v>0</v>
      </c>
      <c r="AR81" s="57">
        <v>0</v>
      </c>
      <c r="AS81" s="57">
        <v>0</v>
      </c>
      <c r="AT81" s="57">
        <v>0</v>
      </c>
      <c r="AU81" s="57">
        <v>0</v>
      </c>
      <c r="AV81" s="57">
        <v>0</v>
      </c>
      <c r="AW81" s="57">
        <v>0</v>
      </c>
      <c r="AX81" s="57">
        <v>0</v>
      </c>
      <c r="AY81" s="57">
        <v>0</v>
      </c>
      <c r="AZ81" s="57">
        <v>0</v>
      </c>
      <c r="BA81" s="57">
        <v>0</v>
      </c>
      <c r="BB81" s="57">
        <v>0</v>
      </c>
      <c r="BC81" s="57">
        <v>0</v>
      </c>
      <c r="BD81" s="57">
        <v>0</v>
      </c>
      <c r="BE81" s="57">
        <v>0</v>
      </c>
      <c r="BF81" s="57">
        <v>0</v>
      </c>
      <c r="BG81" s="57">
        <v>0</v>
      </c>
      <c r="BH81" s="57">
        <v>0</v>
      </c>
      <c r="BI81" s="57">
        <v>0</v>
      </c>
      <c r="BJ81" s="57">
        <v>0</v>
      </c>
      <c r="BK81" s="57">
        <v>0</v>
      </c>
      <c r="BL81" s="57">
        <v>0</v>
      </c>
      <c r="BM81" s="57">
        <v>0</v>
      </c>
      <c r="BN81" s="57">
        <v>0</v>
      </c>
      <c r="BO81" s="57">
        <v>0</v>
      </c>
      <c r="BP81" s="57">
        <v>0</v>
      </c>
      <c r="BQ81" s="57">
        <v>0</v>
      </c>
      <c r="BR81" s="57">
        <v>0</v>
      </c>
      <c r="BS81" s="57">
        <v>0</v>
      </c>
      <c r="BT81" s="57">
        <v>0</v>
      </c>
      <c r="BU81" s="57">
        <v>0</v>
      </c>
      <c r="BV81" s="57">
        <v>0</v>
      </c>
      <c r="BW81" s="57">
        <v>0</v>
      </c>
      <c r="BX81" s="57">
        <v>0</v>
      </c>
      <c r="BY81" s="57">
        <v>0</v>
      </c>
      <c r="BZ81" s="57">
        <v>0</v>
      </c>
      <c r="CA81" s="57">
        <v>0</v>
      </c>
      <c r="CB81" s="57">
        <v>0</v>
      </c>
      <c r="CC81" s="57">
        <v>0</v>
      </c>
      <c r="CD81" s="57">
        <v>0</v>
      </c>
      <c r="CE81" s="57">
        <v>0</v>
      </c>
      <c r="CF81" s="57">
        <v>0</v>
      </c>
      <c r="CG81" s="57">
        <v>0</v>
      </c>
      <c r="CH81" s="57">
        <v>0</v>
      </c>
      <c r="CI81" s="57">
        <v>0</v>
      </c>
      <c r="CJ81" s="57">
        <v>0</v>
      </c>
      <c r="CK81" s="57">
        <v>0</v>
      </c>
      <c r="CL81" s="57">
        <v>0</v>
      </c>
      <c r="CM81" s="57">
        <v>0</v>
      </c>
      <c r="CN81" s="57">
        <v>0</v>
      </c>
      <c r="CO81" s="57">
        <v>0</v>
      </c>
      <c r="CP81" s="57">
        <v>0</v>
      </c>
      <c r="CQ81" s="57">
        <v>0</v>
      </c>
      <c r="CR81" s="57">
        <v>0</v>
      </c>
      <c r="CS81" s="57">
        <v>0</v>
      </c>
      <c r="CT81" s="57">
        <v>0</v>
      </c>
      <c r="CU81" s="57">
        <v>0</v>
      </c>
      <c r="CV81" s="57">
        <v>0</v>
      </c>
      <c r="CW81" s="57">
        <v>0</v>
      </c>
      <c r="CX81" s="57">
        <v>0</v>
      </c>
      <c r="CY81" s="57">
        <v>0</v>
      </c>
      <c r="CZ81" s="57">
        <v>0</v>
      </c>
      <c r="DA81" s="57">
        <v>0</v>
      </c>
      <c r="DB81" s="57">
        <v>0</v>
      </c>
      <c r="DC81" s="57">
        <v>0</v>
      </c>
      <c r="DD81" s="57">
        <v>0</v>
      </c>
      <c r="DE81" s="57">
        <v>0</v>
      </c>
      <c r="DF81" s="57">
        <v>0</v>
      </c>
      <c r="DG81" s="137">
        <v>0</v>
      </c>
      <c r="DH81" s="137">
        <v>0</v>
      </c>
      <c r="DI81" s="137">
        <v>0</v>
      </c>
      <c r="DJ81" s="137">
        <v>0</v>
      </c>
      <c r="DK81" s="137">
        <v>0</v>
      </c>
      <c r="DL81" s="137">
        <v>0</v>
      </c>
      <c r="DM81" s="137">
        <v>0</v>
      </c>
      <c r="DN81" s="137">
        <v>0</v>
      </c>
      <c r="DO81" s="137">
        <v>0</v>
      </c>
      <c r="DP81" s="137">
        <v>0</v>
      </c>
      <c r="DQ81" s="137">
        <v>0</v>
      </c>
      <c r="DR81" s="137">
        <v>0</v>
      </c>
      <c r="DS81" s="137">
        <v>0</v>
      </c>
      <c r="DT81" s="137">
        <v>0</v>
      </c>
      <c r="DU81" s="137">
        <v>0</v>
      </c>
      <c r="DV81" s="137">
        <v>0</v>
      </c>
      <c r="DW81" s="137">
        <v>0</v>
      </c>
      <c r="DX81" s="137">
        <v>0</v>
      </c>
      <c r="DY81" s="137">
        <v>0</v>
      </c>
      <c r="DZ81" s="137">
        <v>0</v>
      </c>
      <c r="EA81" s="137">
        <v>0</v>
      </c>
    </row>
    <row r="82" spans="1:131" x14ac:dyDescent="0.35">
      <c r="A82" s="90" t="e">
        <f>VLOOKUP(E82,'Validation List'!F83:G478,2,FALSE)</f>
        <v>#N/A</v>
      </c>
      <c r="B82" s="90" t="e">
        <f>INDEX('NEW HIRE ROSTER'!$G:$G,MATCH(RAW!F82,'NEW HIRE ROSTER'!$A:$A,0))</f>
        <v>#N/A</v>
      </c>
      <c r="C82" s="90" t="e">
        <f>INDEX('NEW HIRE ROSTER'!$F:$F,MATCH(RAW!F82,'NEW HIRE ROSTER'!$A:$A,0))</f>
        <v>#N/A</v>
      </c>
      <c r="D82" s="90" t="e">
        <f>INDEX('Validation List'!$H:$H,MATCH(RAW!E82,'Validation List'!$F:$F,0))</f>
        <v>#N/A</v>
      </c>
      <c r="G82" s="90" t="e">
        <f>VLOOKUP(F82,ML!C66:D664,2,FALSE)</f>
        <v>#N/A</v>
      </c>
      <c r="H82" s="90" t="e">
        <f>VLOOKUP(F82,ML!C66:E664,3,FALSE)</f>
        <v>#N/A</v>
      </c>
      <c r="M82" s="83"/>
      <c r="N82" s="57">
        <v>0</v>
      </c>
      <c r="O82" s="57">
        <v>0</v>
      </c>
      <c r="P82" s="57">
        <v>0</v>
      </c>
      <c r="Q82" s="57">
        <v>0</v>
      </c>
      <c r="R82" s="57">
        <v>0</v>
      </c>
      <c r="S82" s="57">
        <v>0</v>
      </c>
      <c r="T82" s="57">
        <v>0</v>
      </c>
      <c r="U82" s="57">
        <v>0</v>
      </c>
      <c r="V82" s="57">
        <v>0</v>
      </c>
      <c r="W82" s="57">
        <v>0</v>
      </c>
      <c r="X82" s="57">
        <v>0</v>
      </c>
      <c r="Y82" s="57">
        <v>0</v>
      </c>
      <c r="Z82" s="57">
        <v>0</v>
      </c>
      <c r="AA82" s="57">
        <v>0</v>
      </c>
      <c r="AB82" s="57">
        <v>0</v>
      </c>
      <c r="AC82" s="57">
        <v>0</v>
      </c>
      <c r="AD82" s="57">
        <v>0</v>
      </c>
      <c r="AE82" s="57">
        <v>0</v>
      </c>
      <c r="AF82" s="57">
        <v>0</v>
      </c>
      <c r="AG82" s="57">
        <v>0</v>
      </c>
      <c r="AH82" s="57">
        <v>0</v>
      </c>
      <c r="AI82" s="57">
        <v>0</v>
      </c>
      <c r="AJ82" s="57">
        <v>0</v>
      </c>
      <c r="AK82" s="57">
        <v>0</v>
      </c>
      <c r="AL82" s="57">
        <v>0</v>
      </c>
      <c r="AM82" s="57">
        <v>0</v>
      </c>
      <c r="AN82" s="57">
        <v>0</v>
      </c>
      <c r="AO82" s="57">
        <v>0</v>
      </c>
      <c r="AP82" s="57">
        <v>0</v>
      </c>
      <c r="AQ82" s="57">
        <v>0</v>
      </c>
      <c r="AR82" s="57">
        <v>0</v>
      </c>
      <c r="AS82" s="57">
        <v>0</v>
      </c>
      <c r="AT82" s="57">
        <v>0</v>
      </c>
      <c r="AU82" s="57">
        <v>0</v>
      </c>
      <c r="AV82" s="57">
        <v>0</v>
      </c>
      <c r="AW82" s="57">
        <v>0</v>
      </c>
      <c r="AX82" s="57">
        <v>0</v>
      </c>
      <c r="AY82" s="57">
        <v>0</v>
      </c>
      <c r="AZ82" s="57">
        <v>0</v>
      </c>
      <c r="BA82" s="57">
        <v>0</v>
      </c>
      <c r="BB82" s="57">
        <v>0</v>
      </c>
      <c r="BC82" s="57">
        <v>0</v>
      </c>
      <c r="BD82" s="57">
        <v>0</v>
      </c>
      <c r="BE82" s="57">
        <v>0</v>
      </c>
      <c r="BF82" s="57">
        <v>0</v>
      </c>
      <c r="BG82" s="57">
        <v>0</v>
      </c>
      <c r="BH82" s="57">
        <v>0</v>
      </c>
      <c r="BI82" s="57">
        <v>0</v>
      </c>
      <c r="BJ82" s="57">
        <v>0</v>
      </c>
      <c r="BK82" s="57">
        <v>0</v>
      </c>
      <c r="BL82" s="57">
        <v>0</v>
      </c>
      <c r="BM82" s="57">
        <v>0</v>
      </c>
      <c r="BN82" s="57">
        <v>0</v>
      </c>
      <c r="BO82" s="57">
        <v>0</v>
      </c>
      <c r="BP82" s="57">
        <v>0</v>
      </c>
      <c r="BQ82" s="57">
        <v>0</v>
      </c>
      <c r="BR82" s="57">
        <v>0</v>
      </c>
      <c r="BS82" s="57">
        <v>0</v>
      </c>
      <c r="BT82" s="57">
        <v>0</v>
      </c>
      <c r="BU82" s="57">
        <v>0</v>
      </c>
      <c r="BV82" s="57">
        <v>0</v>
      </c>
      <c r="BW82" s="57">
        <v>0</v>
      </c>
      <c r="BX82" s="57">
        <v>0</v>
      </c>
      <c r="BY82" s="57">
        <v>0</v>
      </c>
      <c r="BZ82" s="57">
        <v>0</v>
      </c>
      <c r="CA82" s="57">
        <v>0</v>
      </c>
      <c r="CB82" s="57">
        <v>0</v>
      </c>
      <c r="CC82" s="57">
        <v>0</v>
      </c>
      <c r="CD82" s="57">
        <v>0</v>
      </c>
      <c r="CE82" s="57">
        <v>0</v>
      </c>
      <c r="CF82" s="57">
        <v>0</v>
      </c>
      <c r="CG82" s="57">
        <v>0</v>
      </c>
      <c r="CH82" s="57">
        <v>0</v>
      </c>
      <c r="CI82" s="57">
        <v>0</v>
      </c>
      <c r="CJ82" s="57">
        <v>0</v>
      </c>
      <c r="CK82" s="57">
        <v>0</v>
      </c>
      <c r="CL82" s="57">
        <v>0</v>
      </c>
      <c r="CM82" s="57">
        <v>0</v>
      </c>
      <c r="CN82" s="57">
        <v>0</v>
      </c>
      <c r="CO82" s="57">
        <v>0</v>
      </c>
      <c r="CP82" s="57">
        <v>0</v>
      </c>
      <c r="CQ82" s="57">
        <v>0</v>
      </c>
      <c r="CR82" s="57">
        <v>0</v>
      </c>
      <c r="CS82" s="57">
        <v>0</v>
      </c>
      <c r="CT82" s="57">
        <v>0</v>
      </c>
      <c r="CU82" s="57">
        <v>0</v>
      </c>
      <c r="CV82" s="57">
        <v>0</v>
      </c>
      <c r="CW82" s="57">
        <v>0</v>
      </c>
      <c r="CX82" s="57">
        <v>0</v>
      </c>
      <c r="CY82" s="57">
        <v>0</v>
      </c>
      <c r="CZ82" s="57">
        <v>0</v>
      </c>
      <c r="DA82" s="57">
        <v>0</v>
      </c>
      <c r="DB82" s="57">
        <v>0</v>
      </c>
      <c r="DC82" s="57">
        <v>0</v>
      </c>
      <c r="DD82" s="57">
        <v>0</v>
      </c>
      <c r="DE82" s="57">
        <v>0</v>
      </c>
      <c r="DF82" s="57">
        <v>0</v>
      </c>
      <c r="DG82" s="137">
        <v>0</v>
      </c>
      <c r="DH82" s="137">
        <v>0</v>
      </c>
      <c r="DI82" s="137">
        <v>0</v>
      </c>
      <c r="DJ82" s="137">
        <v>0</v>
      </c>
      <c r="DK82" s="137">
        <v>0</v>
      </c>
      <c r="DL82" s="137">
        <v>0</v>
      </c>
      <c r="DM82" s="137">
        <v>0</v>
      </c>
      <c r="DN82" s="137">
        <v>0</v>
      </c>
      <c r="DO82" s="137">
        <v>0</v>
      </c>
      <c r="DP82" s="137">
        <v>0</v>
      </c>
      <c r="DQ82" s="137">
        <v>0</v>
      </c>
      <c r="DR82" s="137">
        <v>0</v>
      </c>
      <c r="DS82" s="137">
        <v>0</v>
      </c>
      <c r="DT82" s="137">
        <v>0</v>
      </c>
      <c r="DU82" s="137">
        <v>0</v>
      </c>
      <c r="DV82" s="137">
        <v>0</v>
      </c>
      <c r="DW82" s="137">
        <v>0</v>
      </c>
      <c r="DX82" s="137">
        <v>0</v>
      </c>
      <c r="DY82" s="137">
        <v>0</v>
      </c>
      <c r="DZ82" s="137">
        <v>0</v>
      </c>
      <c r="EA82" s="137">
        <v>0</v>
      </c>
    </row>
    <row r="83" spans="1:131" x14ac:dyDescent="0.35">
      <c r="A83" s="90" t="e">
        <f>VLOOKUP(E83,'Validation List'!F84:G479,2,FALSE)</f>
        <v>#N/A</v>
      </c>
      <c r="B83" s="90" t="e">
        <f>INDEX('NEW HIRE ROSTER'!$G:$G,MATCH(RAW!F83,'NEW HIRE ROSTER'!$A:$A,0))</f>
        <v>#N/A</v>
      </c>
      <c r="C83" s="90" t="e">
        <f>INDEX('NEW HIRE ROSTER'!$F:$F,MATCH(RAW!F83,'NEW HIRE ROSTER'!$A:$A,0))</f>
        <v>#N/A</v>
      </c>
      <c r="D83" s="90" t="e">
        <f>INDEX('Validation List'!$H:$H,MATCH(RAW!E83,'Validation List'!$F:$F,0))</f>
        <v>#N/A</v>
      </c>
      <c r="G83" s="90" t="e">
        <f>VLOOKUP(F83,ML!C67:D665,2,FALSE)</f>
        <v>#N/A</v>
      </c>
      <c r="H83" s="90" t="e">
        <f>VLOOKUP(F83,ML!C67:E665,3,FALSE)</f>
        <v>#N/A</v>
      </c>
      <c r="M83" s="83"/>
      <c r="N83" s="57">
        <v>0</v>
      </c>
      <c r="O83" s="57">
        <v>0</v>
      </c>
      <c r="P83" s="57">
        <v>0</v>
      </c>
      <c r="Q83" s="57">
        <v>0</v>
      </c>
      <c r="R83" s="57">
        <v>0</v>
      </c>
      <c r="S83" s="57">
        <v>0</v>
      </c>
      <c r="T83" s="57">
        <v>0</v>
      </c>
      <c r="U83" s="57">
        <v>0</v>
      </c>
      <c r="V83" s="57">
        <v>0</v>
      </c>
      <c r="W83" s="57">
        <v>0</v>
      </c>
      <c r="X83" s="57">
        <v>0</v>
      </c>
      <c r="Y83" s="57">
        <v>0</v>
      </c>
      <c r="Z83" s="57">
        <v>0</v>
      </c>
      <c r="AA83" s="57">
        <v>0</v>
      </c>
      <c r="AB83" s="57">
        <v>0</v>
      </c>
      <c r="AC83" s="57">
        <v>0</v>
      </c>
      <c r="AD83" s="57">
        <v>0</v>
      </c>
      <c r="AE83" s="57">
        <v>0</v>
      </c>
      <c r="AF83" s="57">
        <v>0</v>
      </c>
      <c r="AG83" s="57">
        <v>0</v>
      </c>
      <c r="AH83" s="57">
        <v>0</v>
      </c>
      <c r="AI83" s="57">
        <v>0</v>
      </c>
      <c r="AJ83" s="57">
        <v>0</v>
      </c>
      <c r="AK83" s="57">
        <v>0</v>
      </c>
      <c r="AL83" s="57">
        <v>0</v>
      </c>
      <c r="AM83" s="57">
        <v>0</v>
      </c>
      <c r="AN83" s="57">
        <v>0</v>
      </c>
      <c r="AO83" s="57">
        <v>0</v>
      </c>
      <c r="AP83" s="57">
        <v>0</v>
      </c>
      <c r="AQ83" s="57">
        <v>0</v>
      </c>
      <c r="AR83" s="57">
        <v>0</v>
      </c>
      <c r="AS83" s="57">
        <v>0</v>
      </c>
      <c r="AT83" s="57">
        <v>0</v>
      </c>
      <c r="AU83" s="57">
        <v>0</v>
      </c>
      <c r="AV83" s="57">
        <v>0</v>
      </c>
      <c r="AW83" s="57">
        <v>0</v>
      </c>
      <c r="AX83" s="57">
        <v>0</v>
      </c>
      <c r="AY83" s="57">
        <v>0</v>
      </c>
      <c r="AZ83" s="57">
        <v>0</v>
      </c>
      <c r="BA83" s="57">
        <v>0</v>
      </c>
      <c r="BB83" s="57">
        <v>0</v>
      </c>
      <c r="BC83" s="57">
        <v>0</v>
      </c>
      <c r="BD83" s="57">
        <v>0</v>
      </c>
      <c r="BE83" s="57">
        <v>0</v>
      </c>
      <c r="BF83" s="57">
        <v>0</v>
      </c>
      <c r="BG83" s="57">
        <v>0</v>
      </c>
      <c r="BH83" s="57">
        <v>0</v>
      </c>
      <c r="BI83" s="57">
        <v>0</v>
      </c>
      <c r="BJ83" s="57">
        <v>0</v>
      </c>
      <c r="BK83" s="57">
        <v>0</v>
      </c>
      <c r="BL83" s="57">
        <v>0</v>
      </c>
      <c r="BM83" s="57">
        <v>0</v>
      </c>
      <c r="BN83" s="57">
        <v>0</v>
      </c>
      <c r="BO83" s="57">
        <v>0</v>
      </c>
      <c r="BP83" s="57">
        <v>0</v>
      </c>
      <c r="BQ83" s="57">
        <v>0</v>
      </c>
      <c r="BR83" s="57">
        <v>0</v>
      </c>
      <c r="BS83" s="57">
        <v>0</v>
      </c>
      <c r="BT83" s="57">
        <v>0</v>
      </c>
      <c r="BU83" s="57">
        <v>0</v>
      </c>
      <c r="BV83" s="57">
        <v>0</v>
      </c>
      <c r="BW83" s="57">
        <v>0</v>
      </c>
      <c r="BX83" s="57">
        <v>0</v>
      </c>
      <c r="BY83" s="57">
        <v>0</v>
      </c>
      <c r="BZ83" s="57">
        <v>0</v>
      </c>
      <c r="CA83" s="57">
        <v>0</v>
      </c>
      <c r="CB83" s="57">
        <v>0</v>
      </c>
      <c r="CC83" s="57">
        <v>0</v>
      </c>
      <c r="CD83" s="57">
        <v>0</v>
      </c>
      <c r="CE83" s="57">
        <v>0</v>
      </c>
      <c r="CF83" s="57">
        <v>0</v>
      </c>
      <c r="CG83" s="57">
        <v>0</v>
      </c>
      <c r="CH83" s="57">
        <v>0</v>
      </c>
      <c r="CI83" s="57">
        <v>0</v>
      </c>
      <c r="CJ83" s="57">
        <v>0</v>
      </c>
      <c r="CK83" s="57">
        <v>0</v>
      </c>
      <c r="CL83" s="57">
        <v>0</v>
      </c>
      <c r="CM83" s="57">
        <v>0</v>
      </c>
      <c r="CN83" s="57">
        <v>0</v>
      </c>
      <c r="CO83" s="57">
        <v>0</v>
      </c>
      <c r="CP83" s="57">
        <v>0</v>
      </c>
      <c r="CQ83" s="57">
        <v>0</v>
      </c>
      <c r="CR83" s="57">
        <v>0</v>
      </c>
      <c r="CS83" s="57">
        <v>0</v>
      </c>
      <c r="CT83" s="57">
        <v>0</v>
      </c>
      <c r="CU83" s="57">
        <v>0</v>
      </c>
      <c r="CV83" s="57">
        <v>0</v>
      </c>
      <c r="CW83" s="57">
        <v>0</v>
      </c>
      <c r="CX83" s="57">
        <v>0</v>
      </c>
      <c r="CY83" s="57">
        <v>0</v>
      </c>
      <c r="CZ83" s="57">
        <v>0</v>
      </c>
      <c r="DA83" s="57">
        <v>0</v>
      </c>
      <c r="DB83" s="57">
        <v>0</v>
      </c>
      <c r="DC83" s="57">
        <v>0</v>
      </c>
      <c r="DD83" s="57">
        <v>0</v>
      </c>
      <c r="DE83" s="57">
        <v>0</v>
      </c>
      <c r="DF83" s="57">
        <v>0</v>
      </c>
      <c r="DG83" s="137">
        <v>0</v>
      </c>
      <c r="DH83" s="137">
        <v>0</v>
      </c>
      <c r="DI83" s="137">
        <v>0</v>
      </c>
      <c r="DJ83" s="137">
        <v>0</v>
      </c>
      <c r="DK83" s="137">
        <v>0</v>
      </c>
      <c r="DL83" s="137">
        <v>0</v>
      </c>
      <c r="DM83" s="137">
        <v>0</v>
      </c>
      <c r="DN83" s="137">
        <v>0</v>
      </c>
      <c r="DO83" s="137">
        <v>0</v>
      </c>
      <c r="DP83" s="137">
        <v>0</v>
      </c>
      <c r="DQ83" s="137">
        <v>0</v>
      </c>
      <c r="DR83" s="137">
        <v>0</v>
      </c>
      <c r="DS83" s="137">
        <v>0</v>
      </c>
      <c r="DT83" s="137">
        <v>0</v>
      </c>
      <c r="DU83" s="137">
        <v>0</v>
      </c>
      <c r="DV83" s="137">
        <v>0</v>
      </c>
      <c r="DW83" s="137">
        <v>0</v>
      </c>
      <c r="DX83" s="137">
        <v>0</v>
      </c>
      <c r="DY83" s="137">
        <v>0</v>
      </c>
      <c r="DZ83" s="137">
        <v>0</v>
      </c>
      <c r="EA83" s="137">
        <v>0</v>
      </c>
    </row>
    <row r="84" spans="1:131" x14ac:dyDescent="0.35">
      <c r="A84" s="90" t="e">
        <f>VLOOKUP(E84,'Validation List'!F85:G480,2,FALSE)</f>
        <v>#N/A</v>
      </c>
      <c r="B84" s="90" t="e">
        <f>INDEX('NEW HIRE ROSTER'!$G:$G,MATCH(RAW!F84,'NEW HIRE ROSTER'!$A:$A,0))</f>
        <v>#N/A</v>
      </c>
      <c r="C84" s="90" t="e">
        <f>INDEX('NEW HIRE ROSTER'!$F:$F,MATCH(RAW!F84,'NEW HIRE ROSTER'!$A:$A,0))</f>
        <v>#N/A</v>
      </c>
      <c r="D84" s="90" t="e">
        <f>INDEX('Validation List'!$H:$H,MATCH(RAW!E84,'Validation List'!$F:$F,0))</f>
        <v>#N/A</v>
      </c>
      <c r="G84" s="90" t="e">
        <f>VLOOKUP(F84,ML!C68:D666,2,FALSE)</f>
        <v>#N/A</v>
      </c>
      <c r="H84" s="90" t="e">
        <f>VLOOKUP(F84,ML!C68:E666,3,FALSE)</f>
        <v>#N/A</v>
      </c>
      <c r="M84" s="83"/>
      <c r="N84" s="57">
        <v>0</v>
      </c>
      <c r="O84" s="57">
        <v>0</v>
      </c>
      <c r="P84" s="57">
        <v>0</v>
      </c>
      <c r="Q84" s="57">
        <v>0</v>
      </c>
      <c r="R84" s="57">
        <v>0</v>
      </c>
      <c r="S84" s="57">
        <v>0</v>
      </c>
      <c r="T84" s="57">
        <v>0</v>
      </c>
      <c r="U84" s="57">
        <v>0</v>
      </c>
      <c r="V84" s="57">
        <v>0</v>
      </c>
      <c r="W84" s="57">
        <v>0</v>
      </c>
      <c r="X84" s="57">
        <v>0</v>
      </c>
      <c r="Y84" s="57">
        <v>0</v>
      </c>
      <c r="Z84" s="57">
        <v>0</v>
      </c>
      <c r="AA84" s="57">
        <v>0</v>
      </c>
      <c r="AB84" s="57">
        <v>0</v>
      </c>
      <c r="AC84" s="57">
        <v>0</v>
      </c>
      <c r="AD84" s="57">
        <v>0</v>
      </c>
      <c r="AE84" s="57">
        <v>0</v>
      </c>
      <c r="AF84" s="57">
        <v>0</v>
      </c>
      <c r="AG84" s="57">
        <v>0</v>
      </c>
      <c r="AH84" s="57">
        <v>0</v>
      </c>
      <c r="AI84" s="57">
        <v>0</v>
      </c>
      <c r="AJ84" s="57">
        <v>0</v>
      </c>
      <c r="AK84" s="57">
        <v>0</v>
      </c>
      <c r="AL84" s="57">
        <v>0</v>
      </c>
      <c r="AM84" s="57">
        <v>0</v>
      </c>
      <c r="AN84" s="57">
        <v>0</v>
      </c>
      <c r="AO84" s="57">
        <v>0</v>
      </c>
      <c r="AP84" s="57">
        <v>0</v>
      </c>
      <c r="AQ84" s="57">
        <v>0</v>
      </c>
      <c r="AR84" s="57">
        <v>0</v>
      </c>
      <c r="AS84" s="57">
        <v>0</v>
      </c>
      <c r="AT84" s="57">
        <v>0</v>
      </c>
      <c r="AU84" s="57">
        <v>0</v>
      </c>
      <c r="AV84" s="57">
        <v>0</v>
      </c>
      <c r="AW84" s="57">
        <v>0</v>
      </c>
      <c r="AX84" s="57">
        <v>0</v>
      </c>
      <c r="AY84" s="57">
        <v>0</v>
      </c>
      <c r="AZ84" s="57">
        <v>0</v>
      </c>
      <c r="BA84" s="57">
        <v>0</v>
      </c>
      <c r="BB84" s="57">
        <v>0</v>
      </c>
      <c r="BC84" s="57">
        <v>0</v>
      </c>
      <c r="BD84" s="57">
        <v>0</v>
      </c>
      <c r="BE84" s="57">
        <v>0</v>
      </c>
      <c r="BF84" s="57">
        <v>0</v>
      </c>
      <c r="BG84" s="57">
        <v>0</v>
      </c>
      <c r="BH84" s="57">
        <v>0</v>
      </c>
      <c r="BI84" s="57">
        <v>0</v>
      </c>
      <c r="BJ84" s="57">
        <v>0</v>
      </c>
      <c r="BK84" s="57">
        <v>0</v>
      </c>
      <c r="BL84" s="57">
        <v>0</v>
      </c>
      <c r="BM84" s="57">
        <v>0</v>
      </c>
      <c r="BN84" s="57">
        <v>0</v>
      </c>
      <c r="BO84" s="57">
        <v>0</v>
      </c>
      <c r="BP84" s="57">
        <v>0</v>
      </c>
      <c r="BQ84" s="57">
        <v>0</v>
      </c>
      <c r="BR84" s="57">
        <v>0</v>
      </c>
      <c r="BS84" s="57">
        <v>0</v>
      </c>
      <c r="BT84" s="57">
        <v>0</v>
      </c>
      <c r="BU84" s="57">
        <v>0</v>
      </c>
      <c r="BV84" s="57">
        <v>0</v>
      </c>
      <c r="BW84" s="57">
        <v>0</v>
      </c>
      <c r="BX84" s="57">
        <v>0</v>
      </c>
      <c r="BY84" s="57">
        <v>0</v>
      </c>
      <c r="BZ84" s="57">
        <v>0</v>
      </c>
      <c r="CA84" s="57">
        <v>0</v>
      </c>
      <c r="CB84" s="57">
        <v>0</v>
      </c>
      <c r="CC84" s="57">
        <v>0</v>
      </c>
      <c r="CD84" s="57">
        <v>0</v>
      </c>
      <c r="CE84" s="57">
        <v>0</v>
      </c>
      <c r="CF84" s="57">
        <v>0</v>
      </c>
      <c r="CG84" s="57">
        <v>0</v>
      </c>
      <c r="CH84" s="57">
        <v>0</v>
      </c>
      <c r="CI84" s="57">
        <v>0</v>
      </c>
      <c r="CJ84" s="57">
        <v>0</v>
      </c>
      <c r="CK84" s="57">
        <v>0</v>
      </c>
      <c r="CL84" s="57">
        <v>0</v>
      </c>
      <c r="CM84" s="57">
        <v>0</v>
      </c>
      <c r="CN84" s="57">
        <v>0</v>
      </c>
      <c r="CO84" s="57">
        <v>0</v>
      </c>
      <c r="CP84" s="57">
        <v>0</v>
      </c>
      <c r="CQ84" s="57">
        <v>0</v>
      </c>
      <c r="CR84" s="57">
        <v>0</v>
      </c>
      <c r="CS84" s="57">
        <v>0</v>
      </c>
      <c r="CT84" s="57">
        <v>0</v>
      </c>
      <c r="CU84" s="57">
        <v>0</v>
      </c>
      <c r="CV84" s="57">
        <v>0</v>
      </c>
      <c r="CW84" s="57">
        <v>0</v>
      </c>
      <c r="CX84" s="57">
        <v>0</v>
      </c>
      <c r="CY84" s="57">
        <v>0</v>
      </c>
      <c r="CZ84" s="57">
        <v>0</v>
      </c>
      <c r="DA84" s="57">
        <v>0</v>
      </c>
      <c r="DB84" s="57">
        <v>0</v>
      </c>
      <c r="DC84" s="57">
        <v>0</v>
      </c>
      <c r="DD84" s="57">
        <v>0</v>
      </c>
      <c r="DE84" s="57">
        <v>0</v>
      </c>
      <c r="DF84" s="57">
        <v>0</v>
      </c>
      <c r="DG84" s="137">
        <v>0</v>
      </c>
      <c r="DH84" s="137">
        <v>0</v>
      </c>
      <c r="DI84" s="137">
        <v>0</v>
      </c>
      <c r="DJ84" s="137">
        <v>0</v>
      </c>
      <c r="DK84" s="137">
        <v>0</v>
      </c>
      <c r="DL84" s="137">
        <v>0</v>
      </c>
      <c r="DM84" s="137">
        <v>0</v>
      </c>
      <c r="DN84" s="137">
        <v>0</v>
      </c>
      <c r="DO84" s="137">
        <v>0</v>
      </c>
      <c r="DP84" s="137">
        <v>0</v>
      </c>
      <c r="DQ84" s="137">
        <v>0</v>
      </c>
      <c r="DR84" s="137">
        <v>0</v>
      </c>
      <c r="DS84" s="137">
        <v>0</v>
      </c>
      <c r="DT84" s="137">
        <v>0</v>
      </c>
      <c r="DU84" s="137">
        <v>0</v>
      </c>
      <c r="DV84" s="137">
        <v>0</v>
      </c>
      <c r="DW84" s="137">
        <v>0</v>
      </c>
      <c r="DX84" s="137">
        <v>0</v>
      </c>
      <c r="DY84" s="137">
        <v>0</v>
      </c>
      <c r="DZ84" s="137">
        <v>0</v>
      </c>
      <c r="EA84" s="137">
        <v>0</v>
      </c>
    </row>
    <row r="85" spans="1:131" x14ac:dyDescent="0.35">
      <c r="A85" s="90" t="e">
        <f>VLOOKUP(E85,'Validation List'!F86:G481,2,FALSE)</f>
        <v>#N/A</v>
      </c>
      <c r="B85" s="90" t="e">
        <f>INDEX('NEW HIRE ROSTER'!$G:$G,MATCH(RAW!F85,'NEW HIRE ROSTER'!$A:$A,0))</f>
        <v>#N/A</v>
      </c>
      <c r="C85" s="90" t="e">
        <f>INDEX('NEW HIRE ROSTER'!$F:$F,MATCH(RAW!F85,'NEW HIRE ROSTER'!$A:$A,0))</f>
        <v>#N/A</v>
      </c>
      <c r="D85" s="90" t="e">
        <f>INDEX('Validation List'!$H:$H,MATCH(RAW!E85,'Validation List'!$F:$F,0))</f>
        <v>#N/A</v>
      </c>
      <c r="G85" s="90" t="e">
        <f>VLOOKUP(F85,ML!C69:D667,2,FALSE)</f>
        <v>#N/A</v>
      </c>
      <c r="H85" s="90" t="e">
        <f>VLOOKUP(F85,ML!C69:E667,3,FALSE)</f>
        <v>#N/A</v>
      </c>
      <c r="M85" s="83"/>
      <c r="N85" s="57">
        <v>0</v>
      </c>
      <c r="O85" s="57">
        <v>0</v>
      </c>
      <c r="P85" s="57">
        <v>0</v>
      </c>
      <c r="Q85" s="57">
        <v>0</v>
      </c>
      <c r="R85" s="57">
        <v>0</v>
      </c>
      <c r="S85" s="57">
        <v>0</v>
      </c>
      <c r="T85" s="57">
        <v>0</v>
      </c>
      <c r="U85" s="57">
        <v>0</v>
      </c>
      <c r="V85" s="57">
        <v>0</v>
      </c>
      <c r="W85" s="57">
        <v>0</v>
      </c>
      <c r="X85" s="57">
        <v>0</v>
      </c>
      <c r="Y85" s="57">
        <v>0</v>
      </c>
      <c r="Z85" s="57">
        <v>0</v>
      </c>
      <c r="AA85" s="57">
        <v>0</v>
      </c>
      <c r="AB85" s="57">
        <v>0</v>
      </c>
      <c r="AC85" s="57">
        <v>0</v>
      </c>
      <c r="AD85" s="57">
        <v>0</v>
      </c>
      <c r="AE85" s="57">
        <v>0</v>
      </c>
      <c r="AF85" s="57">
        <v>0</v>
      </c>
      <c r="AG85" s="57">
        <v>0</v>
      </c>
      <c r="AH85" s="57">
        <v>0</v>
      </c>
      <c r="AI85" s="57">
        <v>0</v>
      </c>
      <c r="AJ85" s="57">
        <v>0</v>
      </c>
      <c r="AK85" s="57">
        <v>0</v>
      </c>
      <c r="AL85" s="57">
        <v>0</v>
      </c>
      <c r="AM85" s="57">
        <v>0</v>
      </c>
      <c r="AN85" s="57">
        <v>0</v>
      </c>
      <c r="AO85" s="57">
        <v>0</v>
      </c>
      <c r="AP85" s="57">
        <v>0</v>
      </c>
      <c r="AQ85" s="57">
        <v>0</v>
      </c>
      <c r="AR85" s="57">
        <v>0</v>
      </c>
      <c r="AS85" s="57">
        <v>0</v>
      </c>
      <c r="AT85" s="57">
        <v>0</v>
      </c>
      <c r="AU85" s="57">
        <v>0</v>
      </c>
      <c r="AV85" s="57">
        <v>0</v>
      </c>
      <c r="AW85" s="57">
        <v>0</v>
      </c>
      <c r="AX85" s="57">
        <v>0</v>
      </c>
      <c r="AY85" s="57">
        <v>0</v>
      </c>
      <c r="AZ85" s="57">
        <v>0</v>
      </c>
      <c r="BA85" s="57">
        <v>0</v>
      </c>
      <c r="BB85" s="57">
        <v>0</v>
      </c>
      <c r="BC85" s="57">
        <v>0</v>
      </c>
      <c r="BD85" s="57">
        <v>0</v>
      </c>
      <c r="BE85" s="57">
        <v>0</v>
      </c>
      <c r="BF85" s="57">
        <v>0</v>
      </c>
      <c r="BG85" s="57">
        <v>0</v>
      </c>
      <c r="BH85" s="57">
        <v>0</v>
      </c>
      <c r="BI85" s="57">
        <v>0</v>
      </c>
      <c r="BJ85" s="57">
        <v>0</v>
      </c>
      <c r="BK85" s="57">
        <v>0</v>
      </c>
      <c r="BL85" s="57">
        <v>0</v>
      </c>
      <c r="BM85" s="57">
        <v>0</v>
      </c>
      <c r="BN85" s="57">
        <v>0</v>
      </c>
      <c r="BO85" s="57">
        <v>0</v>
      </c>
      <c r="BP85" s="57">
        <v>0</v>
      </c>
      <c r="BQ85" s="57">
        <v>0</v>
      </c>
      <c r="BR85" s="57">
        <v>0</v>
      </c>
      <c r="BS85" s="57">
        <v>0</v>
      </c>
      <c r="BT85" s="57">
        <v>0</v>
      </c>
      <c r="BU85" s="57">
        <v>0</v>
      </c>
      <c r="BV85" s="57">
        <v>0</v>
      </c>
      <c r="BW85" s="57">
        <v>0</v>
      </c>
      <c r="BX85" s="57">
        <v>0</v>
      </c>
      <c r="BY85" s="57">
        <v>0</v>
      </c>
      <c r="BZ85" s="57">
        <v>0</v>
      </c>
      <c r="CA85" s="57">
        <v>0</v>
      </c>
      <c r="CB85" s="57">
        <v>0</v>
      </c>
      <c r="CC85" s="57">
        <v>0</v>
      </c>
      <c r="CD85" s="57">
        <v>0</v>
      </c>
      <c r="CE85" s="57">
        <v>0</v>
      </c>
      <c r="CF85" s="57">
        <v>0</v>
      </c>
      <c r="CG85" s="57">
        <v>0</v>
      </c>
      <c r="CH85" s="57">
        <v>0</v>
      </c>
      <c r="CI85" s="57">
        <v>0</v>
      </c>
      <c r="CJ85" s="57">
        <v>0</v>
      </c>
      <c r="CK85" s="57">
        <v>0</v>
      </c>
      <c r="CL85" s="57">
        <v>0</v>
      </c>
      <c r="CM85" s="57">
        <v>0</v>
      </c>
      <c r="CN85" s="57">
        <v>0</v>
      </c>
      <c r="CO85" s="57">
        <v>0</v>
      </c>
      <c r="CP85" s="57">
        <v>0</v>
      </c>
      <c r="CQ85" s="57">
        <v>0</v>
      </c>
      <c r="CR85" s="57">
        <v>0</v>
      </c>
      <c r="CS85" s="57">
        <v>0</v>
      </c>
      <c r="CT85" s="57">
        <v>0</v>
      </c>
      <c r="CU85" s="57">
        <v>0</v>
      </c>
      <c r="CV85" s="57">
        <v>0</v>
      </c>
      <c r="CW85" s="57">
        <v>0</v>
      </c>
      <c r="CX85" s="57">
        <v>0</v>
      </c>
      <c r="CY85" s="57">
        <v>0</v>
      </c>
      <c r="CZ85" s="57">
        <v>0</v>
      </c>
      <c r="DA85" s="57">
        <v>0</v>
      </c>
      <c r="DB85" s="57">
        <v>0</v>
      </c>
      <c r="DC85" s="57">
        <v>0</v>
      </c>
      <c r="DD85" s="57">
        <v>0</v>
      </c>
      <c r="DE85" s="57">
        <v>0</v>
      </c>
      <c r="DF85" s="57">
        <v>0</v>
      </c>
      <c r="DG85" s="137">
        <v>0</v>
      </c>
      <c r="DH85" s="137">
        <v>0</v>
      </c>
      <c r="DI85" s="137">
        <v>0</v>
      </c>
      <c r="DJ85" s="137">
        <v>0</v>
      </c>
      <c r="DK85" s="137">
        <v>0</v>
      </c>
      <c r="DL85" s="137">
        <v>0</v>
      </c>
      <c r="DM85" s="137">
        <v>0</v>
      </c>
      <c r="DN85" s="137">
        <v>0</v>
      </c>
      <c r="DO85" s="137">
        <v>0</v>
      </c>
      <c r="DP85" s="137">
        <v>0</v>
      </c>
      <c r="DQ85" s="137">
        <v>0</v>
      </c>
      <c r="DR85" s="137">
        <v>0</v>
      </c>
      <c r="DS85" s="137">
        <v>0</v>
      </c>
      <c r="DT85" s="137">
        <v>0</v>
      </c>
      <c r="DU85" s="137">
        <v>0</v>
      </c>
      <c r="DV85" s="137">
        <v>0</v>
      </c>
      <c r="DW85" s="137">
        <v>0</v>
      </c>
      <c r="DX85" s="137">
        <v>0</v>
      </c>
      <c r="DY85" s="137">
        <v>0</v>
      </c>
      <c r="DZ85" s="137">
        <v>0</v>
      </c>
      <c r="EA85" s="137">
        <v>0</v>
      </c>
    </row>
    <row r="86" spans="1:131" x14ac:dyDescent="0.35">
      <c r="A86" s="90" t="e">
        <f>VLOOKUP(E86,'Validation List'!F87:G482,2,FALSE)</f>
        <v>#N/A</v>
      </c>
      <c r="B86" s="90" t="e">
        <f>INDEX('NEW HIRE ROSTER'!$G:$G,MATCH(RAW!F86,'NEW HIRE ROSTER'!$A:$A,0))</f>
        <v>#N/A</v>
      </c>
      <c r="C86" s="90" t="e">
        <f>INDEX('NEW HIRE ROSTER'!$F:$F,MATCH(RAW!F86,'NEW HIRE ROSTER'!$A:$A,0))</f>
        <v>#N/A</v>
      </c>
      <c r="D86" s="90" t="e">
        <f>INDEX('Validation List'!$H:$H,MATCH(RAW!E86,'Validation List'!$F:$F,0))</f>
        <v>#N/A</v>
      </c>
      <c r="G86" s="90" t="e">
        <f>VLOOKUP(F86,ML!C70:D668,2,FALSE)</f>
        <v>#N/A</v>
      </c>
      <c r="H86" s="90" t="e">
        <f>VLOOKUP(F86,ML!C70:E668,3,FALSE)</f>
        <v>#N/A</v>
      </c>
      <c r="M86" s="83"/>
      <c r="N86" s="57">
        <v>0</v>
      </c>
      <c r="O86" s="57">
        <v>0</v>
      </c>
      <c r="P86" s="57">
        <v>0</v>
      </c>
      <c r="Q86" s="57">
        <v>0</v>
      </c>
      <c r="R86" s="57">
        <v>0</v>
      </c>
      <c r="S86" s="57">
        <v>0</v>
      </c>
      <c r="T86" s="57">
        <v>0</v>
      </c>
      <c r="U86" s="57">
        <v>0</v>
      </c>
      <c r="V86" s="57">
        <v>0</v>
      </c>
      <c r="W86" s="57">
        <v>0</v>
      </c>
      <c r="X86" s="57">
        <v>0</v>
      </c>
      <c r="Y86" s="57">
        <v>0</v>
      </c>
      <c r="Z86" s="57">
        <v>0</v>
      </c>
      <c r="AA86" s="57">
        <v>0</v>
      </c>
      <c r="AB86" s="57">
        <v>0</v>
      </c>
      <c r="AC86" s="57">
        <v>0</v>
      </c>
      <c r="AD86" s="57">
        <v>0</v>
      </c>
      <c r="AE86" s="57">
        <v>0</v>
      </c>
      <c r="AF86" s="57">
        <v>0</v>
      </c>
      <c r="AG86" s="57">
        <v>0</v>
      </c>
      <c r="AH86" s="57">
        <v>0</v>
      </c>
      <c r="AI86" s="57">
        <v>0</v>
      </c>
      <c r="AJ86" s="57">
        <v>0</v>
      </c>
      <c r="AK86" s="57">
        <v>0</v>
      </c>
      <c r="AL86" s="57">
        <v>0</v>
      </c>
      <c r="AM86" s="57">
        <v>0</v>
      </c>
      <c r="AN86" s="57">
        <v>0</v>
      </c>
      <c r="AO86" s="57">
        <v>0</v>
      </c>
      <c r="AP86" s="57">
        <v>0</v>
      </c>
      <c r="AQ86" s="57">
        <v>0</v>
      </c>
      <c r="AR86" s="57">
        <v>0</v>
      </c>
      <c r="AS86" s="57">
        <v>0</v>
      </c>
      <c r="AT86" s="57">
        <v>0</v>
      </c>
      <c r="AU86" s="57">
        <v>0</v>
      </c>
      <c r="AV86" s="57">
        <v>0</v>
      </c>
      <c r="AW86" s="57">
        <v>0</v>
      </c>
      <c r="AX86" s="57">
        <v>0</v>
      </c>
      <c r="AY86" s="57">
        <v>0</v>
      </c>
      <c r="AZ86" s="57">
        <v>0</v>
      </c>
      <c r="BA86" s="57">
        <v>0</v>
      </c>
      <c r="BB86" s="57">
        <v>0</v>
      </c>
      <c r="BC86" s="57">
        <v>0</v>
      </c>
      <c r="BD86" s="57">
        <v>0</v>
      </c>
      <c r="BE86" s="57">
        <v>0</v>
      </c>
      <c r="BF86" s="57">
        <v>0</v>
      </c>
      <c r="BG86" s="57">
        <v>0</v>
      </c>
      <c r="BH86" s="57">
        <v>0</v>
      </c>
      <c r="BI86" s="57">
        <v>0</v>
      </c>
      <c r="BJ86" s="57">
        <v>0</v>
      </c>
      <c r="BK86" s="57">
        <v>0</v>
      </c>
      <c r="BL86" s="57">
        <v>0</v>
      </c>
      <c r="BM86" s="57">
        <v>0</v>
      </c>
      <c r="BN86" s="57">
        <v>0</v>
      </c>
      <c r="BO86" s="57">
        <v>0</v>
      </c>
      <c r="BP86" s="57">
        <v>0</v>
      </c>
      <c r="BQ86" s="57">
        <v>0</v>
      </c>
      <c r="BR86" s="57">
        <v>0</v>
      </c>
      <c r="BS86" s="57">
        <v>0</v>
      </c>
      <c r="BT86" s="57">
        <v>0</v>
      </c>
      <c r="BU86" s="57">
        <v>0</v>
      </c>
      <c r="BV86" s="57">
        <v>0</v>
      </c>
      <c r="BW86" s="57">
        <v>0</v>
      </c>
      <c r="BX86" s="57">
        <v>0</v>
      </c>
      <c r="BY86" s="57">
        <v>0</v>
      </c>
      <c r="BZ86" s="57">
        <v>0</v>
      </c>
      <c r="CA86" s="57">
        <v>0</v>
      </c>
      <c r="CB86" s="57">
        <v>0</v>
      </c>
      <c r="CC86" s="57">
        <v>0</v>
      </c>
      <c r="CD86" s="57">
        <v>0</v>
      </c>
      <c r="CE86" s="57">
        <v>0</v>
      </c>
      <c r="CF86" s="57">
        <v>0</v>
      </c>
      <c r="CG86" s="57">
        <v>0</v>
      </c>
      <c r="CH86" s="57">
        <v>0</v>
      </c>
      <c r="CI86" s="57">
        <v>0</v>
      </c>
      <c r="CJ86" s="57">
        <v>0</v>
      </c>
      <c r="CK86" s="57">
        <v>0</v>
      </c>
      <c r="CL86" s="57">
        <v>0</v>
      </c>
      <c r="CM86" s="57">
        <v>0</v>
      </c>
      <c r="CN86" s="57">
        <v>0</v>
      </c>
      <c r="CO86" s="57">
        <v>0</v>
      </c>
      <c r="CP86" s="57">
        <v>0</v>
      </c>
      <c r="CQ86" s="57">
        <v>0</v>
      </c>
      <c r="CR86" s="57">
        <v>0</v>
      </c>
      <c r="CS86" s="57">
        <v>0</v>
      </c>
      <c r="CT86" s="57">
        <v>0</v>
      </c>
      <c r="CU86" s="57">
        <v>0</v>
      </c>
      <c r="CV86" s="57">
        <v>0</v>
      </c>
      <c r="CW86" s="57">
        <v>0</v>
      </c>
      <c r="CX86" s="57">
        <v>0</v>
      </c>
      <c r="CY86" s="57">
        <v>0</v>
      </c>
      <c r="CZ86" s="57">
        <v>0</v>
      </c>
      <c r="DA86" s="57">
        <v>0</v>
      </c>
      <c r="DB86" s="57">
        <v>0</v>
      </c>
      <c r="DC86" s="57">
        <v>0</v>
      </c>
      <c r="DD86" s="57">
        <v>0</v>
      </c>
      <c r="DE86" s="57">
        <v>0</v>
      </c>
      <c r="DF86" s="57">
        <v>0</v>
      </c>
      <c r="DG86" s="137">
        <v>0</v>
      </c>
      <c r="DH86" s="137">
        <v>0</v>
      </c>
      <c r="DI86" s="137">
        <v>0</v>
      </c>
      <c r="DJ86" s="137">
        <v>0</v>
      </c>
      <c r="DK86" s="137">
        <v>0</v>
      </c>
      <c r="DL86" s="137">
        <v>0</v>
      </c>
      <c r="DM86" s="137">
        <v>0</v>
      </c>
      <c r="DN86" s="137">
        <v>0</v>
      </c>
      <c r="DO86" s="137">
        <v>0</v>
      </c>
      <c r="DP86" s="137">
        <v>0</v>
      </c>
      <c r="DQ86" s="137">
        <v>0</v>
      </c>
      <c r="DR86" s="137">
        <v>0</v>
      </c>
      <c r="DS86" s="137">
        <v>0</v>
      </c>
      <c r="DT86" s="137">
        <v>0</v>
      </c>
      <c r="DU86" s="137">
        <v>0</v>
      </c>
      <c r="DV86" s="137">
        <v>0</v>
      </c>
      <c r="DW86" s="137">
        <v>0</v>
      </c>
      <c r="DX86" s="137">
        <v>0</v>
      </c>
      <c r="DY86" s="137">
        <v>0</v>
      </c>
      <c r="DZ86" s="137">
        <v>0</v>
      </c>
      <c r="EA86" s="137">
        <v>0</v>
      </c>
    </row>
    <row r="87" spans="1:131" x14ac:dyDescent="0.35">
      <c r="A87" s="90" t="e">
        <f>VLOOKUP(E87,'Validation List'!F88:G483,2,FALSE)</f>
        <v>#N/A</v>
      </c>
      <c r="B87" s="90" t="e">
        <f>INDEX('NEW HIRE ROSTER'!$G:$G,MATCH(RAW!F87,'NEW HIRE ROSTER'!$A:$A,0))</f>
        <v>#N/A</v>
      </c>
      <c r="C87" s="90" t="e">
        <f>INDEX('NEW HIRE ROSTER'!$F:$F,MATCH(RAW!F87,'NEW HIRE ROSTER'!$A:$A,0))</f>
        <v>#N/A</v>
      </c>
      <c r="D87" s="90" t="e">
        <f>INDEX('Validation List'!$H:$H,MATCH(RAW!E87,'Validation List'!$F:$F,0))</f>
        <v>#N/A</v>
      </c>
      <c r="G87" s="90" t="e">
        <f>VLOOKUP(F87,ML!C71:D669,2,FALSE)</f>
        <v>#N/A</v>
      </c>
      <c r="H87" s="90" t="e">
        <f>VLOOKUP(F87,ML!C71:E669,3,FALSE)</f>
        <v>#N/A</v>
      </c>
      <c r="M87" s="83"/>
      <c r="N87" s="57">
        <v>0</v>
      </c>
      <c r="O87" s="57">
        <v>0</v>
      </c>
      <c r="P87" s="57">
        <v>0</v>
      </c>
      <c r="Q87" s="57">
        <v>0</v>
      </c>
      <c r="R87" s="57">
        <v>0</v>
      </c>
      <c r="S87" s="57">
        <v>0</v>
      </c>
      <c r="T87" s="57">
        <v>0</v>
      </c>
      <c r="U87" s="57">
        <v>0</v>
      </c>
      <c r="V87" s="57">
        <v>0</v>
      </c>
      <c r="W87" s="57">
        <v>0</v>
      </c>
      <c r="X87" s="57">
        <v>0</v>
      </c>
      <c r="Y87" s="57">
        <v>0</v>
      </c>
      <c r="Z87" s="57">
        <v>0</v>
      </c>
      <c r="AA87" s="57">
        <v>0</v>
      </c>
      <c r="AB87" s="57">
        <v>0</v>
      </c>
      <c r="AC87" s="57">
        <v>0</v>
      </c>
      <c r="AD87" s="57">
        <v>0</v>
      </c>
      <c r="AE87" s="57">
        <v>0</v>
      </c>
      <c r="AF87" s="57">
        <v>0</v>
      </c>
      <c r="AG87" s="57">
        <v>0</v>
      </c>
      <c r="AH87" s="57">
        <v>0</v>
      </c>
      <c r="AI87" s="57">
        <v>0</v>
      </c>
      <c r="AJ87" s="57">
        <v>0</v>
      </c>
      <c r="AK87" s="57">
        <v>0</v>
      </c>
      <c r="AL87" s="57">
        <v>0</v>
      </c>
      <c r="AM87" s="57">
        <v>0</v>
      </c>
      <c r="AN87" s="57">
        <v>0</v>
      </c>
      <c r="AO87" s="57">
        <v>0</v>
      </c>
      <c r="AP87" s="57">
        <v>0</v>
      </c>
      <c r="AQ87" s="57">
        <v>0</v>
      </c>
      <c r="AR87" s="57">
        <v>0</v>
      </c>
      <c r="AS87" s="57">
        <v>0</v>
      </c>
      <c r="AT87" s="57">
        <v>0</v>
      </c>
      <c r="AU87" s="57">
        <v>0</v>
      </c>
      <c r="AV87" s="57">
        <v>0</v>
      </c>
      <c r="AW87" s="57">
        <v>0</v>
      </c>
      <c r="AX87" s="57">
        <v>0</v>
      </c>
      <c r="AY87" s="57">
        <v>0</v>
      </c>
      <c r="AZ87" s="57">
        <v>0</v>
      </c>
      <c r="BA87" s="57">
        <v>0</v>
      </c>
      <c r="BB87" s="57">
        <v>0</v>
      </c>
      <c r="BC87" s="57">
        <v>0</v>
      </c>
      <c r="BD87" s="57">
        <v>0</v>
      </c>
      <c r="BE87" s="57">
        <v>0</v>
      </c>
      <c r="BF87" s="57">
        <v>0</v>
      </c>
      <c r="BG87" s="57">
        <v>0</v>
      </c>
      <c r="BH87" s="57">
        <v>0</v>
      </c>
      <c r="BI87" s="57">
        <v>0</v>
      </c>
      <c r="BJ87" s="57">
        <v>0</v>
      </c>
      <c r="BK87" s="57">
        <v>0</v>
      </c>
      <c r="BL87" s="57">
        <v>0</v>
      </c>
      <c r="BM87" s="57">
        <v>0</v>
      </c>
      <c r="BN87" s="57">
        <v>0</v>
      </c>
      <c r="BO87" s="57">
        <v>0</v>
      </c>
      <c r="BP87" s="57">
        <v>0</v>
      </c>
      <c r="BQ87" s="57">
        <v>0</v>
      </c>
      <c r="BR87" s="57">
        <v>0</v>
      </c>
      <c r="BS87" s="57">
        <v>0</v>
      </c>
      <c r="BT87" s="57">
        <v>0</v>
      </c>
      <c r="BU87" s="57">
        <v>0</v>
      </c>
      <c r="BV87" s="57">
        <v>0</v>
      </c>
      <c r="BW87" s="57">
        <v>0</v>
      </c>
      <c r="BX87" s="57">
        <v>0</v>
      </c>
      <c r="BY87" s="57">
        <v>0</v>
      </c>
      <c r="BZ87" s="57">
        <v>0</v>
      </c>
      <c r="CA87" s="57">
        <v>0</v>
      </c>
      <c r="CB87" s="57">
        <v>0</v>
      </c>
      <c r="CC87" s="57">
        <v>0</v>
      </c>
      <c r="CD87" s="57">
        <v>0</v>
      </c>
      <c r="CE87" s="57">
        <v>0</v>
      </c>
      <c r="CF87" s="57">
        <v>0</v>
      </c>
      <c r="CG87" s="57">
        <v>0</v>
      </c>
      <c r="CH87" s="57">
        <v>0</v>
      </c>
      <c r="CI87" s="57">
        <v>0</v>
      </c>
      <c r="CJ87" s="57">
        <v>0</v>
      </c>
      <c r="CK87" s="57">
        <v>0</v>
      </c>
      <c r="CL87" s="57">
        <v>0</v>
      </c>
      <c r="CM87" s="57">
        <v>0</v>
      </c>
      <c r="CN87" s="57">
        <v>0</v>
      </c>
      <c r="CO87" s="57">
        <v>0</v>
      </c>
      <c r="CP87" s="57">
        <v>0</v>
      </c>
      <c r="CQ87" s="57">
        <v>0</v>
      </c>
      <c r="CR87" s="57">
        <v>0</v>
      </c>
      <c r="CS87" s="57">
        <v>0</v>
      </c>
      <c r="CT87" s="57">
        <v>0</v>
      </c>
      <c r="CU87" s="57">
        <v>0</v>
      </c>
      <c r="CV87" s="57">
        <v>0</v>
      </c>
      <c r="CW87" s="57">
        <v>0</v>
      </c>
      <c r="CX87" s="57">
        <v>0</v>
      </c>
      <c r="CY87" s="57">
        <v>0</v>
      </c>
      <c r="CZ87" s="57">
        <v>0</v>
      </c>
      <c r="DA87" s="57">
        <v>0</v>
      </c>
      <c r="DB87" s="57">
        <v>0</v>
      </c>
      <c r="DC87" s="57">
        <v>0</v>
      </c>
      <c r="DD87" s="57">
        <v>0</v>
      </c>
      <c r="DE87" s="57">
        <v>0</v>
      </c>
      <c r="DF87" s="57">
        <v>0</v>
      </c>
      <c r="DG87" s="137">
        <v>0</v>
      </c>
      <c r="DH87" s="137">
        <v>0</v>
      </c>
      <c r="DI87" s="137">
        <v>0</v>
      </c>
      <c r="DJ87" s="137">
        <v>0</v>
      </c>
      <c r="DK87" s="137">
        <v>0</v>
      </c>
      <c r="DL87" s="137">
        <v>0</v>
      </c>
      <c r="DM87" s="137">
        <v>0</v>
      </c>
      <c r="DN87" s="137">
        <v>0</v>
      </c>
      <c r="DO87" s="137">
        <v>0</v>
      </c>
      <c r="DP87" s="137">
        <v>0</v>
      </c>
      <c r="DQ87" s="137">
        <v>0</v>
      </c>
      <c r="DR87" s="137">
        <v>0</v>
      </c>
      <c r="DS87" s="137">
        <v>0</v>
      </c>
      <c r="DT87" s="137">
        <v>0</v>
      </c>
      <c r="DU87" s="137">
        <v>0</v>
      </c>
      <c r="DV87" s="137">
        <v>0</v>
      </c>
      <c r="DW87" s="137">
        <v>0</v>
      </c>
      <c r="DX87" s="137">
        <v>0</v>
      </c>
      <c r="DY87" s="137">
        <v>0</v>
      </c>
      <c r="DZ87" s="137">
        <v>0</v>
      </c>
      <c r="EA87" s="137">
        <v>0</v>
      </c>
    </row>
    <row r="88" spans="1:131" x14ac:dyDescent="0.35">
      <c r="A88" s="90" t="e">
        <f>VLOOKUP(E88,'Validation List'!F89:G484,2,FALSE)</f>
        <v>#N/A</v>
      </c>
      <c r="B88" s="90" t="e">
        <f>INDEX('NEW HIRE ROSTER'!$G:$G,MATCH(RAW!F88,'NEW HIRE ROSTER'!$A:$A,0))</f>
        <v>#N/A</v>
      </c>
      <c r="C88" s="90" t="e">
        <f>INDEX('NEW HIRE ROSTER'!$F:$F,MATCH(RAW!F88,'NEW HIRE ROSTER'!$A:$A,0))</f>
        <v>#N/A</v>
      </c>
      <c r="D88" s="90" t="e">
        <f>INDEX('Validation List'!$H:$H,MATCH(RAW!E88,'Validation List'!$F:$F,0))</f>
        <v>#N/A</v>
      </c>
      <c r="G88" s="90" t="e">
        <f>VLOOKUP(F88,ML!C72:D670,2,FALSE)</f>
        <v>#N/A</v>
      </c>
      <c r="H88" s="90" t="e">
        <f>VLOOKUP(F88,ML!C72:E670,3,FALSE)</f>
        <v>#N/A</v>
      </c>
      <c r="M88" s="83"/>
      <c r="N88" s="57">
        <v>0</v>
      </c>
      <c r="O88" s="57">
        <v>0</v>
      </c>
      <c r="P88" s="57">
        <v>0</v>
      </c>
      <c r="Q88" s="57">
        <v>0</v>
      </c>
      <c r="R88" s="57">
        <v>0</v>
      </c>
      <c r="S88" s="57">
        <v>0</v>
      </c>
      <c r="T88" s="57">
        <v>0</v>
      </c>
      <c r="U88" s="57">
        <v>0</v>
      </c>
      <c r="V88" s="57">
        <v>0</v>
      </c>
      <c r="W88" s="57">
        <v>0</v>
      </c>
      <c r="X88" s="57">
        <v>0</v>
      </c>
      <c r="Y88" s="57">
        <v>0</v>
      </c>
      <c r="Z88" s="57">
        <v>0</v>
      </c>
      <c r="AA88" s="57">
        <v>0</v>
      </c>
      <c r="AB88" s="57">
        <v>0</v>
      </c>
      <c r="AC88" s="57">
        <v>0</v>
      </c>
      <c r="AD88" s="57">
        <v>0</v>
      </c>
      <c r="AE88" s="57">
        <v>0</v>
      </c>
      <c r="AF88" s="57">
        <v>0</v>
      </c>
      <c r="AG88" s="57">
        <v>0</v>
      </c>
      <c r="AH88" s="57">
        <v>0</v>
      </c>
      <c r="AI88" s="57">
        <v>0</v>
      </c>
      <c r="AJ88" s="57">
        <v>0</v>
      </c>
      <c r="AK88" s="57">
        <v>0</v>
      </c>
      <c r="AL88" s="57">
        <v>0</v>
      </c>
      <c r="AM88" s="57">
        <v>0</v>
      </c>
      <c r="AN88" s="57">
        <v>0</v>
      </c>
      <c r="AO88" s="57">
        <v>0</v>
      </c>
      <c r="AP88" s="57">
        <v>0</v>
      </c>
      <c r="AQ88" s="57">
        <v>0</v>
      </c>
      <c r="AR88" s="57">
        <v>0</v>
      </c>
      <c r="AS88" s="57">
        <v>0</v>
      </c>
      <c r="AT88" s="57">
        <v>0</v>
      </c>
      <c r="AU88" s="57">
        <v>0</v>
      </c>
      <c r="AV88" s="57">
        <v>0</v>
      </c>
      <c r="AW88" s="57">
        <v>0</v>
      </c>
      <c r="AX88" s="57">
        <v>0</v>
      </c>
      <c r="AY88" s="57">
        <v>0</v>
      </c>
      <c r="AZ88" s="57">
        <v>0</v>
      </c>
      <c r="BA88" s="57">
        <v>0</v>
      </c>
      <c r="BB88" s="57">
        <v>0</v>
      </c>
      <c r="BC88" s="57">
        <v>0</v>
      </c>
      <c r="BD88" s="57">
        <v>0</v>
      </c>
      <c r="BE88" s="57">
        <v>0</v>
      </c>
      <c r="BF88" s="57">
        <v>0</v>
      </c>
      <c r="BG88" s="57">
        <v>0</v>
      </c>
      <c r="BH88" s="57">
        <v>0</v>
      </c>
      <c r="BI88" s="57">
        <v>0</v>
      </c>
      <c r="BJ88" s="57">
        <v>0</v>
      </c>
      <c r="BK88" s="57">
        <v>0</v>
      </c>
      <c r="BL88" s="57">
        <v>0</v>
      </c>
      <c r="BM88" s="57">
        <v>0</v>
      </c>
      <c r="BN88" s="57">
        <v>0</v>
      </c>
      <c r="BO88" s="57">
        <v>0</v>
      </c>
      <c r="BP88" s="57">
        <v>0</v>
      </c>
      <c r="BQ88" s="57">
        <v>0</v>
      </c>
      <c r="BR88" s="57">
        <v>0</v>
      </c>
      <c r="BS88" s="57">
        <v>0</v>
      </c>
      <c r="BT88" s="57">
        <v>0</v>
      </c>
      <c r="BU88" s="57">
        <v>0</v>
      </c>
      <c r="BV88" s="57">
        <v>0</v>
      </c>
      <c r="BW88" s="57">
        <v>0</v>
      </c>
      <c r="BX88" s="57">
        <v>0</v>
      </c>
      <c r="BY88" s="57">
        <v>0</v>
      </c>
      <c r="BZ88" s="57">
        <v>0</v>
      </c>
      <c r="CA88" s="57">
        <v>0</v>
      </c>
      <c r="CB88" s="57">
        <v>0</v>
      </c>
      <c r="CC88" s="57">
        <v>0</v>
      </c>
      <c r="CD88" s="57">
        <v>0</v>
      </c>
      <c r="CE88" s="57">
        <v>0</v>
      </c>
      <c r="CF88" s="57">
        <v>0</v>
      </c>
      <c r="CG88" s="57">
        <v>0</v>
      </c>
      <c r="CH88" s="57">
        <v>0</v>
      </c>
      <c r="CI88" s="57">
        <v>0</v>
      </c>
      <c r="CJ88" s="57">
        <v>0</v>
      </c>
      <c r="CK88" s="57">
        <v>0</v>
      </c>
      <c r="CL88" s="57">
        <v>0</v>
      </c>
      <c r="CM88" s="57">
        <v>0</v>
      </c>
      <c r="CN88" s="57">
        <v>0</v>
      </c>
      <c r="CO88" s="57">
        <v>0</v>
      </c>
      <c r="CP88" s="57">
        <v>0</v>
      </c>
      <c r="CQ88" s="57">
        <v>0</v>
      </c>
      <c r="CR88" s="57">
        <v>0</v>
      </c>
      <c r="CS88" s="57">
        <v>0</v>
      </c>
      <c r="CT88" s="57">
        <v>0</v>
      </c>
      <c r="CU88" s="57">
        <v>0</v>
      </c>
      <c r="CV88" s="57">
        <v>0</v>
      </c>
      <c r="CW88" s="57">
        <v>0</v>
      </c>
      <c r="CX88" s="57">
        <v>0</v>
      </c>
      <c r="CY88" s="57">
        <v>0</v>
      </c>
      <c r="CZ88" s="57">
        <v>0</v>
      </c>
      <c r="DA88" s="57">
        <v>0</v>
      </c>
      <c r="DB88" s="57">
        <v>0</v>
      </c>
      <c r="DC88" s="57">
        <v>0</v>
      </c>
      <c r="DD88" s="57">
        <v>0</v>
      </c>
      <c r="DE88" s="57">
        <v>0</v>
      </c>
      <c r="DF88" s="57">
        <v>0</v>
      </c>
      <c r="DG88" s="137">
        <v>0</v>
      </c>
      <c r="DH88" s="137">
        <v>0</v>
      </c>
      <c r="DI88" s="137">
        <v>0</v>
      </c>
      <c r="DJ88" s="137">
        <v>0</v>
      </c>
      <c r="DK88" s="137">
        <v>0</v>
      </c>
      <c r="DL88" s="137">
        <v>0</v>
      </c>
      <c r="DM88" s="137">
        <v>0</v>
      </c>
      <c r="DN88" s="137">
        <v>0</v>
      </c>
      <c r="DO88" s="137">
        <v>0</v>
      </c>
      <c r="DP88" s="137">
        <v>0</v>
      </c>
      <c r="DQ88" s="137">
        <v>0</v>
      </c>
      <c r="DR88" s="137">
        <v>0</v>
      </c>
      <c r="DS88" s="137">
        <v>0</v>
      </c>
      <c r="DT88" s="137">
        <v>0</v>
      </c>
      <c r="DU88" s="137">
        <v>0</v>
      </c>
      <c r="DV88" s="137">
        <v>0</v>
      </c>
      <c r="DW88" s="137">
        <v>0</v>
      </c>
      <c r="DX88" s="137">
        <v>0</v>
      </c>
      <c r="DY88" s="137">
        <v>0</v>
      </c>
      <c r="DZ88" s="137">
        <v>0</v>
      </c>
      <c r="EA88" s="137">
        <v>0</v>
      </c>
    </row>
    <row r="89" spans="1:131" x14ac:dyDescent="0.35">
      <c r="A89" s="90" t="e">
        <f>VLOOKUP(E89,'Validation List'!F90:G485,2,FALSE)</f>
        <v>#N/A</v>
      </c>
      <c r="B89" s="90" t="e">
        <f>INDEX('NEW HIRE ROSTER'!$G:$G,MATCH(RAW!F89,'NEW HIRE ROSTER'!$A:$A,0))</f>
        <v>#N/A</v>
      </c>
      <c r="C89" s="90" t="e">
        <f>INDEX('NEW HIRE ROSTER'!$F:$F,MATCH(RAW!F89,'NEW HIRE ROSTER'!$A:$A,0))</f>
        <v>#N/A</v>
      </c>
      <c r="D89" s="90" t="e">
        <f>INDEX('Validation List'!$H:$H,MATCH(RAW!E89,'Validation List'!$F:$F,0))</f>
        <v>#N/A</v>
      </c>
      <c r="G89" s="90" t="e">
        <f>VLOOKUP(F89,ML!C73:D671,2,FALSE)</f>
        <v>#N/A</v>
      </c>
      <c r="H89" s="90" t="e">
        <f>VLOOKUP(F89,ML!C73:E671,3,FALSE)</f>
        <v>#N/A</v>
      </c>
      <c r="M89" s="83"/>
      <c r="N89" s="57">
        <v>0</v>
      </c>
      <c r="O89" s="57">
        <v>0</v>
      </c>
      <c r="P89" s="57">
        <v>0</v>
      </c>
      <c r="Q89" s="57">
        <v>0</v>
      </c>
      <c r="R89" s="57">
        <v>0</v>
      </c>
      <c r="S89" s="57">
        <v>0</v>
      </c>
      <c r="T89" s="57">
        <v>0</v>
      </c>
      <c r="U89" s="57">
        <v>0</v>
      </c>
      <c r="V89" s="57">
        <v>0</v>
      </c>
      <c r="W89" s="57">
        <v>0</v>
      </c>
      <c r="X89" s="57">
        <v>0</v>
      </c>
      <c r="Y89" s="57">
        <v>0</v>
      </c>
      <c r="Z89" s="57">
        <v>0</v>
      </c>
      <c r="AA89" s="57">
        <v>0</v>
      </c>
      <c r="AB89" s="57">
        <v>0</v>
      </c>
      <c r="AC89" s="57">
        <v>0</v>
      </c>
      <c r="AD89" s="57">
        <v>0</v>
      </c>
      <c r="AE89" s="57">
        <v>0</v>
      </c>
      <c r="AF89" s="57">
        <v>0</v>
      </c>
      <c r="AG89" s="57">
        <v>0</v>
      </c>
      <c r="AH89" s="57">
        <v>0</v>
      </c>
      <c r="AI89" s="57">
        <v>0</v>
      </c>
      <c r="AJ89" s="57">
        <v>0</v>
      </c>
      <c r="AK89" s="57">
        <v>0</v>
      </c>
      <c r="AL89" s="57">
        <v>0</v>
      </c>
      <c r="AM89" s="57">
        <v>0</v>
      </c>
      <c r="AN89" s="57">
        <v>0</v>
      </c>
      <c r="AO89" s="57">
        <v>0</v>
      </c>
      <c r="AP89" s="57">
        <v>0</v>
      </c>
      <c r="AQ89" s="57">
        <v>0</v>
      </c>
      <c r="AR89" s="57">
        <v>0</v>
      </c>
      <c r="AS89" s="57">
        <v>0</v>
      </c>
      <c r="AT89" s="57">
        <v>0</v>
      </c>
      <c r="AU89" s="57">
        <v>0</v>
      </c>
      <c r="AV89" s="57">
        <v>0</v>
      </c>
      <c r="AW89" s="57">
        <v>0</v>
      </c>
      <c r="AX89" s="57">
        <v>0</v>
      </c>
      <c r="AY89" s="57">
        <v>0</v>
      </c>
      <c r="AZ89" s="57">
        <v>0</v>
      </c>
      <c r="BA89" s="57">
        <v>0</v>
      </c>
      <c r="BB89" s="57">
        <v>0</v>
      </c>
      <c r="BC89" s="57">
        <v>0</v>
      </c>
      <c r="BD89" s="57">
        <v>0</v>
      </c>
      <c r="BE89" s="57">
        <v>0</v>
      </c>
      <c r="BF89" s="57">
        <v>0</v>
      </c>
      <c r="BG89" s="57">
        <v>0</v>
      </c>
      <c r="BH89" s="57">
        <v>0</v>
      </c>
      <c r="BI89" s="57">
        <v>0</v>
      </c>
      <c r="BJ89" s="57">
        <v>0</v>
      </c>
      <c r="BK89" s="57">
        <v>0</v>
      </c>
      <c r="BL89" s="57">
        <v>0</v>
      </c>
      <c r="BM89" s="57">
        <v>0</v>
      </c>
      <c r="BN89" s="57">
        <v>0</v>
      </c>
      <c r="BO89" s="57">
        <v>0</v>
      </c>
      <c r="BP89" s="57">
        <v>0</v>
      </c>
      <c r="BQ89" s="57">
        <v>0</v>
      </c>
      <c r="BR89" s="57">
        <v>0</v>
      </c>
      <c r="BS89" s="57">
        <v>0</v>
      </c>
      <c r="BT89" s="57">
        <v>0</v>
      </c>
      <c r="BU89" s="57">
        <v>0</v>
      </c>
      <c r="BV89" s="57">
        <v>0</v>
      </c>
      <c r="BW89" s="57">
        <v>0</v>
      </c>
      <c r="BX89" s="57">
        <v>0</v>
      </c>
      <c r="BY89" s="57">
        <v>0</v>
      </c>
      <c r="BZ89" s="57">
        <v>0</v>
      </c>
      <c r="CA89" s="57">
        <v>0</v>
      </c>
      <c r="CB89" s="57">
        <v>0</v>
      </c>
      <c r="CC89" s="57">
        <v>0</v>
      </c>
      <c r="CD89" s="57">
        <v>0</v>
      </c>
      <c r="CE89" s="57">
        <v>0</v>
      </c>
      <c r="CF89" s="57">
        <v>0</v>
      </c>
      <c r="CG89" s="57">
        <v>0</v>
      </c>
      <c r="CH89" s="57">
        <v>0</v>
      </c>
      <c r="CI89" s="57">
        <v>0</v>
      </c>
      <c r="CJ89" s="57">
        <v>0</v>
      </c>
      <c r="CK89" s="57">
        <v>0</v>
      </c>
      <c r="CL89" s="57">
        <v>0</v>
      </c>
      <c r="CM89" s="57">
        <v>0</v>
      </c>
      <c r="CN89" s="57">
        <v>0</v>
      </c>
      <c r="CO89" s="57">
        <v>0</v>
      </c>
      <c r="CP89" s="57">
        <v>0</v>
      </c>
      <c r="CQ89" s="57">
        <v>0</v>
      </c>
      <c r="CR89" s="57">
        <v>0</v>
      </c>
      <c r="CS89" s="57">
        <v>0</v>
      </c>
      <c r="CT89" s="57">
        <v>0</v>
      </c>
      <c r="CU89" s="57">
        <v>0</v>
      </c>
      <c r="CV89" s="57">
        <v>0</v>
      </c>
      <c r="CW89" s="57">
        <v>0</v>
      </c>
      <c r="CX89" s="57">
        <v>0</v>
      </c>
      <c r="CY89" s="57">
        <v>0</v>
      </c>
      <c r="CZ89" s="57">
        <v>0</v>
      </c>
      <c r="DA89" s="57">
        <v>0</v>
      </c>
      <c r="DB89" s="57">
        <v>0</v>
      </c>
      <c r="DC89" s="57">
        <v>0</v>
      </c>
      <c r="DD89" s="57">
        <v>0</v>
      </c>
      <c r="DE89" s="57">
        <v>0</v>
      </c>
      <c r="DF89" s="57">
        <v>0</v>
      </c>
      <c r="DG89" s="137">
        <v>0</v>
      </c>
      <c r="DH89" s="137">
        <v>0</v>
      </c>
      <c r="DI89" s="137">
        <v>0</v>
      </c>
      <c r="DJ89" s="137">
        <v>0</v>
      </c>
      <c r="DK89" s="137">
        <v>0</v>
      </c>
      <c r="DL89" s="137">
        <v>0</v>
      </c>
      <c r="DM89" s="137">
        <v>0</v>
      </c>
      <c r="DN89" s="137">
        <v>0</v>
      </c>
      <c r="DO89" s="137">
        <v>0</v>
      </c>
      <c r="DP89" s="137">
        <v>0</v>
      </c>
      <c r="DQ89" s="137">
        <v>0</v>
      </c>
      <c r="DR89" s="137">
        <v>0</v>
      </c>
      <c r="DS89" s="137">
        <v>0</v>
      </c>
      <c r="DT89" s="137">
        <v>0</v>
      </c>
      <c r="DU89" s="137">
        <v>0</v>
      </c>
      <c r="DV89" s="137">
        <v>0</v>
      </c>
      <c r="DW89" s="137">
        <v>0</v>
      </c>
      <c r="DX89" s="137">
        <v>0</v>
      </c>
      <c r="DY89" s="137">
        <v>0</v>
      </c>
      <c r="DZ89" s="137">
        <v>0</v>
      </c>
      <c r="EA89" s="137">
        <v>0</v>
      </c>
    </row>
    <row r="90" spans="1:131" x14ac:dyDescent="0.35">
      <c r="A90" s="90" t="e">
        <f>VLOOKUP(E90,'Validation List'!F91:G486,2,FALSE)</f>
        <v>#N/A</v>
      </c>
      <c r="B90" s="90" t="e">
        <f>INDEX('NEW HIRE ROSTER'!$G:$G,MATCH(RAW!F90,'NEW HIRE ROSTER'!$A:$A,0))</f>
        <v>#N/A</v>
      </c>
      <c r="C90" s="90" t="e">
        <f>INDEX('NEW HIRE ROSTER'!$F:$F,MATCH(RAW!F90,'NEW HIRE ROSTER'!$A:$A,0))</f>
        <v>#N/A</v>
      </c>
      <c r="D90" s="90" t="e">
        <f>INDEX('Validation List'!$H:$H,MATCH(RAW!E90,'Validation List'!$F:$F,0))</f>
        <v>#N/A</v>
      </c>
      <c r="G90" s="90" t="e">
        <f>VLOOKUP(F90,ML!C74:D672,2,FALSE)</f>
        <v>#N/A</v>
      </c>
      <c r="H90" s="90" t="e">
        <f>VLOOKUP(F90,ML!C74:E672,3,FALSE)</f>
        <v>#N/A</v>
      </c>
      <c r="M90" s="83"/>
      <c r="N90" s="57">
        <v>0</v>
      </c>
      <c r="O90" s="57">
        <v>0</v>
      </c>
      <c r="P90" s="57">
        <v>0</v>
      </c>
      <c r="Q90" s="57">
        <v>0</v>
      </c>
      <c r="R90" s="57">
        <v>0</v>
      </c>
      <c r="S90" s="57">
        <v>0</v>
      </c>
      <c r="T90" s="57">
        <v>0</v>
      </c>
      <c r="U90" s="57">
        <v>0</v>
      </c>
      <c r="V90" s="57">
        <v>0</v>
      </c>
      <c r="W90" s="57">
        <v>0</v>
      </c>
      <c r="X90" s="57">
        <v>0</v>
      </c>
      <c r="Y90" s="57">
        <v>0</v>
      </c>
      <c r="Z90" s="57">
        <v>0</v>
      </c>
      <c r="AA90" s="57">
        <v>0</v>
      </c>
      <c r="AB90" s="57">
        <v>0</v>
      </c>
      <c r="AC90" s="57">
        <v>0</v>
      </c>
      <c r="AD90" s="57">
        <v>0</v>
      </c>
      <c r="AE90" s="57">
        <v>0</v>
      </c>
      <c r="AF90" s="57">
        <v>0</v>
      </c>
      <c r="AG90" s="57">
        <v>0</v>
      </c>
      <c r="AH90" s="57">
        <v>0</v>
      </c>
      <c r="AI90" s="57">
        <v>0</v>
      </c>
      <c r="AJ90" s="57">
        <v>0</v>
      </c>
      <c r="AK90" s="57">
        <v>0</v>
      </c>
      <c r="AL90" s="57">
        <v>0</v>
      </c>
      <c r="AM90" s="57">
        <v>0</v>
      </c>
      <c r="AN90" s="57">
        <v>0</v>
      </c>
      <c r="AO90" s="57">
        <v>0</v>
      </c>
      <c r="AP90" s="57">
        <v>0</v>
      </c>
      <c r="AQ90" s="57">
        <v>0</v>
      </c>
      <c r="AR90" s="57">
        <v>0</v>
      </c>
      <c r="AS90" s="57">
        <v>0</v>
      </c>
      <c r="AT90" s="57">
        <v>0</v>
      </c>
      <c r="AU90" s="57">
        <v>0</v>
      </c>
      <c r="AV90" s="57">
        <v>0</v>
      </c>
      <c r="AW90" s="57">
        <v>0</v>
      </c>
      <c r="AX90" s="57">
        <v>0</v>
      </c>
      <c r="AY90" s="57">
        <v>0</v>
      </c>
      <c r="AZ90" s="57">
        <v>0</v>
      </c>
      <c r="BA90" s="57">
        <v>0</v>
      </c>
      <c r="BB90" s="57">
        <v>0</v>
      </c>
      <c r="BC90" s="57">
        <v>0</v>
      </c>
      <c r="BD90" s="57">
        <v>0</v>
      </c>
      <c r="BE90" s="57">
        <v>0</v>
      </c>
      <c r="BF90" s="57">
        <v>0</v>
      </c>
      <c r="BG90" s="57">
        <v>0</v>
      </c>
      <c r="BH90" s="57">
        <v>0</v>
      </c>
      <c r="BI90" s="57">
        <v>0</v>
      </c>
      <c r="BJ90" s="57">
        <v>0</v>
      </c>
      <c r="BK90" s="57">
        <v>0</v>
      </c>
      <c r="BL90" s="57">
        <v>0</v>
      </c>
      <c r="BM90" s="57">
        <v>0</v>
      </c>
      <c r="BN90" s="57">
        <v>0</v>
      </c>
      <c r="BO90" s="57">
        <v>0</v>
      </c>
      <c r="BP90" s="57">
        <v>0</v>
      </c>
      <c r="BQ90" s="57">
        <v>0</v>
      </c>
      <c r="BR90" s="57">
        <v>0</v>
      </c>
      <c r="BS90" s="57">
        <v>0</v>
      </c>
      <c r="BT90" s="57">
        <v>0</v>
      </c>
      <c r="BU90" s="57">
        <v>0</v>
      </c>
      <c r="BV90" s="57">
        <v>0</v>
      </c>
      <c r="BW90" s="57">
        <v>0</v>
      </c>
      <c r="BX90" s="57">
        <v>0</v>
      </c>
      <c r="BY90" s="57">
        <v>0</v>
      </c>
      <c r="BZ90" s="57">
        <v>0</v>
      </c>
      <c r="CA90" s="57">
        <v>0</v>
      </c>
      <c r="CB90" s="57">
        <v>0</v>
      </c>
      <c r="CC90" s="57">
        <v>0</v>
      </c>
      <c r="CD90" s="57">
        <v>0</v>
      </c>
      <c r="CE90" s="57">
        <v>0</v>
      </c>
      <c r="CF90" s="57">
        <v>0</v>
      </c>
      <c r="CG90" s="57">
        <v>0</v>
      </c>
      <c r="CH90" s="57">
        <v>0</v>
      </c>
      <c r="CI90" s="57">
        <v>0</v>
      </c>
      <c r="CJ90" s="57">
        <v>0</v>
      </c>
      <c r="CK90" s="57">
        <v>0</v>
      </c>
      <c r="CL90" s="57">
        <v>0</v>
      </c>
      <c r="CM90" s="57">
        <v>0</v>
      </c>
      <c r="CN90" s="57">
        <v>0</v>
      </c>
      <c r="CO90" s="57">
        <v>0</v>
      </c>
      <c r="CP90" s="57">
        <v>0</v>
      </c>
      <c r="CQ90" s="57">
        <v>0</v>
      </c>
      <c r="CR90" s="57">
        <v>0</v>
      </c>
      <c r="CS90" s="57">
        <v>0</v>
      </c>
      <c r="CT90" s="57">
        <v>0</v>
      </c>
      <c r="CU90" s="57">
        <v>0</v>
      </c>
      <c r="CV90" s="57">
        <v>0</v>
      </c>
      <c r="CW90" s="57">
        <v>0</v>
      </c>
      <c r="CX90" s="57">
        <v>0</v>
      </c>
      <c r="CY90" s="57">
        <v>0</v>
      </c>
      <c r="CZ90" s="57">
        <v>0</v>
      </c>
      <c r="DA90" s="57">
        <v>0</v>
      </c>
      <c r="DB90" s="57">
        <v>0</v>
      </c>
      <c r="DC90" s="57">
        <v>0</v>
      </c>
      <c r="DD90" s="57">
        <v>0</v>
      </c>
      <c r="DE90" s="57">
        <v>0</v>
      </c>
      <c r="DF90" s="57">
        <v>0</v>
      </c>
      <c r="DG90" s="137">
        <v>0</v>
      </c>
      <c r="DH90" s="137">
        <v>0</v>
      </c>
      <c r="DI90" s="137">
        <v>0</v>
      </c>
      <c r="DJ90" s="137">
        <v>0</v>
      </c>
      <c r="DK90" s="137">
        <v>0</v>
      </c>
      <c r="DL90" s="137">
        <v>0</v>
      </c>
      <c r="DM90" s="137">
        <v>0</v>
      </c>
      <c r="DN90" s="137">
        <v>0</v>
      </c>
      <c r="DO90" s="137">
        <v>0</v>
      </c>
      <c r="DP90" s="137">
        <v>0</v>
      </c>
      <c r="DQ90" s="137">
        <v>0</v>
      </c>
      <c r="DR90" s="137">
        <v>0</v>
      </c>
      <c r="DS90" s="137">
        <v>0</v>
      </c>
      <c r="DT90" s="137">
        <v>0</v>
      </c>
      <c r="DU90" s="137">
        <v>0</v>
      </c>
      <c r="DV90" s="137">
        <v>0</v>
      </c>
      <c r="DW90" s="137">
        <v>0</v>
      </c>
      <c r="DX90" s="137">
        <v>0</v>
      </c>
      <c r="DY90" s="137">
        <v>0</v>
      </c>
      <c r="DZ90" s="137">
        <v>0</v>
      </c>
      <c r="EA90" s="137">
        <v>0</v>
      </c>
    </row>
    <row r="91" spans="1:131" x14ac:dyDescent="0.35">
      <c r="A91" s="90" t="e">
        <f>VLOOKUP(E91,'Validation List'!F92:G487,2,FALSE)</f>
        <v>#N/A</v>
      </c>
      <c r="B91" s="90" t="e">
        <f>INDEX('NEW HIRE ROSTER'!$G:$G,MATCH(RAW!F91,'NEW HIRE ROSTER'!$A:$A,0))</f>
        <v>#N/A</v>
      </c>
      <c r="C91" s="90" t="e">
        <f>INDEX('NEW HIRE ROSTER'!$F:$F,MATCH(RAW!F91,'NEW HIRE ROSTER'!$A:$A,0))</f>
        <v>#N/A</v>
      </c>
      <c r="D91" s="90" t="e">
        <f>INDEX('Validation List'!$H:$H,MATCH(RAW!E91,'Validation List'!$F:$F,0))</f>
        <v>#N/A</v>
      </c>
      <c r="G91" s="90" t="e">
        <f>VLOOKUP(F91,ML!C75:D673,2,FALSE)</f>
        <v>#N/A</v>
      </c>
      <c r="H91" s="90" t="e">
        <f>VLOOKUP(F91,ML!C75:E673,3,FALSE)</f>
        <v>#N/A</v>
      </c>
      <c r="M91" s="83"/>
      <c r="N91" s="57">
        <v>0</v>
      </c>
      <c r="O91" s="57">
        <v>0</v>
      </c>
      <c r="P91" s="57">
        <v>0</v>
      </c>
      <c r="Q91" s="57">
        <v>0</v>
      </c>
      <c r="R91" s="57">
        <v>0</v>
      </c>
      <c r="S91" s="57">
        <v>0</v>
      </c>
      <c r="T91" s="57">
        <v>0</v>
      </c>
      <c r="U91" s="57">
        <v>0</v>
      </c>
      <c r="V91" s="57">
        <v>0</v>
      </c>
      <c r="W91" s="57">
        <v>0</v>
      </c>
      <c r="X91" s="57">
        <v>0</v>
      </c>
      <c r="Y91" s="57">
        <v>0</v>
      </c>
      <c r="Z91" s="57">
        <v>0</v>
      </c>
      <c r="AA91" s="57">
        <v>0</v>
      </c>
      <c r="AB91" s="57">
        <v>0</v>
      </c>
      <c r="AC91" s="57">
        <v>0</v>
      </c>
      <c r="AD91" s="57">
        <v>0</v>
      </c>
      <c r="AE91" s="57">
        <v>0</v>
      </c>
      <c r="AF91" s="57">
        <v>0</v>
      </c>
      <c r="AG91" s="57">
        <v>0</v>
      </c>
      <c r="AH91" s="57">
        <v>0</v>
      </c>
      <c r="AI91" s="57">
        <v>0</v>
      </c>
      <c r="AJ91" s="57">
        <v>0</v>
      </c>
      <c r="AK91" s="57">
        <v>0</v>
      </c>
      <c r="AL91" s="57">
        <v>0</v>
      </c>
      <c r="AM91" s="57">
        <v>0</v>
      </c>
      <c r="AN91" s="57">
        <v>0</v>
      </c>
      <c r="AO91" s="57">
        <v>0</v>
      </c>
      <c r="AP91" s="57">
        <v>0</v>
      </c>
      <c r="AQ91" s="57">
        <v>0</v>
      </c>
      <c r="AR91" s="57">
        <v>0</v>
      </c>
      <c r="AS91" s="57">
        <v>0</v>
      </c>
      <c r="AT91" s="57">
        <v>0</v>
      </c>
      <c r="AU91" s="57">
        <v>0</v>
      </c>
      <c r="AV91" s="57">
        <v>0</v>
      </c>
      <c r="AW91" s="57">
        <v>0</v>
      </c>
      <c r="AX91" s="57">
        <v>0</v>
      </c>
      <c r="AY91" s="57">
        <v>0</v>
      </c>
      <c r="AZ91" s="57">
        <v>0</v>
      </c>
      <c r="BA91" s="57">
        <v>0</v>
      </c>
      <c r="BB91" s="57">
        <v>0</v>
      </c>
      <c r="BC91" s="57">
        <v>0</v>
      </c>
      <c r="BD91" s="57">
        <v>0</v>
      </c>
      <c r="BE91" s="57">
        <v>0</v>
      </c>
      <c r="BF91" s="57">
        <v>0</v>
      </c>
      <c r="BG91" s="57">
        <v>0</v>
      </c>
      <c r="BH91" s="57">
        <v>0</v>
      </c>
      <c r="BI91" s="57">
        <v>0</v>
      </c>
      <c r="BJ91" s="57">
        <v>0</v>
      </c>
      <c r="BK91" s="57">
        <v>0</v>
      </c>
      <c r="BL91" s="57">
        <v>0</v>
      </c>
      <c r="BM91" s="57">
        <v>0</v>
      </c>
      <c r="BN91" s="57">
        <v>0</v>
      </c>
      <c r="BO91" s="57">
        <v>0</v>
      </c>
      <c r="BP91" s="57">
        <v>0</v>
      </c>
      <c r="BQ91" s="57">
        <v>0</v>
      </c>
      <c r="BR91" s="57">
        <v>0</v>
      </c>
      <c r="BS91" s="57">
        <v>0</v>
      </c>
      <c r="BT91" s="57">
        <v>0</v>
      </c>
      <c r="BU91" s="57">
        <v>0</v>
      </c>
      <c r="BV91" s="57">
        <v>0</v>
      </c>
      <c r="BW91" s="57">
        <v>0</v>
      </c>
      <c r="BX91" s="57">
        <v>0</v>
      </c>
      <c r="BY91" s="57">
        <v>0</v>
      </c>
      <c r="BZ91" s="57">
        <v>0</v>
      </c>
      <c r="CA91" s="57">
        <v>0</v>
      </c>
      <c r="CB91" s="57">
        <v>0</v>
      </c>
      <c r="CC91" s="57">
        <v>0</v>
      </c>
      <c r="CD91" s="57">
        <v>0</v>
      </c>
      <c r="CE91" s="57">
        <v>0</v>
      </c>
      <c r="CF91" s="57">
        <v>0</v>
      </c>
      <c r="CG91" s="57">
        <v>0</v>
      </c>
      <c r="CH91" s="57">
        <v>0</v>
      </c>
      <c r="CI91" s="57">
        <v>0</v>
      </c>
      <c r="CJ91" s="57">
        <v>0</v>
      </c>
      <c r="CK91" s="57">
        <v>0</v>
      </c>
      <c r="CL91" s="57">
        <v>0</v>
      </c>
      <c r="CM91" s="57">
        <v>0</v>
      </c>
      <c r="CN91" s="57">
        <v>0</v>
      </c>
      <c r="CO91" s="57">
        <v>0</v>
      </c>
      <c r="CP91" s="57">
        <v>0</v>
      </c>
      <c r="CQ91" s="57">
        <v>0</v>
      </c>
      <c r="CR91" s="57">
        <v>0</v>
      </c>
      <c r="CS91" s="57">
        <v>0</v>
      </c>
      <c r="CT91" s="57">
        <v>0</v>
      </c>
      <c r="CU91" s="57">
        <v>0</v>
      </c>
      <c r="CV91" s="57">
        <v>0</v>
      </c>
      <c r="CW91" s="57">
        <v>0</v>
      </c>
      <c r="CX91" s="57">
        <v>0</v>
      </c>
      <c r="CY91" s="57">
        <v>0</v>
      </c>
      <c r="CZ91" s="57">
        <v>0</v>
      </c>
      <c r="DA91" s="57">
        <v>0</v>
      </c>
      <c r="DB91" s="57">
        <v>0</v>
      </c>
      <c r="DC91" s="57">
        <v>0</v>
      </c>
      <c r="DD91" s="57">
        <v>0</v>
      </c>
      <c r="DE91" s="57">
        <v>0</v>
      </c>
      <c r="DF91" s="57">
        <v>0</v>
      </c>
      <c r="DG91" s="137">
        <v>0</v>
      </c>
      <c r="DH91" s="137">
        <v>0</v>
      </c>
      <c r="DI91" s="137">
        <v>0</v>
      </c>
      <c r="DJ91" s="137">
        <v>0</v>
      </c>
      <c r="DK91" s="137">
        <v>0</v>
      </c>
      <c r="DL91" s="137">
        <v>0</v>
      </c>
      <c r="DM91" s="137">
        <v>0</v>
      </c>
      <c r="DN91" s="137">
        <v>0</v>
      </c>
      <c r="DO91" s="137">
        <v>0</v>
      </c>
      <c r="DP91" s="137">
        <v>0</v>
      </c>
      <c r="DQ91" s="137">
        <v>0</v>
      </c>
      <c r="DR91" s="137">
        <v>0</v>
      </c>
      <c r="DS91" s="137">
        <v>0</v>
      </c>
      <c r="DT91" s="137">
        <v>0</v>
      </c>
      <c r="DU91" s="137">
        <v>0</v>
      </c>
      <c r="DV91" s="137">
        <v>0</v>
      </c>
      <c r="DW91" s="137">
        <v>0</v>
      </c>
      <c r="DX91" s="137">
        <v>0</v>
      </c>
      <c r="DY91" s="137">
        <v>0</v>
      </c>
      <c r="DZ91" s="137">
        <v>0</v>
      </c>
      <c r="EA91" s="137">
        <v>0</v>
      </c>
    </row>
    <row r="92" spans="1:131" x14ac:dyDescent="0.35">
      <c r="A92" s="90" t="e">
        <f>VLOOKUP(E92,'Validation List'!F93:G488,2,FALSE)</f>
        <v>#N/A</v>
      </c>
      <c r="B92" s="90" t="e">
        <f>INDEX('NEW HIRE ROSTER'!$G:$G,MATCH(RAW!F92,'NEW HIRE ROSTER'!$A:$A,0))</f>
        <v>#N/A</v>
      </c>
      <c r="C92" s="90" t="e">
        <f>INDEX('NEW HIRE ROSTER'!$F:$F,MATCH(RAW!F92,'NEW HIRE ROSTER'!$A:$A,0))</f>
        <v>#N/A</v>
      </c>
      <c r="D92" s="90" t="e">
        <f>INDEX('Validation List'!$H:$H,MATCH(RAW!E92,'Validation List'!$F:$F,0))</f>
        <v>#N/A</v>
      </c>
      <c r="G92" s="90" t="e">
        <f>VLOOKUP(F92,ML!C76:D674,2,FALSE)</f>
        <v>#N/A</v>
      </c>
      <c r="H92" s="90" t="e">
        <f>VLOOKUP(F92,ML!C76:E674,3,FALSE)</f>
        <v>#N/A</v>
      </c>
      <c r="M92" s="83"/>
      <c r="N92" s="57">
        <v>0</v>
      </c>
      <c r="O92" s="57">
        <v>0</v>
      </c>
      <c r="P92" s="57">
        <v>0</v>
      </c>
      <c r="Q92" s="57">
        <v>0</v>
      </c>
      <c r="R92" s="57">
        <v>0</v>
      </c>
      <c r="S92" s="57">
        <v>0</v>
      </c>
      <c r="T92" s="57">
        <v>0</v>
      </c>
      <c r="U92" s="57">
        <v>0</v>
      </c>
      <c r="V92" s="57">
        <v>0</v>
      </c>
      <c r="W92" s="57">
        <v>0</v>
      </c>
      <c r="X92" s="57">
        <v>0</v>
      </c>
      <c r="Y92" s="57">
        <v>0</v>
      </c>
      <c r="Z92" s="57">
        <v>0</v>
      </c>
      <c r="AA92" s="57">
        <v>0</v>
      </c>
      <c r="AB92" s="57">
        <v>0</v>
      </c>
      <c r="AC92" s="57">
        <v>0</v>
      </c>
      <c r="AD92" s="57">
        <v>0</v>
      </c>
      <c r="AE92" s="57">
        <v>0</v>
      </c>
      <c r="AF92" s="57">
        <v>0</v>
      </c>
      <c r="AG92" s="57">
        <v>0</v>
      </c>
      <c r="AH92" s="57">
        <v>0</v>
      </c>
      <c r="AI92" s="57">
        <v>0</v>
      </c>
      <c r="AJ92" s="57">
        <v>0</v>
      </c>
      <c r="AK92" s="57">
        <v>0</v>
      </c>
      <c r="AL92" s="57">
        <v>0</v>
      </c>
      <c r="AM92" s="57">
        <v>0</v>
      </c>
      <c r="AN92" s="57">
        <v>0</v>
      </c>
      <c r="AO92" s="57">
        <v>0</v>
      </c>
      <c r="AP92" s="57">
        <v>0</v>
      </c>
      <c r="AQ92" s="57">
        <v>0</v>
      </c>
      <c r="AR92" s="57">
        <v>0</v>
      </c>
      <c r="AS92" s="57">
        <v>0</v>
      </c>
      <c r="AT92" s="57">
        <v>0</v>
      </c>
      <c r="AU92" s="57">
        <v>0</v>
      </c>
      <c r="AV92" s="57">
        <v>0</v>
      </c>
      <c r="AW92" s="57">
        <v>0</v>
      </c>
      <c r="AX92" s="57">
        <v>0</v>
      </c>
      <c r="AY92" s="57">
        <v>0</v>
      </c>
      <c r="AZ92" s="57">
        <v>0</v>
      </c>
      <c r="BA92" s="57">
        <v>0</v>
      </c>
      <c r="BB92" s="57">
        <v>0</v>
      </c>
      <c r="BC92" s="57">
        <v>0</v>
      </c>
      <c r="BD92" s="57">
        <v>0</v>
      </c>
      <c r="BE92" s="57">
        <v>0</v>
      </c>
      <c r="BF92" s="57">
        <v>0</v>
      </c>
      <c r="BG92" s="57">
        <v>0</v>
      </c>
      <c r="BH92" s="57">
        <v>0</v>
      </c>
      <c r="BI92" s="57">
        <v>0</v>
      </c>
      <c r="BJ92" s="57">
        <v>0</v>
      </c>
      <c r="BK92" s="57">
        <v>0</v>
      </c>
      <c r="BL92" s="57">
        <v>0</v>
      </c>
      <c r="BM92" s="57">
        <v>0</v>
      </c>
      <c r="BN92" s="57">
        <v>0</v>
      </c>
      <c r="BO92" s="57">
        <v>0</v>
      </c>
      <c r="BP92" s="57">
        <v>0</v>
      </c>
      <c r="BQ92" s="57">
        <v>0</v>
      </c>
      <c r="BR92" s="57">
        <v>0</v>
      </c>
      <c r="BS92" s="57">
        <v>0</v>
      </c>
      <c r="BT92" s="57">
        <v>0</v>
      </c>
      <c r="BU92" s="57">
        <v>0</v>
      </c>
      <c r="BV92" s="57">
        <v>0</v>
      </c>
      <c r="BW92" s="57">
        <v>0</v>
      </c>
      <c r="BX92" s="57">
        <v>0</v>
      </c>
      <c r="BY92" s="57">
        <v>0</v>
      </c>
      <c r="BZ92" s="57">
        <v>0</v>
      </c>
      <c r="CA92" s="57">
        <v>0</v>
      </c>
      <c r="CB92" s="57">
        <v>0</v>
      </c>
      <c r="CC92" s="57">
        <v>0</v>
      </c>
      <c r="CD92" s="57">
        <v>0</v>
      </c>
      <c r="CE92" s="57">
        <v>0</v>
      </c>
      <c r="CF92" s="57">
        <v>0</v>
      </c>
      <c r="CG92" s="57">
        <v>0</v>
      </c>
      <c r="CH92" s="57">
        <v>0</v>
      </c>
      <c r="CI92" s="57">
        <v>0</v>
      </c>
      <c r="CJ92" s="57">
        <v>0</v>
      </c>
      <c r="CK92" s="57">
        <v>0</v>
      </c>
      <c r="CL92" s="57">
        <v>0</v>
      </c>
      <c r="CM92" s="57">
        <v>0</v>
      </c>
      <c r="CN92" s="57">
        <v>0</v>
      </c>
      <c r="CO92" s="57">
        <v>0</v>
      </c>
      <c r="CP92" s="57">
        <v>0</v>
      </c>
      <c r="CQ92" s="57">
        <v>0</v>
      </c>
      <c r="CR92" s="57">
        <v>0</v>
      </c>
      <c r="CS92" s="57">
        <v>0</v>
      </c>
      <c r="CT92" s="57">
        <v>0</v>
      </c>
      <c r="CU92" s="57">
        <v>0</v>
      </c>
      <c r="CV92" s="57">
        <v>0</v>
      </c>
      <c r="CW92" s="57">
        <v>0</v>
      </c>
      <c r="CX92" s="57">
        <v>0</v>
      </c>
      <c r="CY92" s="57">
        <v>0</v>
      </c>
      <c r="CZ92" s="57">
        <v>0</v>
      </c>
      <c r="DA92" s="57">
        <v>0</v>
      </c>
      <c r="DB92" s="57">
        <v>0</v>
      </c>
      <c r="DC92" s="57">
        <v>0</v>
      </c>
      <c r="DD92" s="57">
        <v>0</v>
      </c>
      <c r="DE92" s="57">
        <v>0</v>
      </c>
      <c r="DF92" s="57">
        <v>0</v>
      </c>
      <c r="DG92" s="137">
        <v>0</v>
      </c>
      <c r="DH92" s="137">
        <v>0</v>
      </c>
      <c r="DI92" s="137">
        <v>0</v>
      </c>
      <c r="DJ92" s="137">
        <v>0</v>
      </c>
      <c r="DK92" s="137">
        <v>0</v>
      </c>
      <c r="DL92" s="137">
        <v>0</v>
      </c>
      <c r="DM92" s="137">
        <v>0</v>
      </c>
      <c r="DN92" s="137">
        <v>0</v>
      </c>
      <c r="DO92" s="137">
        <v>0</v>
      </c>
      <c r="DP92" s="137">
        <v>0</v>
      </c>
      <c r="DQ92" s="137">
        <v>0</v>
      </c>
      <c r="DR92" s="137">
        <v>0</v>
      </c>
      <c r="DS92" s="137">
        <v>0</v>
      </c>
      <c r="DT92" s="137">
        <v>0</v>
      </c>
      <c r="DU92" s="137">
        <v>0</v>
      </c>
      <c r="DV92" s="137">
        <v>0</v>
      </c>
      <c r="DW92" s="137">
        <v>0</v>
      </c>
      <c r="DX92" s="137">
        <v>0</v>
      </c>
      <c r="DY92" s="137">
        <v>0</v>
      </c>
      <c r="DZ92" s="137">
        <v>0</v>
      </c>
      <c r="EA92" s="137">
        <v>0</v>
      </c>
    </row>
    <row r="93" spans="1:131" x14ac:dyDescent="0.35">
      <c r="A93" s="90" t="e">
        <f>VLOOKUP(E93,'Validation List'!F94:G489,2,FALSE)</f>
        <v>#N/A</v>
      </c>
      <c r="B93" s="90" t="e">
        <f>INDEX('NEW HIRE ROSTER'!$G:$G,MATCH(RAW!F93,'NEW HIRE ROSTER'!$A:$A,0))</f>
        <v>#N/A</v>
      </c>
      <c r="C93" s="90" t="e">
        <f>INDEX('NEW HIRE ROSTER'!$F:$F,MATCH(RAW!F93,'NEW HIRE ROSTER'!$A:$A,0))</f>
        <v>#N/A</v>
      </c>
      <c r="D93" s="90" t="e">
        <f>INDEX('Validation List'!$H:$H,MATCH(RAW!E93,'Validation List'!$F:$F,0))</f>
        <v>#N/A</v>
      </c>
      <c r="G93" s="90" t="e">
        <f>VLOOKUP(F93,ML!C77:D675,2,FALSE)</f>
        <v>#N/A</v>
      </c>
      <c r="H93" s="90" t="e">
        <f>VLOOKUP(F93,ML!C77:E675,3,FALSE)</f>
        <v>#N/A</v>
      </c>
      <c r="M93" s="83"/>
      <c r="N93" s="57">
        <v>0</v>
      </c>
      <c r="O93" s="57">
        <v>0</v>
      </c>
      <c r="P93" s="57">
        <v>0</v>
      </c>
      <c r="Q93" s="57">
        <v>0</v>
      </c>
      <c r="R93" s="57">
        <v>0</v>
      </c>
      <c r="S93" s="57">
        <v>0</v>
      </c>
      <c r="T93" s="57">
        <v>0</v>
      </c>
      <c r="U93" s="57">
        <v>0</v>
      </c>
      <c r="V93" s="57">
        <v>0</v>
      </c>
      <c r="W93" s="57">
        <v>0</v>
      </c>
      <c r="X93" s="57">
        <v>0</v>
      </c>
      <c r="Y93" s="57">
        <v>0</v>
      </c>
      <c r="Z93" s="57">
        <v>0</v>
      </c>
      <c r="AA93" s="57">
        <v>0</v>
      </c>
      <c r="AB93" s="57">
        <v>0</v>
      </c>
      <c r="AC93" s="57">
        <v>0</v>
      </c>
      <c r="AD93" s="57">
        <v>0</v>
      </c>
      <c r="AE93" s="57">
        <v>0</v>
      </c>
      <c r="AF93" s="57">
        <v>0</v>
      </c>
      <c r="AG93" s="57">
        <v>0</v>
      </c>
      <c r="AH93" s="57">
        <v>0</v>
      </c>
      <c r="AI93" s="57">
        <v>0</v>
      </c>
      <c r="AJ93" s="57">
        <v>0</v>
      </c>
      <c r="AK93" s="57">
        <v>0</v>
      </c>
      <c r="AL93" s="57">
        <v>0</v>
      </c>
      <c r="AM93" s="57">
        <v>0</v>
      </c>
      <c r="AN93" s="57">
        <v>0</v>
      </c>
      <c r="AO93" s="57">
        <v>0</v>
      </c>
      <c r="AP93" s="57">
        <v>0</v>
      </c>
      <c r="AQ93" s="57">
        <v>0</v>
      </c>
      <c r="AR93" s="57">
        <v>0</v>
      </c>
      <c r="AS93" s="57">
        <v>0</v>
      </c>
      <c r="AT93" s="57">
        <v>0</v>
      </c>
      <c r="AU93" s="57">
        <v>0</v>
      </c>
      <c r="AV93" s="57">
        <v>0</v>
      </c>
      <c r="AW93" s="57">
        <v>0</v>
      </c>
      <c r="AX93" s="57">
        <v>0</v>
      </c>
      <c r="AY93" s="57">
        <v>0</v>
      </c>
      <c r="AZ93" s="57">
        <v>0</v>
      </c>
      <c r="BA93" s="57">
        <v>0</v>
      </c>
      <c r="BB93" s="57">
        <v>0</v>
      </c>
      <c r="BC93" s="57">
        <v>0</v>
      </c>
      <c r="BD93" s="57">
        <v>0</v>
      </c>
      <c r="BE93" s="57">
        <v>0</v>
      </c>
      <c r="BF93" s="57">
        <v>0</v>
      </c>
      <c r="BG93" s="57">
        <v>0</v>
      </c>
      <c r="BH93" s="57">
        <v>0</v>
      </c>
      <c r="BI93" s="57">
        <v>0</v>
      </c>
      <c r="BJ93" s="57">
        <v>0</v>
      </c>
      <c r="BK93" s="57">
        <v>0</v>
      </c>
      <c r="BL93" s="57">
        <v>0</v>
      </c>
      <c r="BM93" s="57">
        <v>0</v>
      </c>
      <c r="BN93" s="57">
        <v>0</v>
      </c>
      <c r="BO93" s="57">
        <v>0</v>
      </c>
      <c r="BP93" s="57">
        <v>0</v>
      </c>
      <c r="BQ93" s="57">
        <v>0</v>
      </c>
      <c r="BR93" s="57">
        <v>0</v>
      </c>
      <c r="BS93" s="57">
        <v>0</v>
      </c>
      <c r="BT93" s="57">
        <v>0</v>
      </c>
      <c r="BU93" s="57">
        <v>0</v>
      </c>
      <c r="BV93" s="57">
        <v>0</v>
      </c>
      <c r="BW93" s="57">
        <v>0</v>
      </c>
      <c r="BX93" s="57">
        <v>0</v>
      </c>
      <c r="BY93" s="57">
        <v>0</v>
      </c>
      <c r="BZ93" s="57">
        <v>0</v>
      </c>
      <c r="CA93" s="57">
        <v>0</v>
      </c>
      <c r="CB93" s="57">
        <v>0</v>
      </c>
      <c r="CC93" s="57">
        <v>0</v>
      </c>
      <c r="CD93" s="57">
        <v>0</v>
      </c>
      <c r="CE93" s="57">
        <v>0</v>
      </c>
      <c r="CF93" s="57">
        <v>0</v>
      </c>
      <c r="CG93" s="57">
        <v>0</v>
      </c>
      <c r="CH93" s="57">
        <v>0</v>
      </c>
      <c r="CI93" s="57">
        <v>0</v>
      </c>
      <c r="CJ93" s="57">
        <v>0</v>
      </c>
      <c r="CK93" s="57">
        <v>0</v>
      </c>
      <c r="CL93" s="57">
        <v>0</v>
      </c>
      <c r="CM93" s="57">
        <v>0</v>
      </c>
      <c r="CN93" s="57">
        <v>0</v>
      </c>
      <c r="CO93" s="57">
        <v>0</v>
      </c>
      <c r="CP93" s="57">
        <v>0</v>
      </c>
      <c r="CQ93" s="57">
        <v>0</v>
      </c>
      <c r="CR93" s="57">
        <v>0</v>
      </c>
      <c r="CS93" s="57">
        <v>0</v>
      </c>
      <c r="CT93" s="57">
        <v>0</v>
      </c>
      <c r="CU93" s="57">
        <v>0</v>
      </c>
      <c r="CV93" s="57">
        <v>0</v>
      </c>
      <c r="CW93" s="57">
        <v>0</v>
      </c>
      <c r="CX93" s="57">
        <v>0</v>
      </c>
      <c r="CY93" s="57">
        <v>0</v>
      </c>
      <c r="CZ93" s="57">
        <v>0</v>
      </c>
      <c r="DA93" s="57">
        <v>0</v>
      </c>
      <c r="DB93" s="57">
        <v>0</v>
      </c>
      <c r="DC93" s="57">
        <v>0</v>
      </c>
      <c r="DD93" s="57">
        <v>0</v>
      </c>
      <c r="DE93" s="57">
        <v>0</v>
      </c>
      <c r="DF93" s="57">
        <v>0</v>
      </c>
      <c r="DG93" s="137">
        <v>0</v>
      </c>
      <c r="DH93" s="137">
        <v>0</v>
      </c>
      <c r="DI93" s="137">
        <v>0</v>
      </c>
      <c r="DJ93" s="137">
        <v>0</v>
      </c>
      <c r="DK93" s="137">
        <v>0</v>
      </c>
      <c r="DL93" s="137">
        <v>0</v>
      </c>
      <c r="DM93" s="137">
        <v>0</v>
      </c>
      <c r="DN93" s="137">
        <v>0</v>
      </c>
      <c r="DO93" s="137">
        <v>0</v>
      </c>
      <c r="DP93" s="137">
        <v>0</v>
      </c>
      <c r="DQ93" s="137">
        <v>0</v>
      </c>
      <c r="DR93" s="137">
        <v>0</v>
      </c>
      <c r="DS93" s="137">
        <v>0</v>
      </c>
      <c r="DT93" s="137">
        <v>0</v>
      </c>
      <c r="DU93" s="137">
        <v>0</v>
      </c>
      <c r="DV93" s="137">
        <v>0</v>
      </c>
      <c r="DW93" s="137">
        <v>0</v>
      </c>
      <c r="DX93" s="137">
        <v>0</v>
      </c>
      <c r="DY93" s="137">
        <v>0</v>
      </c>
      <c r="DZ93" s="137">
        <v>0</v>
      </c>
      <c r="EA93" s="137">
        <v>0</v>
      </c>
    </row>
    <row r="94" spans="1:131" x14ac:dyDescent="0.35">
      <c r="A94" s="90" t="e">
        <f>VLOOKUP(E94,'Validation List'!F95:G490,2,FALSE)</f>
        <v>#N/A</v>
      </c>
      <c r="B94" s="90" t="e">
        <f>INDEX('NEW HIRE ROSTER'!$G:$G,MATCH(RAW!F94,'NEW HIRE ROSTER'!$A:$A,0))</f>
        <v>#N/A</v>
      </c>
      <c r="C94" s="90" t="e">
        <f>INDEX('NEW HIRE ROSTER'!$F:$F,MATCH(RAW!F94,'NEW HIRE ROSTER'!$A:$A,0))</f>
        <v>#N/A</v>
      </c>
      <c r="D94" s="90" t="e">
        <f>INDEX('Validation List'!$H:$H,MATCH(RAW!E94,'Validation List'!$F:$F,0))</f>
        <v>#N/A</v>
      </c>
      <c r="G94" s="90" t="e">
        <f>VLOOKUP(F94,ML!C78:D676,2,FALSE)</f>
        <v>#N/A</v>
      </c>
      <c r="H94" s="90" t="e">
        <f>VLOOKUP(F94,ML!C78:E676,3,FALSE)</f>
        <v>#N/A</v>
      </c>
      <c r="M94" s="83"/>
      <c r="N94" s="57">
        <v>0</v>
      </c>
      <c r="O94" s="57">
        <v>0</v>
      </c>
      <c r="P94" s="57">
        <v>0</v>
      </c>
      <c r="Q94" s="57">
        <v>0</v>
      </c>
      <c r="R94" s="57">
        <v>0</v>
      </c>
      <c r="S94" s="57">
        <v>0</v>
      </c>
      <c r="T94" s="57">
        <v>0</v>
      </c>
      <c r="U94" s="57">
        <v>0</v>
      </c>
      <c r="V94" s="57">
        <v>0</v>
      </c>
      <c r="W94" s="57">
        <v>0</v>
      </c>
      <c r="X94" s="57">
        <v>0</v>
      </c>
      <c r="Y94" s="57">
        <v>0</v>
      </c>
      <c r="Z94" s="57">
        <v>0</v>
      </c>
      <c r="AA94" s="57">
        <v>0</v>
      </c>
      <c r="AB94" s="57">
        <v>0</v>
      </c>
      <c r="AC94" s="57">
        <v>0</v>
      </c>
      <c r="AD94" s="57">
        <v>0</v>
      </c>
      <c r="AE94" s="57">
        <v>0</v>
      </c>
      <c r="AF94" s="57">
        <v>0</v>
      </c>
      <c r="AG94" s="57">
        <v>0</v>
      </c>
      <c r="AH94" s="57">
        <v>0</v>
      </c>
      <c r="AI94" s="57">
        <v>0</v>
      </c>
      <c r="AJ94" s="57">
        <v>0</v>
      </c>
      <c r="AK94" s="57">
        <v>0</v>
      </c>
      <c r="AL94" s="57">
        <v>0</v>
      </c>
      <c r="AM94" s="57">
        <v>0</v>
      </c>
      <c r="AN94" s="57">
        <v>0</v>
      </c>
      <c r="AO94" s="57">
        <v>0</v>
      </c>
      <c r="AP94" s="57">
        <v>0</v>
      </c>
      <c r="AQ94" s="57">
        <v>0</v>
      </c>
      <c r="AR94" s="57">
        <v>0</v>
      </c>
      <c r="AS94" s="57">
        <v>0</v>
      </c>
      <c r="AT94" s="57">
        <v>0</v>
      </c>
      <c r="AU94" s="57">
        <v>0</v>
      </c>
      <c r="AV94" s="57">
        <v>0</v>
      </c>
      <c r="AW94" s="57">
        <v>0</v>
      </c>
      <c r="AX94" s="57">
        <v>0</v>
      </c>
      <c r="AY94" s="57">
        <v>0</v>
      </c>
      <c r="AZ94" s="57">
        <v>0</v>
      </c>
      <c r="BA94" s="57">
        <v>0</v>
      </c>
      <c r="BB94" s="57">
        <v>0</v>
      </c>
      <c r="BC94" s="57">
        <v>0</v>
      </c>
      <c r="BD94" s="57">
        <v>0</v>
      </c>
      <c r="BE94" s="57">
        <v>0</v>
      </c>
      <c r="BF94" s="57">
        <v>0</v>
      </c>
      <c r="BG94" s="57">
        <v>0</v>
      </c>
      <c r="BH94" s="57">
        <v>0</v>
      </c>
      <c r="BI94" s="57">
        <v>0</v>
      </c>
      <c r="BJ94" s="57">
        <v>0</v>
      </c>
      <c r="BK94" s="57">
        <v>0</v>
      </c>
      <c r="BL94" s="57">
        <v>0</v>
      </c>
      <c r="BM94" s="57">
        <v>0</v>
      </c>
      <c r="BN94" s="57">
        <v>0</v>
      </c>
      <c r="BO94" s="57">
        <v>0</v>
      </c>
      <c r="BP94" s="57">
        <v>0</v>
      </c>
      <c r="BQ94" s="57">
        <v>0</v>
      </c>
      <c r="BR94" s="57">
        <v>0</v>
      </c>
      <c r="BS94" s="57">
        <v>0</v>
      </c>
      <c r="BT94" s="57">
        <v>0</v>
      </c>
      <c r="BU94" s="57">
        <v>0</v>
      </c>
      <c r="BV94" s="57">
        <v>0</v>
      </c>
      <c r="BW94" s="57">
        <v>0</v>
      </c>
      <c r="BX94" s="57">
        <v>0</v>
      </c>
      <c r="BY94" s="57">
        <v>0</v>
      </c>
      <c r="BZ94" s="57">
        <v>0</v>
      </c>
      <c r="CA94" s="57">
        <v>0</v>
      </c>
      <c r="CB94" s="57">
        <v>0</v>
      </c>
      <c r="CC94" s="57">
        <v>0</v>
      </c>
      <c r="CD94" s="57">
        <v>0</v>
      </c>
      <c r="CE94" s="57">
        <v>0</v>
      </c>
      <c r="CF94" s="57">
        <v>0</v>
      </c>
      <c r="CG94" s="57">
        <v>0</v>
      </c>
      <c r="CH94" s="57">
        <v>0</v>
      </c>
      <c r="CI94" s="57">
        <v>0</v>
      </c>
      <c r="CJ94" s="57">
        <v>0</v>
      </c>
      <c r="CK94" s="57">
        <v>0</v>
      </c>
      <c r="CL94" s="57">
        <v>0</v>
      </c>
      <c r="CM94" s="57">
        <v>0</v>
      </c>
      <c r="CN94" s="57">
        <v>0</v>
      </c>
      <c r="CO94" s="57">
        <v>0</v>
      </c>
      <c r="CP94" s="57">
        <v>0</v>
      </c>
      <c r="CQ94" s="57">
        <v>0</v>
      </c>
      <c r="CR94" s="57">
        <v>0</v>
      </c>
      <c r="CS94" s="57">
        <v>0</v>
      </c>
      <c r="CT94" s="57">
        <v>0</v>
      </c>
      <c r="CU94" s="57">
        <v>0</v>
      </c>
      <c r="CV94" s="57">
        <v>0</v>
      </c>
      <c r="CW94" s="57">
        <v>0</v>
      </c>
      <c r="CX94" s="57">
        <v>0</v>
      </c>
      <c r="CY94" s="57">
        <v>0</v>
      </c>
      <c r="CZ94" s="57">
        <v>0</v>
      </c>
      <c r="DA94" s="57">
        <v>0</v>
      </c>
      <c r="DB94" s="57">
        <v>0</v>
      </c>
      <c r="DC94" s="57">
        <v>0</v>
      </c>
      <c r="DD94" s="57">
        <v>0</v>
      </c>
      <c r="DE94" s="57">
        <v>0</v>
      </c>
      <c r="DF94" s="57">
        <v>0</v>
      </c>
      <c r="DG94" s="137">
        <v>0</v>
      </c>
      <c r="DH94" s="137">
        <v>0</v>
      </c>
      <c r="DI94" s="137">
        <v>0</v>
      </c>
      <c r="DJ94" s="137">
        <v>0</v>
      </c>
      <c r="DK94" s="137">
        <v>0</v>
      </c>
      <c r="DL94" s="137">
        <v>0</v>
      </c>
      <c r="DM94" s="137">
        <v>0</v>
      </c>
      <c r="DN94" s="137">
        <v>0</v>
      </c>
      <c r="DO94" s="137">
        <v>0</v>
      </c>
      <c r="DP94" s="137">
        <v>0</v>
      </c>
      <c r="DQ94" s="137">
        <v>0</v>
      </c>
      <c r="DR94" s="137">
        <v>0</v>
      </c>
      <c r="DS94" s="137">
        <v>0</v>
      </c>
      <c r="DT94" s="137">
        <v>0</v>
      </c>
      <c r="DU94" s="137">
        <v>0</v>
      </c>
      <c r="DV94" s="137">
        <v>0</v>
      </c>
      <c r="DW94" s="137">
        <v>0</v>
      </c>
      <c r="DX94" s="137">
        <v>0</v>
      </c>
      <c r="DY94" s="137">
        <v>0</v>
      </c>
      <c r="DZ94" s="137">
        <v>0</v>
      </c>
      <c r="EA94" s="137">
        <v>0</v>
      </c>
    </row>
    <row r="95" spans="1:131" x14ac:dyDescent="0.35">
      <c r="A95" s="90" t="e">
        <f>VLOOKUP(E95,'Validation List'!F96:G491,2,FALSE)</f>
        <v>#N/A</v>
      </c>
      <c r="B95" s="90" t="e">
        <f>INDEX('NEW HIRE ROSTER'!$G:$G,MATCH(RAW!F95,'NEW HIRE ROSTER'!$A:$A,0))</f>
        <v>#N/A</v>
      </c>
      <c r="C95" s="90" t="e">
        <f>INDEX('NEW HIRE ROSTER'!$F:$F,MATCH(RAW!F95,'NEW HIRE ROSTER'!$A:$A,0))</f>
        <v>#N/A</v>
      </c>
      <c r="D95" s="90" t="e">
        <f>INDEX('Validation List'!$H:$H,MATCH(RAW!E95,'Validation List'!$F:$F,0))</f>
        <v>#N/A</v>
      </c>
      <c r="G95" s="90" t="e">
        <f>VLOOKUP(F95,ML!C79:D677,2,FALSE)</f>
        <v>#N/A</v>
      </c>
      <c r="H95" s="90" t="e">
        <f>VLOOKUP(F95,ML!C79:E677,3,FALSE)</f>
        <v>#N/A</v>
      </c>
      <c r="M95" s="83"/>
      <c r="N95" s="57">
        <v>0</v>
      </c>
      <c r="O95" s="57">
        <v>0</v>
      </c>
      <c r="P95" s="57">
        <v>0</v>
      </c>
      <c r="Q95" s="57">
        <v>0</v>
      </c>
      <c r="R95" s="57">
        <v>0</v>
      </c>
      <c r="S95" s="57">
        <v>0</v>
      </c>
      <c r="T95" s="57">
        <v>0</v>
      </c>
      <c r="U95" s="57">
        <v>0</v>
      </c>
      <c r="V95" s="57">
        <v>0</v>
      </c>
      <c r="W95" s="57">
        <v>0</v>
      </c>
      <c r="X95" s="57">
        <v>0</v>
      </c>
      <c r="Y95" s="57">
        <v>0</v>
      </c>
      <c r="Z95" s="57">
        <v>0</v>
      </c>
      <c r="AA95" s="57">
        <v>0</v>
      </c>
      <c r="AB95" s="57">
        <v>0</v>
      </c>
      <c r="AC95" s="57">
        <v>0</v>
      </c>
      <c r="AD95" s="57">
        <v>0</v>
      </c>
      <c r="AE95" s="57">
        <v>0</v>
      </c>
      <c r="AF95" s="57">
        <v>0</v>
      </c>
      <c r="AG95" s="57">
        <v>0</v>
      </c>
      <c r="AH95" s="57">
        <v>0</v>
      </c>
      <c r="AI95" s="57">
        <v>0</v>
      </c>
      <c r="AJ95" s="57">
        <v>0</v>
      </c>
      <c r="AK95" s="57">
        <v>0</v>
      </c>
      <c r="AL95" s="57">
        <v>0</v>
      </c>
      <c r="AM95" s="57">
        <v>0</v>
      </c>
      <c r="AN95" s="57">
        <v>0</v>
      </c>
      <c r="AO95" s="57">
        <v>0</v>
      </c>
      <c r="AP95" s="57">
        <v>0</v>
      </c>
      <c r="AQ95" s="57">
        <v>0</v>
      </c>
      <c r="AR95" s="57">
        <v>0</v>
      </c>
      <c r="AS95" s="57">
        <v>0</v>
      </c>
      <c r="AT95" s="57">
        <v>0</v>
      </c>
      <c r="AU95" s="57">
        <v>0</v>
      </c>
      <c r="AV95" s="57">
        <v>0</v>
      </c>
      <c r="AW95" s="57">
        <v>0</v>
      </c>
      <c r="AX95" s="57">
        <v>0</v>
      </c>
      <c r="AY95" s="57">
        <v>0</v>
      </c>
      <c r="AZ95" s="57">
        <v>0</v>
      </c>
      <c r="BA95" s="57">
        <v>0</v>
      </c>
      <c r="BB95" s="57">
        <v>0</v>
      </c>
      <c r="BC95" s="57">
        <v>0</v>
      </c>
      <c r="BD95" s="57">
        <v>0</v>
      </c>
      <c r="BE95" s="57">
        <v>0</v>
      </c>
      <c r="BF95" s="57">
        <v>0</v>
      </c>
      <c r="BG95" s="57">
        <v>0</v>
      </c>
      <c r="BH95" s="57">
        <v>0</v>
      </c>
      <c r="BI95" s="57">
        <v>0</v>
      </c>
      <c r="BJ95" s="57">
        <v>0</v>
      </c>
      <c r="BK95" s="57">
        <v>0</v>
      </c>
      <c r="BL95" s="57">
        <v>0</v>
      </c>
      <c r="BM95" s="57">
        <v>0</v>
      </c>
      <c r="BN95" s="57">
        <v>0</v>
      </c>
      <c r="BO95" s="57">
        <v>0</v>
      </c>
      <c r="BP95" s="57">
        <v>0</v>
      </c>
      <c r="BQ95" s="57">
        <v>0</v>
      </c>
      <c r="BR95" s="57">
        <v>0</v>
      </c>
      <c r="BS95" s="57">
        <v>0</v>
      </c>
      <c r="BT95" s="57">
        <v>0</v>
      </c>
      <c r="BU95" s="57">
        <v>0</v>
      </c>
      <c r="BV95" s="57">
        <v>0</v>
      </c>
      <c r="BW95" s="57">
        <v>0</v>
      </c>
      <c r="BX95" s="57">
        <v>0</v>
      </c>
      <c r="BY95" s="57">
        <v>0</v>
      </c>
      <c r="BZ95" s="57">
        <v>0</v>
      </c>
      <c r="CA95" s="57">
        <v>0</v>
      </c>
      <c r="CB95" s="57">
        <v>0</v>
      </c>
      <c r="CC95" s="57">
        <v>0</v>
      </c>
      <c r="CD95" s="57">
        <v>0</v>
      </c>
      <c r="CE95" s="57">
        <v>0</v>
      </c>
      <c r="CF95" s="57">
        <v>0</v>
      </c>
      <c r="CG95" s="57">
        <v>0</v>
      </c>
      <c r="CH95" s="57">
        <v>0</v>
      </c>
      <c r="CI95" s="57">
        <v>0</v>
      </c>
      <c r="CJ95" s="57">
        <v>0</v>
      </c>
      <c r="CK95" s="57">
        <v>0</v>
      </c>
      <c r="CL95" s="57">
        <v>0</v>
      </c>
      <c r="CM95" s="57">
        <v>0</v>
      </c>
      <c r="CN95" s="57">
        <v>0</v>
      </c>
      <c r="CO95" s="57">
        <v>0</v>
      </c>
      <c r="CP95" s="57">
        <v>0</v>
      </c>
      <c r="CQ95" s="57">
        <v>0</v>
      </c>
      <c r="CR95" s="57">
        <v>0</v>
      </c>
      <c r="CS95" s="57">
        <v>0</v>
      </c>
      <c r="CT95" s="57">
        <v>0</v>
      </c>
      <c r="CU95" s="57">
        <v>0</v>
      </c>
      <c r="CV95" s="57">
        <v>0</v>
      </c>
      <c r="CW95" s="57">
        <v>0</v>
      </c>
      <c r="CX95" s="57">
        <v>0</v>
      </c>
      <c r="CY95" s="57">
        <v>0</v>
      </c>
      <c r="CZ95" s="57">
        <v>0</v>
      </c>
      <c r="DA95" s="57">
        <v>0</v>
      </c>
      <c r="DB95" s="57">
        <v>0</v>
      </c>
      <c r="DC95" s="57">
        <v>0</v>
      </c>
      <c r="DD95" s="57">
        <v>0</v>
      </c>
      <c r="DE95" s="57">
        <v>0</v>
      </c>
      <c r="DF95" s="57">
        <v>0</v>
      </c>
      <c r="DG95" s="137">
        <v>0</v>
      </c>
      <c r="DH95" s="137">
        <v>0</v>
      </c>
      <c r="DI95" s="137">
        <v>0</v>
      </c>
      <c r="DJ95" s="137">
        <v>0</v>
      </c>
      <c r="DK95" s="137">
        <v>0</v>
      </c>
      <c r="DL95" s="137">
        <v>0</v>
      </c>
      <c r="DM95" s="137">
        <v>0</v>
      </c>
      <c r="DN95" s="137">
        <v>0</v>
      </c>
      <c r="DO95" s="137">
        <v>0</v>
      </c>
      <c r="DP95" s="137">
        <v>0</v>
      </c>
      <c r="DQ95" s="137">
        <v>0</v>
      </c>
      <c r="DR95" s="137">
        <v>0</v>
      </c>
      <c r="DS95" s="137">
        <v>0</v>
      </c>
      <c r="DT95" s="137">
        <v>0</v>
      </c>
      <c r="DU95" s="137">
        <v>0</v>
      </c>
      <c r="DV95" s="137">
        <v>0</v>
      </c>
      <c r="DW95" s="137">
        <v>0</v>
      </c>
      <c r="DX95" s="137">
        <v>0</v>
      </c>
      <c r="DY95" s="137">
        <v>0</v>
      </c>
      <c r="DZ95" s="137">
        <v>0</v>
      </c>
      <c r="EA95" s="137">
        <v>0</v>
      </c>
    </row>
    <row r="96" spans="1:131" x14ac:dyDescent="0.35">
      <c r="A96" s="90" t="e">
        <f>VLOOKUP(E96,'Validation List'!F97:G492,2,FALSE)</f>
        <v>#N/A</v>
      </c>
      <c r="B96" s="90" t="e">
        <f>INDEX('NEW HIRE ROSTER'!$G:$G,MATCH(RAW!F96,'NEW HIRE ROSTER'!$A:$A,0))</f>
        <v>#N/A</v>
      </c>
      <c r="C96" s="90" t="e">
        <f>INDEX('NEW HIRE ROSTER'!$F:$F,MATCH(RAW!F96,'NEW HIRE ROSTER'!$A:$A,0))</f>
        <v>#N/A</v>
      </c>
      <c r="D96" s="90" t="e">
        <f>INDEX('Validation List'!$H:$H,MATCH(RAW!E96,'Validation List'!$F:$F,0))</f>
        <v>#N/A</v>
      </c>
      <c r="G96" s="90" t="e">
        <f>VLOOKUP(F96,ML!C80:D678,2,FALSE)</f>
        <v>#N/A</v>
      </c>
      <c r="H96" s="90" t="e">
        <f>VLOOKUP(F96,ML!C80:E678,3,FALSE)</f>
        <v>#N/A</v>
      </c>
      <c r="M96" s="83"/>
      <c r="N96" s="57">
        <v>0</v>
      </c>
      <c r="O96" s="57">
        <v>0</v>
      </c>
      <c r="P96" s="57">
        <v>0</v>
      </c>
      <c r="Q96" s="57">
        <v>0</v>
      </c>
      <c r="R96" s="57">
        <v>0</v>
      </c>
      <c r="S96" s="57">
        <v>0</v>
      </c>
      <c r="T96" s="57">
        <v>0</v>
      </c>
      <c r="U96" s="57">
        <v>0</v>
      </c>
      <c r="V96" s="57">
        <v>0</v>
      </c>
      <c r="W96" s="57">
        <v>0</v>
      </c>
      <c r="X96" s="57">
        <v>0</v>
      </c>
      <c r="Y96" s="57">
        <v>0</v>
      </c>
      <c r="Z96" s="57">
        <v>0</v>
      </c>
      <c r="AA96" s="57">
        <v>0</v>
      </c>
      <c r="AB96" s="57">
        <v>0</v>
      </c>
      <c r="AC96" s="57">
        <v>0</v>
      </c>
      <c r="AD96" s="57">
        <v>0</v>
      </c>
      <c r="AE96" s="57">
        <v>0</v>
      </c>
      <c r="AF96" s="57">
        <v>0</v>
      </c>
      <c r="AG96" s="57">
        <v>0</v>
      </c>
      <c r="AH96" s="57">
        <v>0</v>
      </c>
      <c r="AI96" s="57">
        <v>0</v>
      </c>
      <c r="AJ96" s="57">
        <v>0</v>
      </c>
      <c r="AK96" s="57">
        <v>0</v>
      </c>
      <c r="AL96" s="57">
        <v>0</v>
      </c>
      <c r="AM96" s="57">
        <v>0</v>
      </c>
      <c r="AN96" s="57">
        <v>0</v>
      </c>
      <c r="AO96" s="57">
        <v>0</v>
      </c>
      <c r="AP96" s="57">
        <v>0</v>
      </c>
      <c r="AQ96" s="57">
        <v>0</v>
      </c>
      <c r="AR96" s="57">
        <v>0</v>
      </c>
      <c r="AS96" s="57">
        <v>0</v>
      </c>
      <c r="AT96" s="57">
        <v>0</v>
      </c>
      <c r="AU96" s="57">
        <v>0</v>
      </c>
      <c r="AV96" s="57">
        <v>0</v>
      </c>
      <c r="AW96" s="57">
        <v>0</v>
      </c>
      <c r="AX96" s="57">
        <v>0</v>
      </c>
      <c r="AY96" s="57">
        <v>0</v>
      </c>
      <c r="AZ96" s="57">
        <v>0</v>
      </c>
      <c r="BA96" s="57">
        <v>0</v>
      </c>
      <c r="BB96" s="57">
        <v>0</v>
      </c>
      <c r="BC96" s="57">
        <v>0</v>
      </c>
      <c r="BD96" s="57">
        <v>0</v>
      </c>
      <c r="BE96" s="57">
        <v>0</v>
      </c>
      <c r="BF96" s="57">
        <v>0</v>
      </c>
      <c r="BG96" s="57">
        <v>0</v>
      </c>
      <c r="BH96" s="57">
        <v>0</v>
      </c>
      <c r="BI96" s="57">
        <v>0</v>
      </c>
      <c r="BJ96" s="57">
        <v>0</v>
      </c>
      <c r="BK96" s="57">
        <v>0</v>
      </c>
      <c r="BL96" s="57">
        <v>0</v>
      </c>
      <c r="BM96" s="57">
        <v>0</v>
      </c>
      <c r="BN96" s="57">
        <v>0</v>
      </c>
      <c r="BO96" s="57">
        <v>0</v>
      </c>
      <c r="BP96" s="57">
        <v>0</v>
      </c>
      <c r="BQ96" s="57">
        <v>0</v>
      </c>
      <c r="BR96" s="57">
        <v>0</v>
      </c>
      <c r="BS96" s="57">
        <v>0</v>
      </c>
      <c r="BT96" s="57">
        <v>0</v>
      </c>
      <c r="BU96" s="57">
        <v>0</v>
      </c>
      <c r="BV96" s="57">
        <v>0</v>
      </c>
      <c r="BW96" s="57">
        <v>0</v>
      </c>
      <c r="BX96" s="57">
        <v>0</v>
      </c>
      <c r="BY96" s="57">
        <v>0</v>
      </c>
      <c r="BZ96" s="57">
        <v>0</v>
      </c>
      <c r="CA96" s="57">
        <v>0</v>
      </c>
      <c r="CB96" s="57">
        <v>0</v>
      </c>
      <c r="CC96" s="57">
        <v>0</v>
      </c>
      <c r="CD96" s="57">
        <v>0</v>
      </c>
      <c r="CE96" s="57">
        <v>0</v>
      </c>
      <c r="CF96" s="57">
        <v>0</v>
      </c>
      <c r="CG96" s="57">
        <v>0</v>
      </c>
      <c r="CH96" s="57">
        <v>0</v>
      </c>
      <c r="CI96" s="57">
        <v>0</v>
      </c>
      <c r="CJ96" s="57">
        <v>0</v>
      </c>
      <c r="CK96" s="57">
        <v>0</v>
      </c>
      <c r="CL96" s="57">
        <v>0</v>
      </c>
      <c r="CM96" s="57">
        <v>0</v>
      </c>
      <c r="CN96" s="57">
        <v>0</v>
      </c>
      <c r="CO96" s="57">
        <v>0</v>
      </c>
      <c r="CP96" s="57">
        <v>0</v>
      </c>
      <c r="CQ96" s="57">
        <v>0</v>
      </c>
      <c r="CR96" s="57">
        <v>0</v>
      </c>
      <c r="CS96" s="57">
        <v>0</v>
      </c>
      <c r="CT96" s="57">
        <v>0</v>
      </c>
      <c r="CU96" s="57">
        <v>0</v>
      </c>
      <c r="CV96" s="57">
        <v>0</v>
      </c>
      <c r="CW96" s="57">
        <v>0</v>
      </c>
      <c r="CX96" s="57">
        <v>0</v>
      </c>
      <c r="CY96" s="57">
        <v>0</v>
      </c>
      <c r="CZ96" s="57">
        <v>0</v>
      </c>
      <c r="DA96" s="57">
        <v>0</v>
      </c>
      <c r="DB96" s="57">
        <v>0</v>
      </c>
      <c r="DC96" s="57">
        <v>0</v>
      </c>
      <c r="DD96" s="57">
        <v>0</v>
      </c>
      <c r="DE96" s="57">
        <v>0</v>
      </c>
      <c r="DF96" s="57">
        <v>0</v>
      </c>
      <c r="DG96" s="137">
        <v>0</v>
      </c>
      <c r="DH96" s="137">
        <v>0</v>
      </c>
      <c r="DI96" s="137">
        <v>0</v>
      </c>
      <c r="DJ96" s="137">
        <v>0</v>
      </c>
      <c r="DK96" s="137">
        <v>0</v>
      </c>
      <c r="DL96" s="137">
        <v>0</v>
      </c>
      <c r="DM96" s="137">
        <v>0</v>
      </c>
      <c r="DN96" s="137">
        <v>0</v>
      </c>
      <c r="DO96" s="137">
        <v>0</v>
      </c>
      <c r="DP96" s="137">
        <v>0</v>
      </c>
      <c r="DQ96" s="137">
        <v>0</v>
      </c>
      <c r="DR96" s="137">
        <v>0</v>
      </c>
      <c r="DS96" s="137">
        <v>0</v>
      </c>
      <c r="DT96" s="137">
        <v>0</v>
      </c>
      <c r="DU96" s="137">
        <v>0</v>
      </c>
      <c r="DV96" s="137">
        <v>0</v>
      </c>
      <c r="DW96" s="137">
        <v>0</v>
      </c>
      <c r="DX96" s="137">
        <v>0</v>
      </c>
      <c r="DY96" s="137">
        <v>0</v>
      </c>
      <c r="DZ96" s="137">
        <v>0</v>
      </c>
      <c r="EA96" s="137">
        <v>0</v>
      </c>
    </row>
    <row r="97" spans="1:131" x14ac:dyDescent="0.35">
      <c r="A97" s="90" t="e">
        <f>VLOOKUP(E97,'Validation List'!F98:G493,2,FALSE)</f>
        <v>#N/A</v>
      </c>
      <c r="B97" s="90" t="e">
        <f>INDEX('NEW HIRE ROSTER'!$G:$G,MATCH(RAW!F97,'NEW HIRE ROSTER'!$A:$A,0))</f>
        <v>#N/A</v>
      </c>
      <c r="C97" s="90" t="e">
        <f>INDEX('NEW HIRE ROSTER'!$F:$F,MATCH(RAW!F97,'NEW HIRE ROSTER'!$A:$A,0))</f>
        <v>#N/A</v>
      </c>
      <c r="D97" s="90" t="e">
        <f>INDEX('Validation List'!$H:$H,MATCH(RAW!E97,'Validation List'!$F:$F,0))</f>
        <v>#N/A</v>
      </c>
      <c r="G97" s="90" t="e">
        <f>VLOOKUP(F97,ML!C81:D679,2,FALSE)</f>
        <v>#N/A</v>
      </c>
      <c r="H97" s="90" t="e">
        <f>VLOOKUP(F97,ML!C81:E679,3,FALSE)</f>
        <v>#N/A</v>
      </c>
      <c r="M97" s="83"/>
      <c r="N97" s="57">
        <v>0</v>
      </c>
      <c r="O97" s="57">
        <v>0</v>
      </c>
      <c r="P97" s="57">
        <v>0</v>
      </c>
      <c r="Q97" s="57">
        <v>0</v>
      </c>
      <c r="R97" s="57">
        <v>0</v>
      </c>
      <c r="S97" s="57">
        <v>0</v>
      </c>
      <c r="T97" s="57">
        <v>0</v>
      </c>
      <c r="U97" s="57">
        <v>0</v>
      </c>
      <c r="V97" s="57">
        <v>0</v>
      </c>
      <c r="W97" s="57">
        <v>0</v>
      </c>
      <c r="X97" s="57">
        <v>0</v>
      </c>
      <c r="Y97" s="57">
        <v>0</v>
      </c>
      <c r="Z97" s="57">
        <v>0</v>
      </c>
      <c r="AA97" s="57">
        <v>0</v>
      </c>
      <c r="AB97" s="57">
        <v>0</v>
      </c>
      <c r="AC97" s="57">
        <v>0</v>
      </c>
      <c r="AD97" s="57">
        <v>0</v>
      </c>
      <c r="AE97" s="57">
        <v>0</v>
      </c>
      <c r="AF97" s="57">
        <v>0</v>
      </c>
      <c r="AG97" s="57">
        <v>0</v>
      </c>
      <c r="AH97" s="57">
        <v>0</v>
      </c>
      <c r="AI97" s="57">
        <v>0</v>
      </c>
      <c r="AJ97" s="57">
        <v>0</v>
      </c>
      <c r="AK97" s="57">
        <v>0</v>
      </c>
      <c r="AL97" s="57">
        <v>0</v>
      </c>
      <c r="AM97" s="57">
        <v>0</v>
      </c>
      <c r="AN97" s="57">
        <v>0</v>
      </c>
      <c r="AO97" s="57">
        <v>0</v>
      </c>
      <c r="AP97" s="57">
        <v>0</v>
      </c>
      <c r="AQ97" s="57">
        <v>0</v>
      </c>
      <c r="AR97" s="57">
        <v>0</v>
      </c>
      <c r="AS97" s="57">
        <v>0</v>
      </c>
      <c r="AT97" s="57">
        <v>0</v>
      </c>
      <c r="AU97" s="57">
        <v>0</v>
      </c>
      <c r="AV97" s="57">
        <v>0</v>
      </c>
      <c r="AW97" s="57">
        <v>0</v>
      </c>
      <c r="AX97" s="57">
        <v>0</v>
      </c>
      <c r="AY97" s="57">
        <v>0</v>
      </c>
      <c r="AZ97" s="57">
        <v>0</v>
      </c>
      <c r="BA97" s="57">
        <v>0</v>
      </c>
      <c r="BB97" s="57">
        <v>0</v>
      </c>
      <c r="BC97" s="57">
        <v>0</v>
      </c>
      <c r="BD97" s="57">
        <v>0</v>
      </c>
      <c r="BE97" s="57">
        <v>0</v>
      </c>
      <c r="BF97" s="57">
        <v>0</v>
      </c>
      <c r="BG97" s="57">
        <v>0</v>
      </c>
      <c r="BH97" s="57">
        <v>0</v>
      </c>
      <c r="BI97" s="57">
        <v>0</v>
      </c>
      <c r="BJ97" s="57">
        <v>0</v>
      </c>
      <c r="BK97" s="57">
        <v>0</v>
      </c>
      <c r="BL97" s="57">
        <v>0</v>
      </c>
      <c r="BM97" s="57">
        <v>0</v>
      </c>
      <c r="BN97" s="57">
        <v>0</v>
      </c>
      <c r="BO97" s="57">
        <v>0</v>
      </c>
      <c r="BP97" s="57">
        <v>0</v>
      </c>
      <c r="BQ97" s="57">
        <v>0</v>
      </c>
      <c r="BR97" s="57">
        <v>0</v>
      </c>
      <c r="BS97" s="57">
        <v>0</v>
      </c>
      <c r="BT97" s="57">
        <v>0</v>
      </c>
      <c r="BU97" s="57">
        <v>0</v>
      </c>
      <c r="BV97" s="57">
        <v>0</v>
      </c>
      <c r="BW97" s="57">
        <v>0</v>
      </c>
      <c r="BX97" s="57">
        <v>0</v>
      </c>
      <c r="BY97" s="57">
        <v>0</v>
      </c>
      <c r="BZ97" s="57">
        <v>0</v>
      </c>
      <c r="CA97" s="57">
        <v>0</v>
      </c>
      <c r="CB97" s="57">
        <v>0</v>
      </c>
      <c r="CC97" s="57">
        <v>0</v>
      </c>
      <c r="CD97" s="57">
        <v>0</v>
      </c>
      <c r="CE97" s="57">
        <v>0</v>
      </c>
      <c r="CF97" s="57">
        <v>0</v>
      </c>
      <c r="CG97" s="57">
        <v>0</v>
      </c>
      <c r="CH97" s="57">
        <v>0</v>
      </c>
      <c r="CI97" s="57">
        <v>0</v>
      </c>
      <c r="CJ97" s="57">
        <v>0</v>
      </c>
      <c r="CK97" s="57">
        <v>0</v>
      </c>
      <c r="CL97" s="57">
        <v>0</v>
      </c>
      <c r="CM97" s="57">
        <v>0</v>
      </c>
      <c r="CN97" s="57">
        <v>0</v>
      </c>
      <c r="CO97" s="57">
        <v>0</v>
      </c>
      <c r="CP97" s="57">
        <v>0</v>
      </c>
      <c r="CQ97" s="57">
        <v>0</v>
      </c>
      <c r="CR97" s="57">
        <v>0</v>
      </c>
      <c r="CS97" s="57">
        <v>0</v>
      </c>
      <c r="CT97" s="57">
        <v>0</v>
      </c>
      <c r="CU97" s="57">
        <v>0</v>
      </c>
      <c r="CV97" s="57">
        <v>0</v>
      </c>
      <c r="CW97" s="57">
        <v>0</v>
      </c>
      <c r="CX97" s="57">
        <v>0</v>
      </c>
      <c r="CY97" s="57">
        <v>0</v>
      </c>
      <c r="CZ97" s="57">
        <v>0</v>
      </c>
      <c r="DA97" s="57">
        <v>0</v>
      </c>
      <c r="DB97" s="57">
        <v>0</v>
      </c>
      <c r="DC97" s="57">
        <v>0</v>
      </c>
      <c r="DD97" s="57">
        <v>0</v>
      </c>
      <c r="DE97" s="57">
        <v>0</v>
      </c>
      <c r="DF97" s="57">
        <v>0</v>
      </c>
      <c r="DG97" s="137">
        <v>0</v>
      </c>
      <c r="DH97" s="137">
        <v>0</v>
      </c>
      <c r="DI97" s="137">
        <v>0</v>
      </c>
      <c r="DJ97" s="137">
        <v>0</v>
      </c>
      <c r="DK97" s="137">
        <v>0</v>
      </c>
      <c r="DL97" s="137">
        <v>0</v>
      </c>
      <c r="DM97" s="137">
        <v>0</v>
      </c>
      <c r="DN97" s="137">
        <v>0</v>
      </c>
      <c r="DO97" s="137">
        <v>0</v>
      </c>
      <c r="DP97" s="137">
        <v>0</v>
      </c>
      <c r="DQ97" s="137">
        <v>0</v>
      </c>
      <c r="DR97" s="137">
        <v>0</v>
      </c>
      <c r="DS97" s="137">
        <v>0</v>
      </c>
      <c r="DT97" s="137">
        <v>0</v>
      </c>
      <c r="DU97" s="137">
        <v>0</v>
      </c>
      <c r="DV97" s="137">
        <v>0</v>
      </c>
      <c r="DW97" s="137">
        <v>0</v>
      </c>
      <c r="DX97" s="137">
        <v>0</v>
      </c>
      <c r="DY97" s="137">
        <v>0</v>
      </c>
      <c r="DZ97" s="137">
        <v>0</v>
      </c>
      <c r="EA97" s="137">
        <v>0</v>
      </c>
    </row>
    <row r="98" spans="1:131" x14ac:dyDescent="0.35">
      <c r="A98" s="90" t="e">
        <f>VLOOKUP(E98,'Validation List'!F99:G494,2,FALSE)</f>
        <v>#N/A</v>
      </c>
      <c r="B98" s="90" t="e">
        <f>INDEX('NEW HIRE ROSTER'!$G:$G,MATCH(RAW!F98,'NEW HIRE ROSTER'!$A:$A,0))</f>
        <v>#N/A</v>
      </c>
      <c r="C98" s="90" t="e">
        <f>INDEX('NEW HIRE ROSTER'!$F:$F,MATCH(RAW!F98,'NEW HIRE ROSTER'!$A:$A,0))</f>
        <v>#N/A</v>
      </c>
      <c r="D98" s="90" t="e">
        <f>INDEX('Validation List'!$H:$H,MATCH(RAW!E98,'Validation List'!$F:$F,0))</f>
        <v>#N/A</v>
      </c>
      <c r="G98" s="90" t="e">
        <f>VLOOKUP(F98,ML!C82:D680,2,FALSE)</f>
        <v>#N/A</v>
      </c>
      <c r="H98" s="90" t="e">
        <f>VLOOKUP(F98,ML!C82:E680,3,FALSE)</f>
        <v>#N/A</v>
      </c>
      <c r="M98" s="83"/>
      <c r="N98" s="57">
        <v>0</v>
      </c>
      <c r="O98" s="57">
        <v>0</v>
      </c>
      <c r="P98" s="57">
        <v>0</v>
      </c>
      <c r="Q98" s="57">
        <v>0</v>
      </c>
      <c r="R98" s="57">
        <v>0</v>
      </c>
      <c r="S98" s="57">
        <v>0</v>
      </c>
      <c r="T98" s="57">
        <v>0</v>
      </c>
      <c r="U98" s="57">
        <v>0</v>
      </c>
      <c r="V98" s="57">
        <v>0</v>
      </c>
      <c r="W98" s="57">
        <v>0</v>
      </c>
      <c r="X98" s="57">
        <v>0</v>
      </c>
      <c r="Y98" s="57">
        <v>0</v>
      </c>
      <c r="Z98" s="57">
        <v>0</v>
      </c>
      <c r="AA98" s="57">
        <v>0</v>
      </c>
      <c r="AB98" s="57">
        <v>0</v>
      </c>
      <c r="AC98" s="57">
        <v>0</v>
      </c>
      <c r="AD98" s="57">
        <v>0</v>
      </c>
      <c r="AE98" s="57">
        <v>0</v>
      </c>
      <c r="AF98" s="57">
        <v>0</v>
      </c>
      <c r="AG98" s="57">
        <v>0</v>
      </c>
      <c r="AH98" s="57">
        <v>0</v>
      </c>
      <c r="AI98" s="57">
        <v>0</v>
      </c>
      <c r="AJ98" s="57">
        <v>0</v>
      </c>
      <c r="AK98" s="57">
        <v>0</v>
      </c>
      <c r="AL98" s="57">
        <v>0</v>
      </c>
      <c r="AM98" s="57">
        <v>0</v>
      </c>
      <c r="AN98" s="57">
        <v>0</v>
      </c>
      <c r="AO98" s="57">
        <v>0</v>
      </c>
      <c r="AP98" s="57">
        <v>0</v>
      </c>
      <c r="AQ98" s="57">
        <v>0</v>
      </c>
      <c r="AR98" s="57">
        <v>0</v>
      </c>
      <c r="AS98" s="57">
        <v>0</v>
      </c>
      <c r="AT98" s="57">
        <v>0</v>
      </c>
      <c r="AU98" s="57">
        <v>0</v>
      </c>
      <c r="AV98" s="57">
        <v>0</v>
      </c>
      <c r="AW98" s="57">
        <v>0</v>
      </c>
      <c r="AX98" s="57">
        <v>0</v>
      </c>
      <c r="AY98" s="57">
        <v>0</v>
      </c>
      <c r="AZ98" s="57">
        <v>0</v>
      </c>
      <c r="BA98" s="57">
        <v>0</v>
      </c>
      <c r="BB98" s="57">
        <v>0</v>
      </c>
      <c r="BC98" s="57">
        <v>0</v>
      </c>
      <c r="BD98" s="57">
        <v>0</v>
      </c>
      <c r="BE98" s="57">
        <v>0</v>
      </c>
      <c r="BF98" s="57">
        <v>0</v>
      </c>
      <c r="BG98" s="57">
        <v>0</v>
      </c>
      <c r="BH98" s="57">
        <v>0</v>
      </c>
      <c r="BI98" s="57">
        <v>0</v>
      </c>
      <c r="BJ98" s="57">
        <v>0</v>
      </c>
      <c r="BK98" s="57">
        <v>0</v>
      </c>
      <c r="BL98" s="57">
        <v>0</v>
      </c>
      <c r="BM98" s="57">
        <v>0</v>
      </c>
      <c r="BN98" s="57">
        <v>0</v>
      </c>
      <c r="BO98" s="57">
        <v>0</v>
      </c>
      <c r="BP98" s="57">
        <v>0</v>
      </c>
      <c r="BQ98" s="57">
        <v>0</v>
      </c>
      <c r="BR98" s="57">
        <v>0</v>
      </c>
      <c r="BS98" s="57">
        <v>0</v>
      </c>
      <c r="BT98" s="57">
        <v>0</v>
      </c>
      <c r="BU98" s="57">
        <v>0</v>
      </c>
      <c r="BV98" s="57">
        <v>0</v>
      </c>
      <c r="BW98" s="57">
        <v>0</v>
      </c>
      <c r="BX98" s="57">
        <v>0</v>
      </c>
      <c r="BY98" s="57">
        <v>0</v>
      </c>
      <c r="BZ98" s="57">
        <v>0</v>
      </c>
      <c r="CA98" s="57">
        <v>0</v>
      </c>
      <c r="CB98" s="57">
        <v>0</v>
      </c>
      <c r="CC98" s="57">
        <v>0</v>
      </c>
      <c r="CD98" s="57">
        <v>0</v>
      </c>
      <c r="CE98" s="57">
        <v>0</v>
      </c>
      <c r="CF98" s="57">
        <v>0</v>
      </c>
      <c r="CG98" s="57">
        <v>0</v>
      </c>
      <c r="CH98" s="57">
        <v>0</v>
      </c>
      <c r="CI98" s="57">
        <v>0</v>
      </c>
      <c r="CJ98" s="57">
        <v>0</v>
      </c>
      <c r="CK98" s="57">
        <v>0</v>
      </c>
      <c r="CL98" s="57">
        <v>0</v>
      </c>
      <c r="CM98" s="57">
        <v>0</v>
      </c>
      <c r="CN98" s="57">
        <v>0</v>
      </c>
      <c r="CO98" s="57">
        <v>0</v>
      </c>
      <c r="CP98" s="57">
        <v>0</v>
      </c>
      <c r="CQ98" s="57">
        <v>0</v>
      </c>
      <c r="CR98" s="57">
        <v>0</v>
      </c>
      <c r="CS98" s="57">
        <v>0</v>
      </c>
      <c r="CT98" s="57">
        <v>0</v>
      </c>
      <c r="CU98" s="57">
        <v>0</v>
      </c>
      <c r="CV98" s="57">
        <v>0</v>
      </c>
      <c r="CW98" s="57">
        <v>0</v>
      </c>
      <c r="CX98" s="57">
        <v>0</v>
      </c>
      <c r="CY98" s="57">
        <v>0</v>
      </c>
      <c r="CZ98" s="57">
        <v>0</v>
      </c>
      <c r="DA98" s="57">
        <v>0</v>
      </c>
      <c r="DB98" s="57">
        <v>0</v>
      </c>
      <c r="DC98" s="57">
        <v>0</v>
      </c>
      <c r="DD98" s="57">
        <v>0</v>
      </c>
      <c r="DE98" s="57">
        <v>0</v>
      </c>
      <c r="DF98" s="57">
        <v>0</v>
      </c>
      <c r="DG98" s="137">
        <v>0</v>
      </c>
      <c r="DH98" s="137">
        <v>0</v>
      </c>
      <c r="DI98" s="137">
        <v>0</v>
      </c>
      <c r="DJ98" s="137">
        <v>0</v>
      </c>
      <c r="DK98" s="137">
        <v>0</v>
      </c>
      <c r="DL98" s="137">
        <v>0</v>
      </c>
      <c r="DM98" s="137">
        <v>0</v>
      </c>
      <c r="DN98" s="137">
        <v>0</v>
      </c>
      <c r="DO98" s="137">
        <v>0</v>
      </c>
      <c r="DP98" s="137">
        <v>0</v>
      </c>
      <c r="DQ98" s="137">
        <v>0</v>
      </c>
      <c r="DR98" s="137">
        <v>0</v>
      </c>
      <c r="DS98" s="137">
        <v>0</v>
      </c>
      <c r="DT98" s="137">
        <v>0</v>
      </c>
      <c r="DU98" s="137">
        <v>0</v>
      </c>
      <c r="DV98" s="137">
        <v>0</v>
      </c>
      <c r="DW98" s="137">
        <v>0</v>
      </c>
      <c r="DX98" s="137">
        <v>0</v>
      </c>
      <c r="DY98" s="137">
        <v>0</v>
      </c>
      <c r="DZ98" s="137">
        <v>0</v>
      </c>
      <c r="EA98" s="137">
        <v>0</v>
      </c>
    </row>
    <row r="99" spans="1:131" x14ac:dyDescent="0.35">
      <c r="A99" s="90" t="e">
        <f>VLOOKUP(E99,'Validation List'!F100:G495,2,FALSE)</f>
        <v>#N/A</v>
      </c>
      <c r="B99" s="90" t="e">
        <f>INDEX('NEW HIRE ROSTER'!$G:$G,MATCH(RAW!F99,'NEW HIRE ROSTER'!$A:$A,0))</f>
        <v>#N/A</v>
      </c>
      <c r="C99" s="90" t="e">
        <f>INDEX('NEW HIRE ROSTER'!$F:$F,MATCH(RAW!F99,'NEW HIRE ROSTER'!$A:$A,0))</f>
        <v>#N/A</v>
      </c>
      <c r="D99" s="90" t="e">
        <f>INDEX('Validation List'!$H:$H,MATCH(RAW!E99,'Validation List'!$F:$F,0))</f>
        <v>#N/A</v>
      </c>
      <c r="G99" s="90" t="e">
        <f>VLOOKUP(F99,ML!C83:D681,2,FALSE)</f>
        <v>#N/A</v>
      </c>
      <c r="H99" s="90" t="e">
        <f>VLOOKUP(F99,ML!C83:E681,3,FALSE)</f>
        <v>#N/A</v>
      </c>
      <c r="M99" s="56"/>
      <c r="N99" s="57">
        <v>0</v>
      </c>
      <c r="O99" s="57">
        <v>0</v>
      </c>
      <c r="P99" s="57">
        <v>0</v>
      </c>
      <c r="Q99" s="57">
        <v>0</v>
      </c>
      <c r="R99" s="57">
        <v>0</v>
      </c>
      <c r="S99" s="57">
        <v>0</v>
      </c>
      <c r="T99" s="57">
        <v>0</v>
      </c>
      <c r="U99" s="57">
        <v>0</v>
      </c>
      <c r="V99" s="57">
        <v>0</v>
      </c>
      <c r="W99" s="57">
        <v>0</v>
      </c>
      <c r="X99" s="57">
        <v>0</v>
      </c>
      <c r="Y99" s="57">
        <v>0</v>
      </c>
      <c r="Z99" s="57">
        <v>0</v>
      </c>
      <c r="AA99" s="57">
        <v>0</v>
      </c>
      <c r="AB99" s="57">
        <v>0</v>
      </c>
      <c r="AC99" s="57">
        <v>0</v>
      </c>
      <c r="AD99" s="57">
        <v>0</v>
      </c>
      <c r="AE99" s="57">
        <v>0</v>
      </c>
      <c r="AF99" s="57">
        <v>0</v>
      </c>
      <c r="AG99" s="57">
        <v>0</v>
      </c>
      <c r="AH99" s="57">
        <v>0</v>
      </c>
      <c r="AI99" s="57">
        <v>0</v>
      </c>
      <c r="AJ99" s="57">
        <v>0</v>
      </c>
      <c r="AK99" s="57">
        <v>0</v>
      </c>
      <c r="AL99" s="57">
        <v>0</v>
      </c>
      <c r="AM99" s="57">
        <v>0</v>
      </c>
      <c r="AN99" s="57">
        <v>0</v>
      </c>
      <c r="AO99" s="57">
        <v>0</v>
      </c>
      <c r="AP99" s="57">
        <v>0</v>
      </c>
      <c r="AQ99" s="57">
        <v>0</v>
      </c>
      <c r="AR99" s="57">
        <v>0</v>
      </c>
      <c r="AS99" s="57">
        <v>0</v>
      </c>
      <c r="AT99" s="57">
        <v>0</v>
      </c>
      <c r="AU99" s="57">
        <v>0</v>
      </c>
      <c r="AV99" s="57">
        <v>0</v>
      </c>
      <c r="AW99" s="57">
        <v>0</v>
      </c>
      <c r="AX99" s="57">
        <v>0</v>
      </c>
      <c r="AY99" s="57">
        <v>0</v>
      </c>
      <c r="AZ99" s="57">
        <v>0</v>
      </c>
      <c r="BA99" s="57">
        <v>0</v>
      </c>
      <c r="BB99" s="57">
        <v>0</v>
      </c>
      <c r="BC99" s="57">
        <v>0</v>
      </c>
      <c r="BD99" s="57">
        <v>0</v>
      </c>
      <c r="BE99" s="57">
        <v>0</v>
      </c>
      <c r="BF99" s="57">
        <v>0</v>
      </c>
      <c r="BG99" s="57">
        <v>0</v>
      </c>
      <c r="BH99" s="57">
        <v>0</v>
      </c>
      <c r="BI99" s="57">
        <v>0</v>
      </c>
      <c r="BJ99" s="57">
        <v>0</v>
      </c>
      <c r="BK99" s="57">
        <v>0</v>
      </c>
      <c r="BL99" s="57">
        <v>0</v>
      </c>
      <c r="BM99" s="57">
        <v>0</v>
      </c>
      <c r="BN99" s="57">
        <v>0</v>
      </c>
      <c r="BO99" s="57">
        <v>0</v>
      </c>
      <c r="BP99" s="57">
        <v>0</v>
      </c>
      <c r="BQ99" s="57">
        <v>0</v>
      </c>
      <c r="BR99" s="57">
        <v>0</v>
      </c>
      <c r="BS99" s="57">
        <v>0</v>
      </c>
      <c r="BT99" s="57">
        <v>0</v>
      </c>
      <c r="BU99" s="57">
        <v>0</v>
      </c>
      <c r="BV99" s="57">
        <v>0</v>
      </c>
      <c r="BW99" s="57">
        <v>0</v>
      </c>
      <c r="BX99" s="57">
        <v>0</v>
      </c>
      <c r="BY99" s="57">
        <v>0</v>
      </c>
      <c r="BZ99" s="57">
        <v>0</v>
      </c>
      <c r="CA99" s="57">
        <v>0</v>
      </c>
      <c r="CB99" s="57">
        <v>0</v>
      </c>
      <c r="CC99" s="57">
        <v>0</v>
      </c>
      <c r="CD99" s="57">
        <v>0</v>
      </c>
      <c r="CE99" s="57">
        <v>0</v>
      </c>
      <c r="CF99" s="57">
        <v>0</v>
      </c>
      <c r="CG99" s="57">
        <v>0</v>
      </c>
      <c r="CH99" s="57">
        <v>0</v>
      </c>
      <c r="CI99" s="57">
        <v>0</v>
      </c>
      <c r="CJ99" s="57">
        <v>0</v>
      </c>
      <c r="CK99" s="57">
        <v>0</v>
      </c>
      <c r="CL99" s="57">
        <v>0</v>
      </c>
      <c r="CM99" s="57">
        <v>0</v>
      </c>
      <c r="CN99" s="57">
        <v>0</v>
      </c>
      <c r="CO99" s="57">
        <v>0</v>
      </c>
      <c r="CP99" s="57">
        <v>0</v>
      </c>
      <c r="CQ99" s="57">
        <v>0</v>
      </c>
      <c r="CR99" s="57">
        <v>0</v>
      </c>
      <c r="CS99" s="57">
        <v>0</v>
      </c>
      <c r="CT99" s="57">
        <v>0</v>
      </c>
      <c r="CU99" s="57">
        <v>0</v>
      </c>
      <c r="CV99" s="57">
        <v>0</v>
      </c>
      <c r="CW99" s="57">
        <v>0</v>
      </c>
      <c r="CX99" s="57">
        <v>0</v>
      </c>
      <c r="CY99" s="57">
        <v>0</v>
      </c>
      <c r="CZ99" s="57">
        <v>0</v>
      </c>
      <c r="DA99" s="57">
        <v>0</v>
      </c>
      <c r="DB99" s="57">
        <v>0</v>
      </c>
      <c r="DC99" s="57">
        <v>0</v>
      </c>
      <c r="DD99" s="57">
        <v>0</v>
      </c>
      <c r="DE99" s="57">
        <v>0</v>
      </c>
      <c r="DF99" s="57">
        <v>0</v>
      </c>
      <c r="DG99" s="137">
        <v>0</v>
      </c>
      <c r="DH99" s="137">
        <v>0</v>
      </c>
      <c r="DI99" s="137">
        <v>0</v>
      </c>
      <c r="DJ99" s="137">
        <v>0</v>
      </c>
      <c r="DK99" s="137">
        <v>0</v>
      </c>
      <c r="DL99" s="137">
        <v>0</v>
      </c>
      <c r="DM99" s="137">
        <v>0</v>
      </c>
      <c r="DN99" s="137">
        <v>0</v>
      </c>
      <c r="DO99" s="137">
        <v>0</v>
      </c>
      <c r="DP99" s="137">
        <v>0</v>
      </c>
      <c r="DQ99" s="137">
        <v>0</v>
      </c>
      <c r="DR99" s="137">
        <v>0</v>
      </c>
      <c r="DS99" s="137">
        <v>0</v>
      </c>
      <c r="DT99" s="137">
        <v>0</v>
      </c>
      <c r="DU99" s="137">
        <v>0</v>
      </c>
      <c r="DV99" s="137">
        <v>0</v>
      </c>
      <c r="DW99" s="137">
        <v>0</v>
      </c>
      <c r="DX99" s="137">
        <v>0</v>
      </c>
      <c r="DY99" s="137">
        <v>0</v>
      </c>
      <c r="DZ99" s="137">
        <v>0</v>
      </c>
      <c r="EA99" s="137">
        <v>0</v>
      </c>
    </row>
    <row r="100" spans="1:131" x14ac:dyDescent="0.35">
      <c r="A100" s="90" t="e">
        <f>VLOOKUP(E100,'Validation List'!F101:G496,2,FALSE)</f>
        <v>#N/A</v>
      </c>
      <c r="B100" s="90" t="e">
        <f>INDEX('NEW HIRE ROSTER'!$G:$G,MATCH(RAW!F100,'NEW HIRE ROSTER'!$A:$A,0))</f>
        <v>#N/A</v>
      </c>
      <c r="C100" s="90" t="e">
        <f>INDEX('NEW HIRE ROSTER'!$F:$F,MATCH(RAW!F100,'NEW HIRE ROSTER'!$A:$A,0))</f>
        <v>#N/A</v>
      </c>
      <c r="D100" s="90" t="e">
        <f>INDEX('Validation List'!$H:$H,MATCH(RAW!E100,'Validation List'!$F:$F,0))</f>
        <v>#N/A</v>
      </c>
      <c r="G100" s="90" t="e">
        <f>VLOOKUP(F100,ML!C84:D682,2,FALSE)</f>
        <v>#N/A</v>
      </c>
      <c r="H100" s="90" t="e">
        <f>VLOOKUP(F100,ML!C84:E682,3,FALSE)</f>
        <v>#N/A</v>
      </c>
      <c r="M100" s="56"/>
      <c r="N100" s="57">
        <v>0</v>
      </c>
      <c r="O100" s="57">
        <v>0</v>
      </c>
      <c r="P100" s="57">
        <v>0</v>
      </c>
      <c r="Q100" s="57">
        <v>0</v>
      </c>
      <c r="R100" s="57">
        <v>0</v>
      </c>
      <c r="S100" s="57">
        <v>0</v>
      </c>
      <c r="T100" s="57">
        <v>0</v>
      </c>
      <c r="U100" s="57">
        <v>0</v>
      </c>
      <c r="V100" s="57">
        <v>0</v>
      </c>
      <c r="W100" s="57">
        <v>0</v>
      </c>
      <c r="X100" s="57">
        <v>0</v>
      </c>
      <c r="Y100" s="57">
        <v>0</v>
      </c>
      <c r="Z100" s="57">
        <v>0</v>
      </c>
      <c r="AA100" s="57">
        <v>0</v>
      </c>
      <c r="AB100" s="57">
        <v>0</v>
      </c>
      <c r="AC100" s="57">
        <v>0</v>
      </c>
      <c r="AD100" s="57">
        <v>0</v>
      </c>
      <c r="AE100" s="57">
        <v>0</v>
      </c>
      <c r="AF100" s="57">
        <v>0</v>
      </c>
      <c r="AG100" s="57">
        <v>0</v>
      </c>
      <c r="AH100" s="57">
        <v>0</v>
      </c>
      <c r="AI100" s="57">
        <v>0</v>
      </c>
      <c r="AJ100" s="57">
        <v>0</v>
      </c>
      <c r="AK100" s="57">
        <v>0</v>
      </c>
      <c r="AL100" s="57">
        <v>0</v>
      </c>
      <c r="AM100" s="57">
        <v>0</v>
      </c>
      <c r="AN100" s="57">
        <v>0</v>
      </c>
      <c r="AO100" s="57">
        <v>0</v>
      </c>
      <c r="AP100" s="57">
        <v>0</v>
      </c>
      <c r="AQ100" s="57">
        <v>0</v>
      </c>
      <c r="AR100" s="57">
        <v>0</v>
      </c>
      <c r="AS100" s="57">
        <v>0</v>
      </c>
      <c r="AT100" s="57">
        <v>0</v>
      </c>
      <c r="AU100" s="57">
        <v>0</v>
      </c>
      <c r="AV100" s="57">
        <v>0</v>
      </c>
      <c r="AW100" s="57">
        <v>0</v>
      </c>
      <c r="AX100" s="57">
        <v>0</v>
      </c>
      <c r="AY100" s="57">
        <v>0</v>
      </c>
      <c r="AZ100" s="57">
        <v>0</v>
      </c>
      <c r="BA100" s="57">
        <v>0</v>
      </c>
      <c r="BB100" s="57">
        <v>0</v>
      </c>
      <c r="BC100" s="57">
        <v>0</v>
      </c>
      <c r="BD100" s="57">
        <v>0</v>
      </c>
      <c r="BE100" s="57">
        <v>0</v>
      </c>
      <c r="BF100" s="57">
        <v>0</v>
      </c>
      <c r="BG100" s="57">
        <v>0</v>
      </c>
      <c r="BH100" s="57">
        <v>0</v>
      </c>
      <c r="BI100" s="57">
        <v>0</v>
      </c>
      <c r="BJ100" s="57">
        <v>0</v>
      </c>
      <c r="BK100" s="57">
        <v>0</v>
      </c>
      <c r="BL100" s="57">
        <v>0</v>
      </c>
      <c r="BM100" s="57">
        <v>0</v>
      </c>
      <c r="BN100" s="57">
        <v>0</v>
      </c>
      <c r="BO100" s="57">
        <v>0</v>
      </c>
      <c r="BP100" s="57">
        <v>0</v>
      </c>
      <c r="BQ100" s="57">
        <v>0</v>
      </c>
      <c r="BR100" s="57">
        <v>0</v>
      </c>
      <c r="BS100" s="57">
        <v>0</v>
      </c>
      <c r="BT100" s="57">
        <v>0</v>
      </c>
      <c r="BU100" s="57">
        <v>0</v>
      </c>
      <c r="BV100" s="57">
        <v>0</v>
      </c>
      <c r="BW100" s="57">
        <v>0</v>
      </c>
      <c r="BX100" s="57">
        <v>0</v>
      </c>
      <c r="BY100" s="57">
        <v>0</v>
      </c>
      <c r="BZ100" s="57">
        <v>0</v>
      </c>
      <c r="CA100" s="57">
        <v>0</v>
      </c>
      <c r="CB100" s="57">
        <v>0</v>
      </c>
      <c r="CC100" s="57">
        <v>0</v>
      </c>
      <c r="CD100" s="57">
        <v>0</v>
      </c>
      <c r="CE100" s="57">
        <v>0</v>
      </c>
      <c r="CF100" s="57">
        <v>0</v>
      </c>
      <c r="CG100" s="57">
        <v>0</v>
      </c>
      <c r="CH100" s="57">
        <v>0</v>
      </c>
      <c r="CI100" s="57">
        <v>0</v>
      </c>
      <c r="CJ100" s="57">
        <v>0</v>
      </c>
      <c r="CK100" s="57">
        <v>0</v>
      </c>
      <c r="CL100" s="57">
        <v>0</v>
      </c>
      <c r="CM100" s="57">
        <v>0</v>
      </c>
      <c r="CN100" s="57">
        <v>0</v>
      </c>
      <c r="CO100" s="57">
        <v>0</v>
      </c>
      <c r="CP100" s="57">
        <v>0</v>
      </c>
      <c r="CQ100" s="57">
        <v>0</v>
      </c>
      <c r="CR100" s="57">
        <v>0</v>
      </c>
      <c r="CS100" s="57">
        <v>0</v>
      </c>
      <c r="CT100" s="57">
        <v>0</v>
      </c>
      <c r="CU100" s="57">
        <v>0</v>
      </c>
      <c r="CV100" s="57">
        <v>0</v>
      </c>
      <c r="CW100" s="57">
        <v>0</v>
      </c>
      <c r="CX100" s="57">
        <v>0</v>
      </c>
      <c r="CY100" s="57">
        <v>0</v>
      </c>
      <c r="CZ100" s="57">
        <v>0</v>
      </c>
      <c r="DA100" s="57">
        <v>0</v>
      </c>
      <c r="DB100" s="57">
        <v>0</v>
      </c>
      <c r="DC100" s="57">
        <v>0</v>
      </c>
      <c r="DD100" s="57">
        <v>0</v>
      </c>
      <c r="DE100" s="57">
        <v>0</v>
      </c>
      <c r="DF100" s="57">
        <v>0</v>
      </c>
      <c r="DG100" s="137">
        <v>0</v>
      </c>
      <c r="DH100" s="137">
        <v>0</v>
      </c>
      <c r="DI100" s="137">
        <v>0</v>
      </c>
      <c r="DJ100" s="137">
        <v>0</v>
      </c>
      <c r="DK100" s="137">
        <v>0</v>
      </c>
      <c r="DL100" s="137">
        <v>0</v>
      </c>
      <c r="DM100" s="137">
        <v>0</v>
      </c>
      <c r="DN100" s="137">
        <v>0</v>
      </c>
      <c r="DO100" s="137">
        <v>0</v>
      </c>
      <c r="DP100" s="137">
        <v>0</v>
      </c>
      <c r="DQ100" s="137">
        <v>0</v>
      </c>
      <c r="DR100" s="137">
        <v>0</v>
      </c>
      <c r="DS100" s="137">
        <v>0</v>
      </c>
      <c r="DT100" s="137">
        <v>0</v>
      </c>
      <c r="DU100" s="137">
        <v>0</v>
      </c>
      <c r="DV100" s="137">
        <v>0</v>
      </c>
      <c r="DW100" s="137">
        <v>0</v>
      </c>
      <c r="DX100" s="137">
        <v>0</v>
      </c>
      <c r="DY100" s="137">
        <v>0</v>
      </c>
      <c r="DZ100" s="137">
        <v>0</v>
      </c>
      <c r="EA100" s="137">
        <v>0</v>
      </c>
    </row>
    <row r="101" spans="1:131" x14ac:dyDescent="0.35">
      <c r="A101" s="90" t="e">
        <f>VLOOKUP(E101,'Validation List'!F102:G497,2,FALSE)</f>
        <v>#N/A</v>
      </c>
      <c r="B101" s="90" t="e">
        <f>INDEX('NEW HIRE ROSTER'!$G:$G,MATCH(RAW!F101,'NEW HIRE ROSTER'!$A:$A,0))</f>
        <v>#N/A</v>
      </c>
      <c r="C101" s="90" t="e">
        <f>INDEX('NEW HIRE ROSTER'!$F:$F,MATCH(RAW!F101,'NEW HIRE ROSTER'!$A:$A,0))</f>
        <v>#N/A</v>
      </c>
      <c r="D101" s="90" t="e">
        <f>INDEX('Validation List'!$H:$H,MATCH(RAW!E101,'Validation List'!$F:$F,0))</f>
        <v>#N/A</v>
      </c>
      <c r="G101" s="90" t="e">
        <f>VLOOKUP(F101,ML!C85:D683,2,FALSE)</f>
        <v>#N/A</v>
      </c>
      <c r="H101" s="90" t="e">
        <f>VLOOKUP(F101,ML!C85:E683,3,FALSE)</f>
        <v>#N/A</v>
      </c>
      <c r="M101" s="56"/>
      <c r="N101" s="57">
        <v>0</v>
      </c>
      <c r="O101" s="57">
        <v>0</v>
      </c>
      <c r="P101" s="57">
        <v>0</v>
      </c>
      <c r="Q101" s="57">
        <v>0</v>
      </c>
      <c r="R101" s="57">
        <v>0</v>
      </c>
      <c r="S101" s="57">
        <v>0</v>
      </c>
      <c r="T101" s="57">
        <v>0</v>
      </c>
      <c r="U101" s="57">
        <v>0</v>
      </c>
      <c r="V101" s="57">
        <v>0</v>
      </c>
      <c r="W101" s="57">
        <v>0</v>
      </c>
      <c r="X101" s="57">
        <v>0</v>
      </c>
      <c r="Y101" s="57">
        <v>0</v>
      </c>
      <c r="Z101" s="57">
        <v>0</v>
      </c>
      <c r="AA101" s="57">
        <v>0</v>
      </c>
      <c r="AB101" s="57">
        <v>0</v>
      </c>
      <c r="AC101" s="57">
        <v>0</v>
      </c>
      <c r="AD101" s="57">
        <v>0</v>
      </c>
      <c r="AE101" s="57">
        <v>0</v>
      </c>
      <c r="AF101" s="57">
        <v>0</v>
      </c>
      <c r="AG101" s="57">
        <v>0</v>
      </c>
      <c r="AH101" s="57">
        <v>0</v>
      </c>
      <c r="AI101" s="57">
        <v>0</v>
      </c>
      <c r="AJ101" s="57">
        <v>0</v>
      </c>
      <c r="AK101" s="57">
        <v>0</v>
      </c>
      <c r="AL101" s="57">
        <v>0</v>
      </c>
      <c r="AM101" s="57">
        <v>0</v>
      </c>
      <c r="AN101" s="57">
        <v>0</v>
      </c>
      <c r="AO101" s="57">
        <v>0</v>
      </c>
      <c r="AP101" s="57">
        <v>0</v>
      </c>
      <c r="AQ101" s="57">
        <v>0</v>
      </c>
      <c r="AR101" s="57">
        <v>0</v>
      </c>
      <c r="AS101" s="57">
        <v>0</v>
      </c>
      <c r="AT101" s="57">
        <v>0</v>
      </c>
      <c r="AU101" s="57">
        <v>0</v>
      </c>
      <c r="AV101" s="57">
        <v>0</v>
      </c>
      <c r="AW101" s="57">
        <v>0</v>
      </c>
      <c r="AX101" s="57">
        <v>0</v>
      </c>
      <c r="AY101" s="57">
        <v>0</v>
      </c>
      <c r="AZ101" s="57">
        <v>0</v>
      </c>
      <c r="BA101" s="57">
        <v>0</v>
      </c>
      <c r="BB101" s="57">
        <v>0</v>
      </c>
      <c r="BC101" s="57">
        <v>0</v>
      </c>
      <c r="BD101" s="57">
        <v>0</v>
      </c>
      <c r="BE101" s="57">
        <v>0</v>
      </c>
      <c r="BF101" s="57">
        <v>0</v>
      </c>
      <c r="BG101" s="57">
        <v>0</v>
      </c>
      <c r="BH101" s="57">
        <v>0</v>
      </c>
      <c r="BI101" s="57">
        <v>0</v>
      </c>
      <c r="BJ101" s="57">
        <v>0</v>
      </c>
      <c r="BK101" s="57">
        <v>0</v>
      </c>
      <c r="BL101" s="57">
        <v>0</v>
      </c>
      <c r="BM101" s="57">
        <v>0</v>
      </c>
      <c r="BN101" s="57">
        <v>0</v>
      </c>
      <c r="BO101" s="57">
        <v>0</v>
      </c>
      <c r="BP101" s="57">
        <v>0</v>
      </c>
      <c r="BQ101" s="57">
        <v>0</v>
      </c>
      <c r="BR101" s="57">
        <v>0</v>
      </c>
      <c r="BS101" s="57">
        <v>0</v>
      </c>
      <c r="BT101" s="57">
        <v>0</v>
      </c>
      <c r="BU101" s="57">
        <v>0</v>
      </c>
      <c r="BV101" s="57">
        <v>0</v>
      </c>
      <c r="BW101" s="57">
        <v>0</v>
      </c>
      <c r="BX101" s="57">
        <v>0</v>
      </c>
      <c r="BY101" s="57">
        <v>0</v>
      </c>
      <c r="BZ101" s="57">
        <v>0</v>
      </c>
      <c r="CA101" s="57">
        <v>0</v>
      </c>
      <c r="CB101" s="57">
        <v>0</v>
      </c>
      <c r="CC101" s="57">
        <v>0</v>
      </c>
      <c r="CD101" s="57">
        <v>0</v>
      </c>
      <c r="CE101" s="57">
        <v>0</v>
      </c>
      <c r="CF101" s="57">
        <v>0</v>
      </c>
      <c r="CG101" s="57">
        <v>0</v>
      </c>
      <c r="CH101" s="57">
        <v>0</v>
      </c>
      <c r="CI101" s="57">
        <v>0</v>
      </c>
      <c r="CJ101" s="57">
        <v>0</v>
      </c>
      <c r="CK101" s="57">
        <v>0</v>
      </c>
      <c r="CL101" s="57">
        <v>0</v>
      </c>
      <c r="CM101" s="57">
        <v>0</v>
      </c>
      <c r="CN101" s="57">
        <v>0</v>
      </c>
      <c r="CO101" s="57">
        <v>0</v>
      </c>
      <c r="CP101" s="57">
        <v>0</v>
      </c>
      <c r="CQ101" s="57">
        <v>0</v>
      </c>
      <c r="CR101" s="57">
        <v>0</v>
      </c>
      <c r="CS101" s="57">
        <v>0</v>
      </c>
      <c r="CT101" s="57">
        <v>0</v>
      </c>
      <c r="CU101" s="57">
        <v>0</v>
      </c>
      <c r="CV101" s="57">
        <v>0</v>
      </c>
      <c r="CW101" s="57">
        <v>0</v>
      </c>
      <c r="CX101" s="57">
        <v>0</v>
      </c>
      <c r="CY101" s="57">
        <v>0</v>
      </c>
      <c r="CZ101" s="57">
        <v>0</v>
      </c>
      <c r="DA101" s="57">
        <v>0</v>
      </c>
      <c r="DB101" s="57">
        <v>0</v>
      </c>
      <c r="DC101" s="57">
        <v>0</v>
      </c>
      <c r="DD101" s="57">
        <v>0</v>
      </c>
      <c r="DE101" s="57">
        <v>0</v>
      </c>
      <c r="DF101" s="57">
        <v>0</v>
      </c>
      <c r="DG101" s="137">
        <v>0</v>
      </c>
      <c r="DH101" s="137">
        <v>0</v>
      </c>
      <c r="DI101" s="137">
        <v>0</v>
      </c>
      <c r="DJ101" s="137">
        <v>0</v>
      </c>
      <c r="DK101" s="137">
        <v>0</v>
      </c>
      <c r="DL101" s="137">
        <v>0</v>
      </c>
      <c r="DM101" s="137">
        <v>0</v>
      </c>
      <c r="DN101" s="137">
        <v>0</v>
      </c>
      <c r="DO101" s="137">
        <v>0</v>
      </c>
      <c r="DP101" s="137">
        <v>0</v>
      </c>
      <c r="DQ101" s="137">
        <v>0</v>
      </c>
      <c r="DR101" s="137">
        <v>0</v>
      </c>
      <c r="DS101" s="137">
        <v>0</v>
      </c>
      <c r="DT101" s="137">
        <v>0</v>
      </c>
      <c r="DU101" s="137">
        <v>0</v>
      </c>
      <c r="DV101" s="137">
        <v>0</v>
      </c>
      <c r="DW101" s="137">
        <v>0</v>
      </c>
      <c r="DX101" s="137">
        <v>0</v>
      </c>
      <c r="DY101" s="137">
        <v>0</v>
      </c>
      <c r="DZ101" s="137">
        <v>0</v>
      </c>
      <c r="EA101" s="137">
        <v>0</v>
      </c>
    </row>
    <row r="102" spans="1:131" x14ac:dyDescent="0.35">
      <c r="A102" s="90" t="e">
        <f>VLOOKUP(E102,'Validation List'!F103:G498,2,FALSE)</f>
        <v>#N/A</v>
      </c>
      <c r="B102" s="90" t="e">
        <f>INDEX('NEW HIRE ROSTER'!$G:$G,MATCH(RAW!F102,'NEW HIRE ROSTER'!$A:$A,0))</f>
        <v>#N/A</v>
      </c>
      <c r="C102" s="90" t="e">
        <f>INDEX('NEW HIRE ROSTER'!$F:$F,MATCH(RAW!F102,'NEW HIRE ROSTER'!$A:$A,0))</f>
        <v>#N/A</v>
      </c>
      <c r="D102" s="90" t="e">
        <f>INDEX('Validation List'!$H:$H,MATCH(RAW!E102,'Validation List'!$F:$F,0))</f>
        <v>#N/A</v>
      </c>
      <c r="G102" s="90" t="e">
        <f>VLOOKUP(F102,ML!C86:D684,2,FALSE)</f>
        <v>#N/A</v>
      </c>
      <c r="H102" s="90" t="e">
        <f>VLOOKUP(F102,ML!C86:E684,3,FALSE)</f>
        <v>#N/A</v>
      </c>
      <c r="M102" s="56"/>
      <c r="N102" s="57">
        <v>0</v>
      </c>
      <c r="O102" s="57">
        <v>0</v>
      </c>
      <c r="P102" s="57">
        <v>0</v>
      </c>
      <c r="Q102" s="57">
        <v>0</v>
      </c>
      <c r="R102" s="57">
        <v>0</v>
      </c>
      <c r="S102" s="57">
        <v>0</v>
      </c>
      <c r="T102" s="57">
        <v>0</v>
      </c>
      <c r="U102" s="57">
        <v>0</v>
      </c>
      <c r="V102" s="57">
        <v>0</v>
      </c>
      <c r="W102" s="57">
        <v>0</v>
      </c>
      <c r="X102" s="57">
        <v>0</v>
      </c>
      <c r="Y102" s="57">
        <v>0</v>
      </c>
      <c r="Z102" s="57">
        <v>0</v>
      </c>
      <c r="AA102" s="57">
        <v>0</v>
      </c>
      <c r="AB102" s="57">
        <v>0</v>
      </c>
      <c r="AC102" s="57">
        <v>0</v>
      </c>
      <c r="AD102" s="57">
        <v>0</v>
      </c>
      <c r="AE102" s="57">
        <v>0</v>
      </c>
      <c r="AF102" s="57">
        <v>0</v>
      </c>
      <c r="AG102" s="57">
        <v>0</v>
      </c>
      <c r="AH102" s="57">
        <v>0</v>
      </c>
      <c r="AI102" s="57">
        <v>0</v>
      </c>
      <c r="AJ102" s="57">
        <v>0</v>
      </c>
      <c r="AK102" s="57">
        <v>0</v>
      </c>
      <c r="AL102" s="57">
        <v>0</v>
      </c>
      <c r="AM102" s="57">
        <v>0</v>
      </c>
      <c r="AN102" s="57">
        <v>0</v>
      </c>
      <c r="AO102" s="57">
        <v>0</v>
      </c>
      <c r="AP102" s="57">
        <v>0</v>
      </c>
      <c r="AQ102" s="57">
        <v>0</v>
      </c>
      <c r="AR102" s="57">
        <v>0</v>
      </c>
      <c r="AS102" s="57">
        <v>0</v>
      </c>
      <c r="AT102" s="57">
        <v>0</v>
      </c>
      <c r="AU102" s="57">
        <v>0</v>
      </c>
      <c r="AV102" s="57">
        <v>0</v>
      </c>
      <c r="AW102" s="57">
        <v>0</v>
      </c>
      <c r="AX102" s="57">
        <v>0</v>
      </c>
      <c r="AY102" s="57">
        <v>0</v>
      </c>
      <c r="AZ102" s="57">
        <v>0</v>
      </c>
      <c r="BA102" s="57">
        <v>0</v>
      </c>
      <c r="BB102" s="57">
        <v>0</v>
      </c>
      <c r="BC102" s="57">
        <v>0</v>
      </c>
      <c r="BD102" s="57">
        <v>0</v>
      </c>
      <c r="BE102" s="57">
        <v>0</v>
      </c>
      <c r="BF102" s="57">
        <v>0</v>
      </c>
      <c r="BG102" s="57">
        <v>0</v>
      </c>
      <c r="BH102" s="57">
        <v>0</v>
      </c>
      <c r="BI102" s="57">
        <v>0</v>
      </c>
      <c r="BJ102" s="57">
        <v>0</v>
      </c>
      <c r="BK102" s="57">
        <v>0</v>
      </c>
      <c r="BL102" s="57">
        <v>0</v>
      </c>
      <c r="BM102" s="57">
        <v>0</v>
      </c>
      <c r="BN102" s="57">
        <v>0</v>
      </c>
      <c r="BO102" s="57">
        <v>0</v>
      </c>
      <c r="BP102" s="57">
        <v>0</v>
      </c>
      <c r="BQ102" s="57">
        <v>0</v>
      </c>
      <c r="BR102" s="57">
        <v>0</v>
      </c>
      <c r="BS102" s="57">
        <v>0</v>
      </c>
      <c r="BT102" s="57">
        <v>0</v>
      </c>
      <c r="BU102" s="57">
        <v>0</v>
      </c>
      <c r="BV102" s="57">
        <v>0</v>
      </c>
      <c r="BW102" s="57">
        <v>0</v>
      </c>
      <c r="BX102" s="57">
        <v>0</v>
      </c>
      <c r="BY102" s="57">
        <v>0</v>
      </c>
      <c r="BZ102" s="57">
        <v>0</v>
      </c>
      <c r="CA102" s="57">
        <v>0</v>
      </c>
      <c r="CB102" s="57">
        <v>0</v>
      </c>
      <c r="CC102" s="57">
        <v>0</v>
      </c>
      <c r="CD102" s="57">
        <v>0</v>
      </c>
      <c r="CE102" s="57">
        <v>0</v>
      </c>
      <c r="CF102" s="57">
        <v>0</v>
      </c>
      <c r="CG102" s="57">
        <v>0</v>
      </c>
      <c r="CH102" s="57">
        <v>0</v>
      </c>
      <c r="CI102" s="57">
        <v>0</v>
      </c>
      <c r="CJ102" s="57">
        <v>0</v>
      </c>
      <c r="CK102" s="57">
        <v>0</v>
      </c>
      <c r="CL102" s="57">
        <v>0</v>
      </c>
      <c r="CM102" s="57">
        <v>0</v>
      </c>
      <c r="CN102" s="57">
        <v>0</v>
      </c>
      <c r="CO102" s="57">
        <v>0</v>
      </c>
      <c r="CP102" s="57">
        <v>0</v>
      </c>
      <c r="CQ102" s="57">
        <v>0</v>
      </c>
      <c r="CR102" s="57">
        <v>0</v>
      </c>
      <c r="CS102" s="57">
        <v>0</v>
      </c>
      <c r="CT102" s="57">
        <v>0</v>
      </c>
      <c r="CU102" s="57">
        <v>0</v>
      </c>
      <c r="CV102" s="57">
        <v>0</v>
      </c>
      <c r="CW102" s="57">
        <v>0</v>
      </c>
      <c r="CX102" s="57">
        <v>0</v>
      </c>
      <c r="CY102" s="57">
        <v>0</v>
      </c>
      <c r="CZ102" s="57">
        <v>0</v>
      </c>
      <c r="DA102" s="57">
        <v>0</v>
      </c>
      <c r="DB102" s="57">
        <v>0</v>
      </c>
      <c r="DC102" s="57">
        <v>0</v>
      </c>
      <c r="DD102" s="57">
        <v>0</v>
      </c>
      <c r="DE102" s="57">
        <v>0</v>
      </c>
      <c r="DF102" s="57">
        <v>0</v>
      </c>
      <c r="DG102" s="137">
        <v>0</v>
      </c>
      <c r="DH102" s="137">
        <v>0</v>
      </c>
      <c r="DI102" s="137">
        <v>0</v>
      </c>
      <c r="DJ102" s="137">
        <v>0</v>
      </c>
      <c r="DK102" s="137">
        <v>0</v>
      </c>
      <c r="DL102" s="137">
        <v>0</v>
      </c>
      <c r="DM102" s="137">
        <v>0</v>
      </c>
      <c r="DN102" s="137">
        <v>0</v>
      </c>
      <c r="DO102" s="137">
        <v>0</v>
      </c>
      <c r="DP102" s="137">
        <v>0</v>
      </c>
      <c r="DQ102" s="137">
        <v>0</v>
      </c>
      <c r="DR102" s="137">
        <v>0</v>
      </c>
      <c r="DS102" s="137">
        <v>0</v>
      </c>
      <c r="DT102" s="137">
        <v>0</v>
      </c>
      <c r="DU102" s="137">
        <v>0</v>
      </c>
      <c r="DV102" s="137">
        <v>0</v>
      </c>
      <c r="DW102" s="137">
        <v>0</v>
      </c>
      <c r="DX102" s="137">
        <v>0</v>
      </c>
      <c r="DY102" s="137">
        <v>0</v>
      </c>
      <c r="DZ102" s="137">
        <v>0</v>
      </c>
      <c r="EA102" s="137">
        <v>0</v>
      </c>
    </row>
    <row r="103" spans="1:131" x14ac:dyDescent="0.35">
      <c r="A103" s="90" t="e">
        <f>VLOOKUP(E103,'Validation List'!F104:G499,2,FALSE)</f>
        <v>#N/A</v>
      </c>
      <c r="B103" s="90" t="e">
        <f>INDEX('NEW HIRE ROSTER'!$G:$G,MATCH(RAW!F103,'NEW HIRE ROSTER'!$A:$A,0))</f>
        <v>#N/A</v>
      </c>
      <c r="C103" s="90" t="e">
        <f>INDEX('NEW HIRE ROSTER'!$F:$F,MATCH(RAW!F103,'NEW HIRE ROSTER'!$A:$A,0))</f>
        <v>#N/A</v>
      </c>
      <c r="D103" s="90" t="e">
        <f>INDEX('Validation List'!$H:$H,MATCH(RAW!E103,'Validation List'!$F:$F,0))</f>
        <v>#N/A</v>
      </c>
      <c r="G103" s="90" t="e">
        <f>VLOOKUP(F103,ML!C87:D685,2,FALSE)</f>
        <v>#N/A</v>
      </c>
      <c r="H103" s="90" t="e">
        <f>VLOOKUP(F103,ML!C87:E685,3,FALSE)</f>
        <v>#N/A</v>
      </c>
      <c r="M103" s="56"/>
      <c r="N103" s="57">
        <v>0</v>
      </c>
      <c r="O103" s="57">
        <v>0</v>
      </c>
      <c r="P103" s="57">
        <v>0</v>
      </c>
      <c r="Q103" s="57">
        <v>0</v>
      </c>
      <c r="R103" s="57">
        <v>0</v>
      </c>
      <c r="S103" s="57">
        <v>0</v>
      </c>
      <c r="T103" s="57">
        <v>0</v>
      </c>
      <c r="U103" s="57">
        <v>0</v>
      </c>
      <c r="V103" s="57">
        <v>0</v>
      </c>
      <c r="W103" s="57">
        <v>0</v>
      </c>
      <c r="X103" s="57">
        <v>0</v>
      </c>
      <c r="Y103" s="57">
        <v>0</v>
      </c>
      <c r="Z103" s="57">
        <v>0</v>
      </c>
      <c r="AA103" s="57">
        <v>0</v>
      </c>
      <c r="AB103" s="57">
        <v>0</v>
      </c>
      <c r="AC103" s="57">
        <v>0</v>
      </c>
      <c r="AD103" s="57">
        <v>0</v>
      </c>
      <c r="AE103" s="57">
        <v>0</v>
      </c>
      <c r="AF103" s="57">
        <v>0</v>
      </c>
      <c r="AG103" s="57">
        <v>0</v>
      </c>
      <c r="AH103" s="57">
        <v>0</v>
      </c>
      <c r="AI103" s="57">
        <v>0</v>
      </c>
      <c r="AJ103" s="57">
        <v>0</v>
      </c>
      <c r="AK103" s="57">
        <v>0</v>
      </c>
      <c r="AL103" s="57">
        <v>0</v>
      </c>
      <c r="AM103" s="57">
        <v>0</v>
      </c>
      <c r="AN103" s="57">
        <v>0</v>
      </c>
      <c r="AO103" s="57">
        <v>0</v>
      </c>
      <c r="AP103" s="57">
        <v>0</v>
      </c>
      <c r="AQ103" s="57">
        <v>0</v>
      </c>
      <c r="AR103" s="57">
        <v>0</v>
      </c>
      <c r="AS103" s="57">
        <v>0</v>
      </c>
      <c r="AT103" s="57">
        <v>0</v>
      </c>
      <c r="AU103" s="57">
        <v>0</v>
      </c>
      <c r="AV103" s="57">
        <v>0</v>
      </c>
      <c r="AW103" s="57">
        <v>0</v>
      </c>
      <c r="AX103" s="57">
        <v>0</v>
      </c>
      <c r="AY103" s="57">
        <v>0</v>
      </c>
      <c r="AZ103" s="57">
        <v>0</v>
      </c>
      <c r="BA103" s="57">
        <v>0</v>
      </c>
      <c r="BB103" s="57">
        <v>0</v>
      </c>
      <c r="BC103" s="57">
        <v>0</v>
      </c>
      <c r="BD103" s="57">
        <v>0</v>
      </c>
      <c r="BE103" s="57">
        <v>0</v>
      </c>
      <c r="BF103" s="57">
        <v>0</v>
      </c>
      <c r="BG103" s="57">
        <v>0</v>
      </c>
      <c r="BH103" s="57">
        <v>0</v>
      </c>
      <c r="BI103" s="57">
        <v>0</v>
      </c>
      <c r="BJ103" s="57">
        <v>0</v>
      </c>
      <c r="BK103" s="57">
        <v>0</v>
      </c>
      <c r="BL103" s="57">
        <v>0</v>
      </c>
      <c r="BM103" s="57">
        <v>0</v>
      </c>
      <c r="BN103" s="57">
        <v>0</v>
      </c>
      <c r="BO103" s="57">
        <v>0</v>
      </c>
      <c r="BP103" s="57">
        <v>0</v>
      </c>
      <c r="BQ103" s="57">
        <v>0</v>
      </c>
      <c r="BR103" s="57">
        <v>0</v>
      </c>
      <c r="BS103" s="57">
        <v>0</v>
      </c>
      <c r="BT103" s="57">
        <v>0</v>
      </c>
      <c r="BU103" s="57">
        <v>0</v>
      </c>
      <c r="BV103" s="57">
        <v>0</v>
      </c>
      <c r="BW103" s="57">
        <v>0</v>
      </c>
      <c r="BX103" s="57">
        <v>0</v>
      </c>
      <c r="BY103" s="57">
        <v>0</v>
      </c>
      <c r="BZ103" s="57">
        <v>0</v>
      </c>
      <c r="CA103" s="57">
        <v>0</v>
      </c>
      <c r="CB103" s="57">
        <v>0</v>
      </c>
      <c r="CC103" s="57">
        <v>0</v>
      </c>
      <c r="CD103" s="57">
        <v>0</v>
      </c>
      <c r="CE103" s="57">
        <v>0</v>
      </c>
      <c r="CF103" s="57">
        <v>0</v>
      </c>
      <c r="CG103" s="57">
        <v>0</v>
      </c>
      <c r="CH103" s="57">
        <v>0</v>
      </c>
      <c r="CI103" s="57">
        <v>0</v>
      </c>
      <c r="CJ103" s="57">
        <v>0</v>
      </c>
      <c r="CK103" s="57">
        <v>0</v>
      </c>
      <c r="CL103" s="57">
        <v>0</v>
      </c>
      <c r="CM103" s="57">
        <v>0</v>
      </c>
      <c r="CN103" s="57">
        <v>0</v>
      </c>
      <c r="CO103" s="57">
        <v>0</v>
      </c>
      <c r="CP103" s="57">
        <v>0</v>
      </c>
      <c r="CQ103" s="57">
        <v>0</v>
      </c>
      <c r="CR103" s="57">
        <v>0</v>
      </c>
      <c r="CS103" s="57">
        <v>0</v>
      </c>
      <c r="CT103" s="57">
        <v>0</v>
      </c>
      <c r="CU103" s="57">
        <v>0</v>
      </c>
      <c r="CV103" s="57">
        <v>0</v>
      </c>
      <c r="CW103" s="57">
        <v>0</v>
      </c>
      <c r="CX103" s="57">
        <v>0</v>
      </c>
      <c r="CY103" s="57">
        <v>0</v>
      </c>
      <c r="CZ103" s="57">
        <v>0</v>
      </c>
      <c r="DA103" s="57">
        <v>0</v>
      </c>
      <c r="DB103" s="57">
        <v>0</v>
      </c>
      <c r="DC103" s="57">
        <v>0</v>
      </c>
      <c r="DD103" s="57">
        <v>0</v>
      </c>
      <c r="DE103" s="57">
        <v>0</v>
      </c>
      <c r="DF103" s="57">
        <v>0</v>
      </c>
      <c r="DG103" s="137">
        <v>0</v>
      </c>
      <c r="DH103" s="137">
        <v>0</v>
      </c>
      <c r="DI103" s="137">
        <v>0</v>
      </c>
      <c r="DJ103" s="137">
        <v>0</v>
      </c>
      <c r="DK103" s="137">
        <v>0</v>
      </c>
      <c r="DL103" s="137">
        <v>0</v>
      </c>
      <c r="DM103" s="137">
        <v>0</v>
      </c>
      <c r="DN103" s="137">
        <v>0</v>
      </c>
      <c r="DO103" s="137">
        <v>0</v>
      </c>
      <c r="DP103" s="137">
        <v>0</v>
      </c>
      <c r="DQ103" s="137">
        <v>0</v>
      </c>
      <c r="DR103" s="137">
        <v>0</v>
      </c>
      <c r="DS103" s="137">
        <v>0</v>
      </c>
      <c r="DT103" s="137">
        <v>0</v>
      </c>
      <c r="DU103" s="137">
        <v>0</v>
      </c>
      <c r="DV103" s="137">
        <v>0</v>
      </c>
      <c r="DW103" s="137">
        <v>0</v>
      </c>
      <c r="DX103" s="137">
        <v>0</v>
      </c>
      <c r="DY103" s="137">
        <v>0</v>
      </c>
      <c r="DZ103" s="137">
        <v>0</v>
      </c>
      <c r="EA103" s="137">
        <v>0</v>
      </c>
    </row>
    <row r="104" spans="1:131" x14ac:dyDescent="0.35">
      <c r="A104" s="90" t="e">
        <f>VLOOKUP(E104,'Validation List'!F105:G500,2,FALSE)</f>
        <v>#N/A</v>
      </c>
      <c r="B104" s="90" t="e">
        <f>INDEX('NEW HIRE ROSTER'!$G:$G,MATCH(RAW!F104,'NEW HIRE ROSTER'!$A:$A,0))</f>
        <v>#N/A</v>
      </c>
      <c r="C104" s="90" t="e">
        <f>INDEX('NEW HIRE ROSTER'!$F:$F,MATCH(RAW!F104,'NEW HIRE ROSTER'!$A:$A,0))</f>
        <v>#N/A</v>
      </c>
      <c r="D104" s="90" t="e">
        <f>INDEX('Validation List'!$H:$H,MATCH(RAW!E104,'Validation List'!$F:$F,0))</f>
        <v>#N/A</v>
      </c>
      <c r="G104" s="90" t="e">
        <f>VLOOKUP(F104,ML!C88:D686,2,FALSE)</f>
        <v>#N/A</v>
      </c>
      <c r="H104" s="90" t="e">
        <f>VLOOKUP(F104,ML!C88:E686,3,FALSE)</f>
        <v>#N/A</v>
      </c>
      <c r="M104" s="56"/>
      <c r="N104" s="57">
        <v>0</v>
      </c>
      <c r="O104" s="57">
        <v>0</v>
      </c>
      <c r="P104" s="57">
        <v>0</v>
      </c>
      <c r="Q104" s="57">
        <v>0</v>
      </c>
      <c r="R104" s="57">
        <v>0</v>
      </c>
      <c r="S104" s="57">
        <v>0</v>
      </c>
      <c r="T104" s="57">
        <v>0</v>
      </c>
      <c r="U104" s="57">
        <v>0</v>
      </c>
      <c r="V104" s="57">
        <v>0</v>
      </c>
      <c r="W104" s="57">
        <v>0</v>
      </c>
      <c r="X104" s="57">
        <v>0</v>
      </c>
      <c r="Y104" s="57">
        <v>0</v>
      </c>
      <c r="Z104" s="57">
        <v>0</v>
      </c>
      <c r="AA104" s="57">
        <v>0</v>
      </c>
      <c r="AB104" s="57">
        <v>0</v>
      </c>
      <c r="AC104" s="57">
        <v>0</v>
      </c>
      <c r="AD104" s="57">
        <v>0</v>
      </c>
      <c r="AE104" s="57">
        <v>0</v>
      </c>
      <c r="AF104" s="57">
        <v>0</v>
      </c>
      <c r="AG104" s="57">
        <v>0</v>
      </c>
      <c r="AH104" s="57">
        <v>0</v>
      </c>
      <c r="AI104" s="57">
        <v>0</v>
      </c>
      <c r="AJ104" s="57">
        <v>0</v>
      </c>
      <c r="AK104" s="57">
        <v>0</v>
      </c>
      <c r="AL104" s="57">
        <v>0</v>
      </c>
      <c r="AM104" s="57">
        <v>0</v>
      </c>
      <c r="AN104" s="57">
        <v>0</v>
      </c>
      <c r="AO104" s="57">
        <v>0</v>
      </c>
      <c r="AP104" s="57">
        <v>0</v>
      </c>
      <c r="AQ104" s="57">
        <v>0</v>
      </c>
      <c r="AR104" s="57">
        <v>0</v>
      </c>
      <c r="AS104" s="57">
        <v>0</v>
      </c>
      <c r="AT104" s="57">
        <v>0</v>
      </c>
      <c r="AU104" s="57">
        <v>0</v>
      </c>
      <c r="AV104" s="57">
        <v>0</v>
      </c>
      <c r="AW104" s="57">
        <v>0</v>
      </c>
      <c r="AX104" s="57">
        <v>0</v>
      </c>
      <c r="AY104" s="57">
        <v>0</v>
      </c>
      <c r="AZ104" s="57">
        <v>0</v>
      </c>
      <c r="BA104" s="57">
        <v>0</v>
      </c>
      <c r="BB104" s="57">
        <v>0</v>
      </c>
      <c r="BC104" s="57">
        <v>0</v>
      </c>
      <c r="BD104" s="57">
        <v>0</v>
      </c>
      <c r="BE104" s="57">
        <v>0</v>
      </c>
      <c r="BF104" s="57">
        <v>0</v>
      </c>
      <c r="BG104" s="57">
        <v>0</v>
      </c>
      <c r="BH104" s="57">
        <v>0</v>
      </c>
      <c r="BI104" s="57">
        <v>0</v>
      </c>
      <c r="BJ104" s="57">
        <v>0</v>
      </c>
      <c r="BK104" s="57">
        <v>0</v>
      </c>
      <c r="BL104" s="57">
        <v>0</v>
      </c>
      <c r="BM104" s="57">
        <v>0</v>
      </c>
      <c r="BN104" s="57">
        <v>0</v>
      </c>
      <c r="BO104" s="57">
        <v>0</v>
      </c>
      <c r="BP104" s="57">
        <v>0</v>
      </c>
      <c r="BQ104" s="57">
        <v>0</v>
      </c>
      <c r="BR104" s="57">
        <v>0</v>
      </c>
      <c r="BS104" s="57">
        <v>0</v>
      </c>
      <c r="BT104" s="57">
        <v>0</v>
      </c>
      <c r="BU104" s="57">
        <v>0</v>
      </c>
      <c r="BV104" s="57">
        <v>0</v>
      </c>
      <c r="BW104" s="57">
        <v>0</v>
      </c>
      <c r="BX104" s="57">
        <v>0</v>
      </c>
      <c r="BY104" s="57">
        <v>0</v>
      </c>
      <c r="BZ104" s="57">
        <v>0</v>
      </c>
      <c r="CA104" s="57">
        <v>0</v>
      </c>
      <c r="CB104" s="57">
        <v>0</v>
      </c>
      <c r="CC104" s="57">
        <v>0</v>
      </c>
      <c r="CD104" s="57">
        <v>0</v>
      </c>
      <c r="CE104" s="57">
        <v>0</v>
      </c>
      <c r="CF104" s="57">
        <v>0</v>
      </c>
      <c r="CG104" s="57">
        <v>0</v>
      </c>
      <c r="CH104" s="57">
        <v>0</v>
      </c>
      <c r="CI104" s="57">
        <v>0</v>
      </c>
      <c r="CJ104" s="57">
        <v>0</v>
      </c>
      <c r="CK104" s="57">
        <v>0</v>
      </c>
      <c r="CL104" s="57">
        <v>0</v>
      </c>
      <c r="CM104" s="57">
        <v>0</v>
      </c>
      <c r="CN104" s="57">
        <v>0</v>
      </c>
      <c r="CO104" s="57">
        <v>0</v>
      </c>
      <c r="CP104" s="57">
        <v>0</v>
      </c>
      <c r="CQ104" s="57">
        <v>0</v>
      </c>
      <c r="CR104" s="57">
        <v>0</v>
      </c>
      <c r="CS104" s="57">
        <v>0</v>
      </c>
      <c r="CT104" s="57">
        <v>0</v>
      </c>
      <c r="CU104" s="57">
        <v>0</v>
      </c>
      <c r="CV104" s="57">
        <v>0</v>
      </c>
      <c r="CW104" s="57">
        <v>0</v>
      </c>
      <c r="CX104" s="57">
        <v>0</v>
      </c>
      <c r="CY104" s="57">
        <v>0</v>
      </c>
      <c r="CZ104" s="57">
        <v>0</v>
      </c>
      <c r="DA104" s="57">
        <v>0</v>
      </c>
      <c r="DB104" s="57">
        <v>0</v>
      </c>
      <c r="DC104" s="57">
        <v>0</v>
      </c>
      <c r="DD104" s="57">
        <v>0</v>
      </c>
      <c r="DE104" s="57">
        <v>0</v>
      </c>
      <c r="DF104" s="57">
        <v>0</v>
      </c>
      <c r="DG104" s="137">
        <v>0</v>
      </c>
      <c r="DH104" s="137">
        <v>0</v>
      </c>
      <c r="DI104" s="137">
        <v>0</v>
      </c>
      <c r="DJ104" s="137">
        <v>0</v>
      </c>
      <c r="DK104" s="137">
        <v>0</v>
      </c>
      <c r="DL104" s="137">
        <v>0</v>
      </c>
      <c r="DM104" s="137">
        <v>0</v>
      </c>
      <c r="DN104" s="137">
        <v>0</v>
      </c>
      <c r="DO104" s="137">
        <v>0</v>
      </c>
      <c r="DP104" s="137">
        <v>0</v>
      </c>
      <c r="DQ104" s="137">
        <v>0</v>
      </c>
      <c r="DR104" s="137">
        <v>0</v>
      </c>
      <c r="DS104" s="137">
        <v>0</v>
      </c>
      <c r="DT104" s="137">
        <v>0</v>
      </c>
      <c r="DU104" s="137">
        <v>0</v>
      </c>
      <c r="DV104" s="137">
        <v>0</v>
      </c>
      <c r="DW104" s="137">
        <v>0</v>
      </c>
      <c r="DX104" s="137">
        <v>0</v>
      </c>
      <c r="DY104" s="137">
        <v>0</v>
      </c>
      <c r="DZ104" s="137">
        <v>0</v>
      </c>
      <c r="EA104" s="137">
        <v>0</v>
      </c>
    </row>
    <row r="105" spans="1:131" x14ac:dyDescent="0.35">
      <c r="A105" s="90" t="e">
        <f>VLOOKUP(E105,'Validation List'!F106:G501,2,FALSE)</f>
        <v>#N/A</v>
      </c>
      <c r="B105" s="90" t="e">
        <f>INDEX('NEW HIRE ROSTER'!$G:$G,MATCH(RAW!F105,'NEW HIRE ROSTER'!$A:$A,0))</f>
        <v>#N/A</v>
      </c>
      <c r="C105" s="90" t="e">
        <f>INDEX('NEW HIRE ROSTER'!$F:$F,MATCH(RAW!F105,'NEW HIRE ROSTER'!$A:$A,0))</f>
        <v>#N/A</v>
      </c>
      <c r="D105" s="90" t="e">
        <f>INDEX('Validation List'!$H:$H,MATCH(RAW!E105,'Validation List'!$F:$F,0))</f>
        <v>#N/A</v>
      </c>
      <c r="G105" s="90" t="e">
        <f>VLOOKUP(F105,ML!C89:D687,2,FALSE)</f>
        <v>#N/A</v>
      </c>
      <c r="H105" s="90" t="e">
        <f>VLOOKUP(F105,ML!C89:E687,3,FALSE)</f>
        <v>#N/A</v>
      </c>
      <c r="M105" s="56"/>
      <c r="N105" s="57">
        <v>0</v>
      </c>
      <c r="O105" s="57">
        <v>0</v>
      </c>
      <c r="P105" s="57">
        <v>0</v>
      </c>
      <c r="Q105" s="57">
        <v>0</v>
      </c>
      <c r="R105" s="57">
        <v>0</v>
      </c>
      <c r="S105" s="57">
        <v>0</v>
      </c>
      <c r="T105" s="57">
        <v>0</v>
      </c>
      <c r="U105" s="57">
        <v>0</v>
      </c>
      <c r="V105" s="57">
        <v>0</v>
      </c>
      <c r="W105" s="57">
        <v>0</v>
      </c>
      <c r="X105" s="57">
        <v>0</v>
      </c>
      <c r="Y105" s="57">
        <v>0</v>
      </c>
      <c r="Z105" s="57">
        <v>0</v>
      </c>
      <c r="AA105" s="57">
        <v>0</v>
      </c>
      <c r="AB105" s="57">
        <v>0</v>
      </c>
      <c r="AC105" s="57">
        <v>0</v>
      </c>
      <c r="AD105" s="57">
        <v>0</v>
      </c>
      <c r="AE105" s="57">
        <v>0</v>
      </c>
      <c r="AF105" s="57">
        <v>0</v>
      </c>
      <c r="AG105" s="57">
        <v>0</v>
      </c>
      <c r="AH105" s="57">
        <v>0</v>
      </c>
      <c r="AI105" s="57">
        <v>0</v>
      </c>
      <c r="AJ105" s="57">
        <v>0</v>
      </c>
      <c r="AK105" s="57">
        <v>0</v>
      </c>
      <c r="AL105" s="57">
        <v>0</v>
      </c>
      <c r="AM105" s="57">
        <v>0</v>
      </c>
      <c r="AN105" s="57">
        <v>0</v>
      </c>
      <c r="AO105" s="57">
        <v>0</v>
      </c>
      <c r="AP105" s="57">
        <v>0</v>
      </c>
      <c r="AQ105" s="57">
        <v>0</v>
      </c>
      <c r="AR105" s="57">
        <v>0</v>
      </c>
      <c r="AS105" s="57">
        <v>0</v>
      </c>
      <c r="AT105" s="57">
        <v>0</v>
      </c>
      <c r="AU105" s="57">
        <v>0</v>
      </c>
      <c r="AV105" s="57">
        <v>0</v>
      </c>
      <c r="AW105" s="57">
        <v>0</v>
      </c>
      <c r="AX105" s="57">
        <v>0</v>
      </c>
      <c r="AY105" s="57">
        <v>0</v>
      </c>
      <c r="AZ105" s="57">
        <v>0</v>
      </c>
      <c r="BA105" s="57">
        <v>0</v>
      </c>
      <c r="BB105" s="57">
        <v>0</v>
      </c>
      <c r="BC105" s="57">
        <v>0</v>
      </c>
      <c r="BD105" s="57">
        <v>0</v>
      </c>
      <c r="BE105" s="57">
        <v>0</v>
      </c>
      <c r="BF105" s="57">
        <v>0</v>
      </c>
      <c r="BG105" s="57">
        <v>0</v>
      </c>
      <c r="BH105" s="57">
        <v>0</v>
      </c>
      <c r="BI105" s="57">
        <v>0</v>
      </c>
      <c r="BJ105" s="57">
        <v>0</v>
      </c>
      <c r="BK105" s="57">
        <v>0</v>
      </c>
      <c r="BL105" s="57">
        <v>0</v>
      </c>
      <c r="BM105" s="57">
        <v>0</v>
      </c>
      <c r="BN105" s="57">
        <v>0</v>
      </c>
      <c r="BO105" s="57">
        <v>0</v>
      </c>
      <c r="BP105" s="57">
        <v>0</v>
      </c>
      <c r="BQ105" s="57">
        <v>0</v>
      </c>
      <c r="BR105" s="57">
        <v>0</v>
      </c>
      <c r="BS105" s="57">
        <v>0</v>
      </c>
      <c r="BT105" s="57">
        <v>0</v>
      </c>
      <c r="BU105" s="57">
        <v>0</v>
      </c>
      <c r="BV105" s="57">
        <v>0</v>
      </c>
      <c r="BW105" s="57">
        <v>0</v>
      </c>
      <c r="BX105" s="57">
        <v>0</v>
      </c>
      <c r="BY105" s="57">
        <v>0</v>
      </c>
      <c r="BZ105" s="57">
        <v>0</v>
      </c>
      <c r="CA105" s="57">
        <v>0</v>
      </c>
      <c r="CB105" s="57">
        <v>0</v>
      </c>
      <c r="CC105" s="57">
        <v>0</v>
      </c>
      <c r="CD105" s="57">
        <v>0</v>
      </c>
      <c r="CE105" s="57">
        <v>0</v>
      </c>
      <c r="CF105" s="57">
        <v>0</v>
      </c>
      <c r="CG105" s="57">
        <v>0</v>
      </c>
      <c r="CH105" s="57">
        <v>0</v>
      </c>
      <c r="CI105" s="57">
        <v>0</v>
      </c>
      <c r="CJ105" s="57">
        <v>0</v>
      </c>
      <c r="CK105" s="57">
        <v>0</v>
      </c>
      <c r="CL105" s="57">
        <v>0</v>
      </c>
      <c r="CM105" s="57">
        <v>0</v>
      </c>
      <c r="CN105" s="57">
        <v>0</v>
      </c>
      <c r="CO105" s="57">
        <v>0</v>
      </c>
      <c r="CP105" s="57">
        <v>0</v>
      </c>
      <c r="CQ105" s="57">
        <v>0</v>
      </c>
      <c r="CR105" s="57">
        <v>0</v>
      </c>
      <c r="CS105" s="57">
        <v>0</v>
      </c>
      <c r="CT105" s="57">
        <v>0</v>
      </c>
      <c r="CU105" s="57">
        <v>0</v>
      </c>
      <c r="CV105" s="57">
        <v>0</v>
      </c>
      <c r="CW105" s="57">
        <v>0</v>
      </c>
      <c r="CX105" s="57">
        <v>0</v>
      </c>
      <c r="CY105" s="57">
        <v>0</v>
      </c>
      <c r="CZ105" s="57">
        <v>0</v>
      </c>
      <c r="DA105" s="57">
        <v>0</v>
      </c>
      <c r="DB105" s="57">
        <v>0</v>
      </c>
      <c r="DC105" s="57">
        <v>0</v>
      </c>
      <c r="DD105" s="57">
        <v>0</v>
      </c>
      <c r="DE105" s="57">
        <v>0</v>
      </c>
      <c r="DF105" s="57">
        <v>0</v>
      </c>
      <c r="DG105" s="137">
        <v>0</v>
      </c>
      <c r="DH105" s="137">
        <v>0</v>
      </c>
      <c r="DI105" s="137">
        <v>0</v>
      </c>
      <c r="DJ105" s="137">
        <v>0</v>
      </c>
      <c r="DK105" s="137">
        <v>0</v>
      </c>
      <c r="DL105" s="137">
        <v>0</v>
      </c>
      <c r="DM105" s="137">
        <v>0</v>
      </c>
      <c r="DN105" s="137">
        <v>0</v>
      </c>
      <c r="DO105" s="137">
        <v>0</v>
      </c>
      <c r="DP105" s="137">
        <v>0</v>
      </c>
      <c r="DQ105" s="137">
        <v>0</v>
      </c>
      <c r="DR105" s="137">
        <v>0</v>
      </c>
      <c r="DS105" s="137">
        <v>0</v>
      </c>
      <c r="DT105" s="137">
        <v>0</v>
      </c>
      <c r="DU105" s="137">
        <v>0</v>
      </c>
      <c r="DV105" s="137">
        <v>0</v>
      </c>
      <c r="DW105" s="137">
        <v>0</v>
      </c>
      <c r="DX105" s="137">
        <v>0</v>
      </c>
      <c r="DY105" s="137">
        <v>0</v>
      </c>
      <c r="DZ105" s="137">
        <v>0</v>
      </c>
      <c r="EA105" s="137">
        <v>0</v>
      </c>
    </row>
    <row r="106" spans="1:131" x14ac:dyDescent="0.35">
      <c r="A106" s="90" t="e">
        <f>VLOOKUP(E106,'Validation List'!F107:G502,2,FALSE)</f>
        <v>#N/A</v>
      </c>
      <c r="B106" s="90" t="e">
        <f>INDEX('NEW HIRE ROSTER'!$G:$G,MATCH(RAW!F106,'NEW HIRE ROSTER'!$A:$A,0))</f>
        <v>#N/A</v>
      </c>
      <c r="C106" s="90" t="e">
        <f>INDEX('NEW HIRE ROSTER'!$F:$F,MATCH(RAW!F106,'NEW HIRE ROSTER'!$A:$A,0))</f>
        <v>#N/A</v>
      </c>
      <c r="D106" s="90" t="e">
        <f>INDEX('Validation List'!$H:$H,MATCH(RAW!E106,'Validation List'!$F:$F,0))</f>
        <v>#N/A</v>
      </c>
      <c r="G106" s="90" t="e">
        <f>VLOOKUP(F106,ML!C90:D688,2,FALSE)</f>
        <v>#N/A</v>
      </c>
      <c r="H106" s="90" t="e">
        <f>VLOOKUP(F106,ML!C90:E688,3,FALSE)</f>
        <v>#N/A</v>
      </c>
      <c r="M106" s="56"/>
      <c r="N106" s="57">
        <v>0</v>
      </c>
      <c r="O106" s="57">
        <v>0</v>
      </c>
      <c r="P106" s="57">
        <v>0</v>
      </c>
      <c r="Q106" s="57">
        <v>0</v>
      </c>
      <c r="R106" s="57">
        <v>0</v>
      </c>
      <c r="S106" s="57">
        <v>0</v>
      </c>
      <c r="T106" s="57">
        <v>0</v>
      </c>
      <c r="U106" s="57">
        <v>0</v>
      </c>
      <c r="V106" s="57">
        <v>0</v>
      </c>
      <c r="W106" s="57">
        <v>0</v>
      </c>
      <c r="X106" s="57">
        <v>0</v>
      </c>
      <c r="Y106" s="57">
        <v>0</v>
      </c>
      <c r="Z106" s="57">
        <v>0</v>
      </c>
      <c r="AA106" s="57">
        <v>0</v>
      </c>
      <c r="AB106" s="57">
        <v>0</v>
      </c>
      <c r="AC106" s="57">
        <v>0</v>
      </c>
      <c r="AD106" s="57">
        <v>0</v>
      </c>
      <c r="AE106" s="57">
        <v>0</v>
      </c>
      <c r="AF106" s="57">
        <v>0</v>
      </c>
      <c r="AG106" s="57">
        <v>0</v>
      </c>
      <c r="AH106" s="57">
        <v>0</v>
      </c>
      <c r="AI106" s="57">
        <v>0</v>
      </c>
      <c r="AJ106" s="57">
        <v>0</v>
      </c>
      <c r="AK106" s="57">
        <v>0</v>
      </c>
      <c r="AL106" s="57">
        <v>0</v>
      </c>
      <c r="AM106" s="57">
        <v>0</v>
      </c>
      <c r="AN106" s="57">
        <v>0</v>
      </c>
      <c r="AO106" s="57">
        <v>0</v>
      </c>
      <c r="AP106" s="57">
        <v>0</v>
      </c>
      <c r="AQ106" s="57">
        <v>0</v>
      </c>
      <c r="AR106" s="57">
        <v>0</v>
      </c>
      <c r="AS106" s="57">
        <v>0</v>
      </c>
      <c r="AT106" s="57">
        <v>0</v>
      </c>
      <c r="AU106" s="57">
        <v>0</v>
      </c>
      <c r="AV106" s="57">
        <v>0</v>
      </c>
      <c r="AW106" s="57">
        <v>0</v>
      </c>
      <c r="AX106" s="57">
        <v>0</v>
      </c>
      <c r="AY106" s="57">
        <v>0</v>
      </c>
      <c r="AZ106" s="57">
        <v>0</v>
      </c>
      <c r="BA106" s="57">
        <v>0</v>
      </c>
      <c r="BB106" s="57">
        <v>0</v>
      </c>
      <c r="BC106" s="57">
        <v>0</v>
      </c>
      <c r="BD106" s="57">
        <v>0</v>
      </c>
      <c r="BE106" s="57">
        <v>0</v>
      </c>
      <c r="BF106" s="57">
        <v>0</v>
      </c>
      <c r="BG106" s="57">
        <v>0</v>
      </c>
      <c r="BH106" s="57">
        <v>0</v>
      </c>
      <c r="BI106" s="57">
        <v>0</v>
      </c>
      <c r="BJ106" s="57">
        <v>0</v>
      </c>
      <c r="BK106" s="57">
        <v>0</v>
      </c>
      <c r="BL106" s="57">
        <v>0</v>
      </c>
      <c r="BM106" s="57">
        <v>0</v>
      </c>
      <c r="BN106" s="57">
        <v>0</v>
      </c>
      <c r="BO106" s="57">
        <v>0</v>
      </c>
      <c r="BP106" s="57">
        <v>0</v>
      </c>
      <c r="BQ106" s="57">
        <v>0</v>
      </c>
      <c r="BR106" s="57">
        <v>0</v>
      </c>
      <c r="BS106" s="57">
        <v>0</v>
      </c>
      <c r="BT106" s="57">
        <v>0</v>
      </c>
      <c r="BU106" s="57">
        <v>0</v>
      </c>
      <c r="BV106" s="57">
        <v>0</v>
      </c>
      <c r="BW106" s="57">
        <v>0</v>
      </c>
      <c r="BX106" s="57">
        <v>0</v>
      </c>
      <c r="BY106" s="57">
        <v>0</v>
      </c>
      <c r="BZ106" s="57">
        <v>0</v>
      </c>
      <c r="CA106" s="57">
        <v>0</v>
      </c>
      <c r="CB106" s="57">
        <v>0</v>
      </c>
      <c r="CC106" s="57">
        <v>0</v>
      </c>
      <c r="CD106" s="57">
        <v>0</v>
      </c>
      <c r="CE106" s="57">
        <v>0</v>
      </c>
      <c r="CF106" s="57">
        <v>0</v>
      </c>
      <c r="CG106" s="57">
        <v>0</v>
      </c>
      <c r="CH106" s="57">
        <v>0</v>
      </c>
      <c r="CI106" s="57">
        <v>0</v>
      </c>
      <c r="CJ106" s="57">
        <v>0</v>
      </c>
      <c r="CK106" s="57">
        <v>0</v>
      </c>
      <c r="CL106" s="57">
        <v>0</v>
      </c>
      <c r="CM106" s="57">
        <v>0</v>
      </c>
      <c r="CN106" s="57">
        <v>0</v>
      </c>
      <c r="CO106" s="57">
        <v>0</v>
      </c>
      <c r="CP106" s="57">
        <v>0</v>
      </c>
      <c r="CQ106" s="57">
        <v>0</v>
      </c>
      <c r="CR106" s="57">
        <v>0</v>
      </c>
      <c r="CS106" s="57">
        <v>0</v>
      </c>
      <c r="CT106" s="57">
        <v>0</v>
      </c>
      <c r="CU106" s="57">
        <v>0</v>
      </c>
      <c r="CV106" s="57">
        <v>0</v>
      </c>
      <c r="CW106" s="57">
        <v>0</v>
      </c>
      <c r="CX106" s="57">
        <v>0</v>
      </c>
      <c r="CY106" s="57">
        <v>0</v>
      </c>
      <c r="CZ106" s="57">
        <v>0</v>
      </c>
      <c r="DA106" s="57">
        <v>0</v>
      </c>
      <c r="DB106" s="57">
        <v>0</v>
      </c>
      <c r="DC106" s="57">
        <v>0</v>
      </c>
      <c r="DD106" s="57">
        <v>0</v>
      </c>
      <c r="DE106" s="57">
        <v>0</v>
      </c>
      <c r="DF106" s="57">
        <v>0</v>
      </c>
      <c r="DG106" s="137">
        <v>0</v>
      </c>
      <c r="DH106" s="137">
        <v>0</v>
      </c>
      <c r="DI106" s="137">
        <v>0</v>
      </c>
      <c r="DJ106" s="137">
        <v>0</v>
      </c>
      <c r="DK106" s="137">
        <v>0</v>
      </c>
      <c r="DL106" s="137">
        <v>0</v>
      </c>
      <c r="DM106" s="137">
        <v>0</v>
      </c>
      <c r="DN106" s="137">
        <v>0</v>
      </c>
      <c r="DO106" s="137">
        <v>0</v>
      </c>
      <c r="DP106" s="137">
        <v>0</v>
      </c>
      <c r="DQ106" s="137">
        <v>0</v>
      </c>
      <c r="DR106" s="137">
        <v>0</v>
      </c>
      <c r="DS106" s="137">
        <v>0</v>
      </c>
      <c r="DT106" s="137">
        <v>0</v>
      </c>
      <c r="DU106" s="137">
        <v>0</v>
      </c>
      <c r="DV106" s="137">
        <v>0</v>
      </c>
      <c r="DW106" s="137">
        <v>0</v>
      </c>
      <c r="DX106" s="137">
        <v>0</v>
      </c>
      <c r="DY106" s="137">
        <v>0</v>
      </c>
      <c r="DZ106" s="137">
        <v>0</v>
      </c>
      <c r="EA106" s="137">
        <v>0</v>
      </c>
    </row>
    <row r="107" spans="1:131" x14ac:dyDescent="0.35">
      <c r="A107" s="90" t="e">
        <f>VLOOKUP(E107,'Validation List'!F108:G503,2,FALSE)</f>
        <v>#N/A</v>
      </c>
      <c r="B107" s="90" t="e">
        <f>INDEX('NEW HIRE ROSTER'!$G:$G,MATCH(RAW!F107,'NEW HIRE ROSTER'!$A:$A,0))</f>
        <v>#N/A</v>
      </c>
      <c r="C107" s="90" t="e">
        <f>INDEX('NEW HIRE ROSTER'!$F:$F,MATCH(RAW!F107,'NEW HIRE ROSTER'!$A:$A,0))</f>
        <v>#N/A</v>
      </c>
      <c r="D107" s="90" t="e">
        <f>INDEX('Validation List'!$H:$H,MATCH(RAW!E107,'Validation List'!$F:$F,0))</f>
        <v>#N/A</v>
      </c>
      <c r="G107" s="90" t="e">
        <f>VLOOKUP(F107,ML!C91:D689,2,FALSE)</f>
        <v>#N/A</v>
      </c>
      <c r="H107" s="90" t="e">
        <f>VLOOKUP(F107,ML!C91:E689,3,FALSE)</f>
        <v>#N/A</v>
      </c>
      <c r="M107" s="56"/>
      <c r="N107" s="57">
        <v>0</v>
      </c>
      <c r="O107" s="57">
        <v>0</v>
      </c>
      <c r="P107" s="57">
        <v>0</v>
      </c>
      <c r="Q107" s="57">
        <v>0</v>
      </c>
      <c r="R107" s="57">
        <v>0</v>
      </c>
      <c r="S107" s="57">
        <v>0</v>
      </c>
      <c r="T107" s="57">
        <v>0</v>
      </c>
      <c r="U107" s="57">
        <v>0</v>
      </c>
      <c r="V107" s="57">
        <v>0</v>
      </c>
      <c r="W107" s="57">
        <v>0</v>
      </c>
      <c r="X107" s="57">
        <v>0</v>
      </c>
      <c r="Y107" s="57">
        <v>0</v>
      </c>
      <c r="Z107" s="57">
        <v>0</v>
      </c>
      <c r="AA107" s="57">
        <v>0</v>
      </c>
      <c r="AB107" s="57">
        <v>0</v>
      </c>
      <c r="AC107" s="57">
        <v>0</v>
      </c>
      <c r="AD107" s="57">
        <v>0</v>
      </c>
      <c r="AE107" s="57">
        <v>0</v>
      </c>
      <c r="AF107" s="57">
        <v>0</v>
      </c>
      <c r="AG107" s="57">
        <v>0</v>
      </c>
      <c r="AH107" s="57">
        <v>0</v>
      </c>
      <c r="AI107" s="57">
        <v>0</v>
      </c>
      <c r="AJ107" s="57">
        <v>0</v>
      </c>
      <c r="AK107" s="57">
        <v>0</v>
      </c>
      <c r="AL107" s="57">
        <v>0</v>
      </c>
      <c r="AM107" s="57">
        <v>0</v>
      </c>
      <c r="AN107" s="57">
        <v>0</v>
      </c>
      <c r="AO107" s="57">
        <v>0</v>
      </c>
      <c r="AP107" s="57">
        <v>0</v>
      </c>
      <c r="AQ107" s="57">
        <v>0</v>
      </c>
      <c r="AR107" s="57">
        <v>0</v>
      </c>
      <c r="AS107" s="57">
        <v>0</v>
      </c>
      <c r="AT107" s="57">
        <v>0</v>
      </c>
      <c r="AU107" s="57">
        <v>0</v>
      </c>
      <c r="AV107" s="57">
        <v>0</v>
      </c>
      <c r="AW107" s="57">
        <v>0</v>
      </c>
      <c r="AX107" s="57">
        <v>0</v>
      </c>
      <c r="AY107" s="57">
        <v>0</v>
      </c>
      <c r="AZ107" s="57">
        <v>0</v>
      </c>
      <c r="BA107" s="57">
        <v>0</v>
      </c>
      <c r="BB107" s="57">
        <v>0</v>
      </c>
      <c r="BC107" s="57">
        <v>0</v>
      </c>
      <c r="BD107" s="57">
        <v>0</v>
      </c>
      <c r="BE107" s="57">
        <v>0</v>
      </c>
      <c r="BF107" s="57">
        <v>0</v>
      </c>
      <c r="BG107" s="57">
        <v>0</v>
      </c>
      <c r="BH107" s="57">
        <v>0</v>
      </c>
      <c r="BI107" s="57">
        <v>0</v>
      </c>
      <c r="BJ107" s="57">
        <v>0</v>
      </c>
      <c r="BK107" s="57">
        <v>0</v>
      </c>
      <c r="BL107" s="57">
        <v>0</v>
      </c>
      <c r="BM107" s="57">
        <v>0</v>
      </c>
      <c r="BN107" s="57">
        <v>0</v>
      </c>
      <c r="BO107" s="57">
        <v>0</v>
      </c>
      <c r="BP107" s="57">
        <v>0</v>
      </c>
      <c r="BQ107" s="57">
        <v>0</v>
      </c>
      <c r="BR107" s="57">
        <v>0</v>
      </c>
      <c r="BS107" s="57">
        <v>0</v>
      </c>
      <c r="BT107" s="57">
        <v>0</v>
      </c>
      <c r="BU107" s="57">
        <v>0</v>
      </c>
      <c r="BV107" s="57">
        <v>0</v>
      </c>
      <c r="BW107" s="57">
        <v>0</v>
      </c>
      <c r="BX107" s="57">
        <v>0</v>
      </c>
      <c r="BY107" s="57">
        <v>0</v>
      </c>
      <c r="BZ107" s="57">
        <v>0</v>
      </c>
      <c r="CA107" s="57">
        <v>0</v>
      </c>
      <c r="CB107" s="57">
        <v>0</v>
      </c>
      <c r="CC107" s="57">
        <v>0</v>
      </c>
      <c r="CD107" s="57">
        <v>0</v>
      </c>
      <c r="CE107" s="57">
        <v>0</v>
      </c>
      <c r="CF107" s="57">
        <v>0</v>
      </c>
      <c r="CG107" s="57">
        <v>0</v>
      </c>
      <c r="CH107" s="57">
        <v>0</v>
      </c>
      <c r="CI107" s="57">
        <v>0</v>
      </c>
      <c r="CJ107" s="57">
        <v>0</v>
      </c>
      <c r="CK107" s="57">
        <v>0</v>
      </c>
      <c r="CL107" s="57">
        <v>0</v>
      </c>
      <c r="CM107" s="57">
        <v>0</v>
      </c>
      <c r="CN107" s="57">
        <v>0</v>
      </c>
      <c r="CO107" s="57">
        <v>0</v>
      </c>
      <c r="CP107" s="57">
        <v>0</v>
      </c>
      <c r="CQ107" s="57">
        <v>0</v>
      </c>
      <c r="CR107" s="57">
        <v>0</v>
      </c>
      <c r="CS107" s="57">
        <v>0</v>
      </c>
      <c r="CT107" s="57">
        <v>0</v>
      </c>
      <c r="CU107" s="57">
        <v>0</v>
      </c>
      <c r="CV107" s="57">
        <v>0</v>
      </c>
      <c r="CW107" s="57">
        <v>0</v>
      </c>
      <c r="CX107" s="57">
        <v>0</v>
      </c>
      <c r="CY107" s="57">
        <v>0</v>
      </c>
      <c r="CZ107" s="57">
        <v>0</v>
      </c>
      <c r="DA107" s="57">
        <v>0</v>
      </c>
      <c r="DB107" s="57">
        <v>0</v>
      </c>
      <c r="DC107" s="57">
        <v>0</v>
      </c>
      <c r="DD107" s="57">
        <v>0</v>
      </c>
      <c r="DE107" s="57">
        <v>0</v>
      </c>
      <c r="DF107" s="57">
        <v>0</v>
      </c>
      <c r="DG107" s="137">
        <v>0</v>
      </c>
      <c r="DH107" s="137">
        <v>0</v>
      </c>
      <c r="DI107" s="137">
        <v>0</v>
      </c>
      <c r="DJ107" s="137">
        <v>0</v>
      </c>
      <c r="DK107" s="137">
        <v>0</v>
      </c>
      <c r="DL107" s="137">
        <v>0</v>
      </c>
      <c r="DM107" s="137">
        <v>0</v>
      </c>
      <c r="DN107" s="137">
        <v>0</v>
      </c>
      <c r="DO107" s="137">
        <v>0</v>
      </c>
      <c r="DP107" s="137">
        <v>0</v>
      </c>
      <c r="DQ107" s="137">
        <v>0</v>
      </c>
      <c r="DR107" s="137">
        <v>0</v>
      </c>
      <c r="DS107" s="137">
        <v>0</v>
      </c>
      <c r="DT107" s="137">
        <v>0</v>
      </c>
      <c r="DU107" s="137">
        <v>0</v>
      </c>
      <c r="DV107" s="137">
        <v>0</v>
      </c>
      <c r="DW107" s="137">
        <v>0</v>
      </c>
      <c r="DX107" s="137">
        <v>0</v>
      </c>
      <c r="DY107" s="137">
        <v>0</v>
      </c>
      <c r="DZ107" s="137">
        <v>0</v>
      </c>
      <c r="EA107" s="137">
        <v>0</v>
      </c>
    </row>
    <row r="108" spans="1:131" x14ac:dyDescent="0.35">
      <c r="A108" s="90" t="e">
        <f>VLOOKUP(E108,'Validation List'!F109:G504,2,FALSE)</f>
        <v>#N/A</v>
      </c>
      <c r="B108" s="90" t="e">
        <f>INDEX('NEW HIRE ROSTER'!$G:$G,MATCH(RAW!F108,'NEW HIRE ROSTER'!$A:$A,0))</f>
        <v>#N/A</v>
      </c>
      <c r="C108" s="90" t="e">
        <f>INDEX('NEW HIRE ROSTER'!$F:$F,MATCH(RAW!F108,'NEW HIRE ROSTER'!$A:$A,0))</f>
        <v>#N/A</v>
      </c>
      <c r="D108" s="90" t="e">
        <f>INDEX('Validation List'!$H:$H,MATCH(RAW!E108,'Validation List'!$F:$F,0))</f>
        <v>#N/A</v>
      </c>
      <c r="G108" s="90" t="e">
        <f>VLOOKUP(F108,ML!C92:D690,2,FALSE)</f>
        <v>#N/A</v>
      </c>
      <c r="H108" s="90" t="e">
        <f>VLOOKUP(F108,ML!C92:E690,3,FALSE)</f>
        <v>#N/A</v>
      </c>
      <c r="M108" s="56"/>
      <c r="N108" s="57">
        <v>0</v>
      </c>
      <c r="O108" s="57">
        <v>0</v>
      </c>
      <c r="P108" s="57">
        <v>0</v>
      </c>
      <c r="Q108" s="57">
        <v>0</v>
      </c>
      <c r="R108" s="57">
        <v>0</v>
      </c>
      <c r="S108" s="57">
        <v>0</v>
      </c>
      <c r="T108" s="57">
        <v>0</v>
      </c>
      <c r="U108" s="57">
        <v>0</v>
      </c>
      <c r="V108" s="57">
        <v>0</v>
      </c>
      <c r="W108" s="57">
        <v>0</v>
      </c>
      <c r="X108" s="57">
        <v>0</v>
      </c>
      <c r="Y108" s="57">
        <v>0</v>
      </c>
      <c r="Z108" s="57">
        <v>0</v>
      </c>
      <c r="AA108" s="57">
        <v>0</v>
      </c>
      <c r="AB108" s="57">
        <v>0</v>
      </c>
      <c r="AC108" s="57">
        <v>0</v>
      </c>
      <c r="AD108" s="57">
        <v>0</v>
      </c>
      <c r="AE108" s="57">
        <v>0</v>
      </c>
      <c r="AF108" s="57">
        <v>0</v>
      </c>
      <c r="AG108" s="57">
        <v>0</v>
      </c>
      <c r="AH108" s="57">
        <v>0</v>
      </c>
      <c r="AI108" s="57">
        <v>0</v>
      </c>
      <c r="AJ108" s="57">
        <v>0</v>
      </c>
      <c r="AK108" s="57">
        <v>0</v>
      </c>
      <c r="AL108" s="57">
        <v>0</v>
      </c>
      <c r="AM108" s="57">
        <v>0</v>
      </c>
      <c r="AN108" s="57">
        <v>0</v>
      </c>
      <c r="AO108" s="57">
        <v>0</v>
      </c>
      <c r="AP108" s="57">
        <v>0</v>
      </c>
      <c r="AQ108" s="57">
        <v>0</v>
      </c>
      <c r="AR108" s="57">
        <v>0</v>
      </c>
      <c r="AS108" s="57">
        <v>0</v>
      </c>
      <c r="AT108" s="57">
        <v>0</v>
      </c>
      <c r="AU108" s="57">
        <v>0</v>
      </c>
      <c r="AV108" s="57">
        <v>0</v>
      </c>
      <c r="AW108" s="57">
        <v>0</v>
      </c>
      <c r="AX108" s="57">
        <v>0</v>
      </c>
      <c r="AY108" s="57">
        <v>0</v>
      </c>
      <c r="AZ108" s="57">
        <v>0</v>
      </c>
      <c r="BA108" s="57">
        <v>0</v>
      </c>
      <c r="BB108" s="57">
        <v>0</v>
      </c>
      <c r="BC108" s="57">
        <v>0</v>
      </c>
      <c r="BD108" s="57">
        <v>0</v>
      </c>
      <c r="BE108" s="57">
        <v>0</v>
      </c>
      <c r="BF108" s="57">
        <v>0</v>
      </c>
      <c r="BG108" s="57">
        <v>0</v>
      </c>
      <c r="BH108" s="57">
        <v>0</v>
      </c>
      <c r="BI108" s="57">
        <v>0</v>
      </c>
      <c r="BJ108" s="57">
        <v>0</v>
      </c>
      <c r="BK108" s="57">
        <v>0</v>
      </c>
      <c r="BL108" s="57">
        <v>0</v>
      </c>
      <c r="BM108" s="57">
        <v>0</v>
      </c>
      <c r="BN108" s="57">
        <v>0</v>
      </c>
      <c r="BO108" s="57">
        <v>0</v>
      </c>
      <c r="BP108" s="57">
        <v>0</v>
      </c>
      <c r="BQ108" s="57">
        <v>0</v>
      </c>
      <c r="BR108" s="57">
        <v>0</v>
      </c>
      <c r="BS108" s="57">
        <v>0</v>
      </c>
      <c r="BT108" s="57">
        <v>0</v>
      </c>
      <c r="BU108" s="57">
        <v>0</v>
      </c>
      <c r="BV108" s="57">
        <v>0</v>
      </c>
      <c r="BW108" s="57">
        <v>0</v>
      </c>
      <c r="BX108" s="57">
        <v>0</v>
      </c>
      <c r="BY108" s="57">
        <v>0</v>
      </c>
      <c r="BZ108" s="57">
        <v>0</v>
      </c>
      <c r="CA108" s="57">
        <v>0</v>
      </c>
      <c r="CB108" s="57">
        <v>0</v>
      </c>
      <c r="CC108" s="57">
        <v>0</v>
      </c>
      <c r="CD108" s="57">
        <v>0</v>
      </c>
      <c r="CE108" s="57">
        <v>0</v>
      </c>
      <c r="CF108" s="57">
        <v>0</v>
      </c>
      <c r="CG108" s="57">
        <v>0</v>
      </c>
      <c r="CH108" s="57">
        <v>0</v>
      </c>
      <c r="CI108" s="57">
        <v>0</v>
      </c>
      <c r="CJ108" s="57">
        <v>0</v>
      </c>
      <c r="CK108" s="57">
        <v>0</v>
      </c>
      <c r="CL108" s="57">
        <v>0</v>
      </c>
      <c r="CM108" s="57">
        <v>0</v>
      </c>
      <c r="CN108" s="57">
        <v>0</v>
      </c>
      <c r="CO108" s="57">
        <v>0</v>
      </c>
      <c r="CP108" s="57">
        <v>0</v>
      </c>
      <c r="CQ108" s="57">
        <v>0</v>
      </c>
      <c r="CR108" s="57">
        <v>0</v>
      </c>
      <c r="CS108" s="57">
        <v>0</v>
      </c>
      <c r="CT108" s="57">
        <v>0</v>
      </c>
      <c r="CU108" s="57">
        <v>0</v>
      </c>
      <c r="CV108" s="57">
        <v>0</v>
      </c>
      <c r="CW108" s="57">
        <v>0</v>
      </c>
      <c r="CX108" s="57">
        <v>0</v>
      </c>
      <c r="CY108" s="57">
        <v>0</v>
      </c>
      <c r="CZ108" s="57">
        <v>0</v>
      </c>
      <c r="DA108" s="57">
        <v>0</v>
      </c>
      <c r="DB108" s="57">
        <v>0</v>
      </c>
      <c r="DC108" s="57">
        <v>0</v>
      </c>
      <c r="DD108" s="57">
        <v>0</v>
      </c>
      <c r="DE108" s="57">
        <v>0</v>
      </c>
      <c r="DF108" s="57">
        <v>0</v>
      </c>
      <c r="DG108" s="137">
        <v>0</v>
      </c>
      <c r="DH108" s="137">
        <v>0</v>
      </c>
      <c r="DI108" s="137">
        <v>0</v>
      </c>
      <c r="DJ108" s="137">
        <v>0</v>
      </c>
      <c r="DK108" s="137">
        <v>0</v>
      </c>
      <c r="DL108" s="137">
        <v>0</v>
      </c>
      <c r="DM108" s="137">
        <v>0</v>
      </c>
      <c r="DN108" s="137">
        <v>0</v>
      </c>
      <c r="DO108" s="137">
        <v>0</v>
      </c>
      <c r="DP108" s="137">
        <v>0</v>
      </c>
      <c r="DQ108" s="137">
        <v>0</v>
      </c>
      <c r="DR108" s="137">
        <v>0</v>
      </c>
      <c r="DS108" s="137">
        <v>0</v>
      </c>
      <c r="DT108" s="137">
        <v>0</v>
      </c>
      <c r="DU108" s="137">
        <v>0</v>
      </c>
      <c r="DV108" s="137">
        <v>0</v>
      </c>
      <c r="DW108" s="137">
        <v>0</v>
      </c>
      <c r="DX108" s="137">
        <v>0</v>
      </c>
      <c r="DY108" s="137">
        <v>0</v>
      </c>
      <c r="DZ108" s="137">
        <v>0</v>
      </c>
      <c r="EA108" s="137">
        <v>0</v>
      </c>
    </row>
    <row r="109" spans="1:131" x14ac:dyDescent="0.35">
      <c r="A109" s="90" t="e">
        <f>VLOOKUP(E109,'Validation List'!F110:G505,2,FALSE)</f>
        <v>#N/A</v>
      </c>
      <c r="B109" s="90" t="e">
        <f>INDEX('NEW HIRE ROSTER'!$G:$G,MATCH(RAW!F109,'NEW HIRE ROSTER'!$A:$A,0))</f>
        <v>#N/A</v>
      </c>
      <c r="C109" s="90" t="e">
        <f>INDEX('NEW HIRE ROSTER'!$F:$F,MATCH(RAW!F109,'NEW HIRE ROSTER'!$A:$A,0))</f>
        <v>#N/A</v>
      </c>
      <c r="D109" s="90" t="e">
        <f>INDEX('Validation List'!$H:$H,MATCH(RAW!E109,'Validation List'!$F:$F,0))</f>
        <v>#N/A</v>
      </c>
      <c r="G109" s="90" t="e">
        <f>VLOOKUP(F109,ML!C93:D691,2,FALSE)</f>
        <v>#N/A</v>
      </c>
      <c r="H109" s="90" t="e">
        <f>VLOOKUP(F109,ML!C93:E691,3,FALSE)</f>
        <v>#N/A</v>
      </c>
      <c r="M109" s="56"/>
      <c r="N109" s="57">
        <v>0</v>
      </c>
      <c r="O109" s="57">
        <v>0</v>
      </c>
      <c r="P109" s="57">
        <v>0</v>
      </c>
      <c r="Q109" s="57">
        <v>0</v>
      </c>
      <c r="R109" s="57">
        <v>0</v>
      </c>
      <c r="S109" s="57">
        <v>0</v>
      </c>
      <c r="T109" s="57">
        <v>0</v>
      </c>
      <c r="U109" s="57">
        <v>0</v>
      </c>
      <c r="V109" s="57">
        <v>0</v>
      </c>
      <c r="W109" s="57">
        <v>0</v>
      </c>
      <c r="X109" s="57">
        <v>0</v>
      </c>
      <c r="Y109" s="57">
        <v>0</v>
      </c>
      <c r="Z109" s="57">
        <v>0</v>
      </c>
      <c r="AA109" s="57">
        <v>0</v>
      </c>
      <c r="AB109" s="57">
        <v>0</v>
      </c>
      <c r="AC109" s="57">
        <v>0</v>
      </c>
      <c r="AD109" s="57">
        <v>0</v>
      </c>
      <c r="AE109" s="57">
        <v>0</v>
      </c>
      <c r="AF109" s="57">
        <v>0</v>
      </c>
      <c r="AG109" s="57">
        <v>0</v>
      </c>
      <c r="AH109" s="57">
        <v>0</v>
      </c>
      <c r="AI109" s="57">
        <v>0</v>
      </c>
      <c r="AJ109" s="57">
        <v>0</v>
      </c>
      <c r="AK109" s="57">
        <v>0</v>
      </c>
      <c r="AL109" s="57">
        <v>0</v>
      </c>
      <c r="AM109" s="57">
        <v>0</v>
      </c>
      <c r="AN109" s="57">
        <v>0</v>
      </c>
      <c r="AO109" s="57">
        <v>0</v>
      </c>
      <c r="AP109" s="57">
        <v>0</v>
      </c>
      <c r="AQ109" s="57">
        <v>0</v>
      </c>
      <c r="AR109" s="57">
        <v>0</v>
      </c>
      <c r="AS109" s="57">
        <v>0</v>
      </c>
      <c r="AT109" s="57">
        <v>0</v>
      </c>
      <c r="AU109" s="57">
        <v>0</v>
      </c>
      <c r="AV109" s="57">
        <v>0</v>
      </c>
      <c r="AW109" s="57">
        <v>0</v>
      </c>
      <c r="AX109" s="57">
        <v>0</v>
      </c>
      <c r="AY109" s="57">
        <v>0</v>
      </c>
      <c r="AZ109" s="57">
        <v>0</v>
      </c>
      <c r="BA109" s="57">
        <v>0</v>
      </c>
      <c r="BB109" s="57">
        <v>0</v>
      </c>
      <c r="BC109" s="57">
        <v>0</v>
      </c>
      <c r="BD109" s="57">
        <v>0</v>
      </c>
      <c r="BE109" s="57">
        <v>0</v>
      </c>
      <c r="BF109" s="57">
        <v>0</v>
      </c>
      <c r="BG109" s="57">
        <v>0</v>
      </c>
      <c r="BH109" s="57">
        <v>0</v>
      </c>
      <c r="BI109" s="57">
        <v>0</v>
      </c>
      <c r="BJ109" s="57">
        <v>0</v>
      </c>
      <c r="BK109" s="57">
        <v>0</v>
      </c>
      <c r="BL109" s="57">
        <v>0</v>
      </c>
      <c r="BM109" s="57">
        <v>0</v>
      </c>
      <c r="BN109" s="57">
        <v>0</v>
      </c>
      <c r="BO109" s="57">
        <v>0</v>
      </c>
      <c r="BP109" s="57">
        <v>0</v>
      </c>
      <c r="BQ109" s="57">
        <v>0</v>
      </c>
      <c r="BR109" s="57">
        <v>0</v>
      </c>
      <c r="BS109" s="57">
        <v>0</v>
      </c>
      <c r="BT109" s="57">
        <v>0</v>
      </c>
      <c r="BU109" s="57">
        <v>0</v>
      </c>
      <c r="BV109" s="57">
        <v>0</v>
      </c>
      <c r="BW109" s="57">
        <v>0</v>
      </c>
      <c r="BX109" s="57">
        <v>0</v>
      </c>
      <c r="BY109" s="57">
        <v>0</v>
      </c>
      <c r="BZ109" s="57">
        <v>0</v>
      </c>
      <c r="CA109" s="57">
        <v>0</v>
      </c>
      <c r="CB109" s="57">
        <v>0</v>
      </c>
      <c r="CC109" s="57">
        <v>0</v>
      </c>
      <c r="CD109" s="57">
        <v>0</v>
      </c>
      <c r="CE109" s="57">
        <v>0</v>
      </c>
      <c r="CF109" s="57">
        <v>0</v>
      </c>
      <c r="CG109" s="57">
        <v>0</v>
      </c>
      <c r="CH109" s="57">
        <v>0</v>
      </c>
      <c r="CI109" s="57">
        <v>0</v>
      </c>
      <c r="CJ109" s="57">
        <v>0</v>
      </c>
      <c r="CK109" s="57">
        <v>0</v>
      </c>
      <c r="CL109" s="57">
        <v>0</v>
      </c>
      <c r="CM109" s="57">
        <v>0</v>
      </c>
      <c r="CN109" s="57">
        <v>0</v>
      </c>
      <c r="CO109" s="57">
        <v>0</v>
      </c>
      <c r="CP109" s="57">
        <v>0</v>
      </c>
      <c r="CQ109" s="57">
        <v>0</v>
      </c>
      <c r="CR109" s="57">
        <v>0</v>
      </c>
      <c r="CS109" s="57">
        <v>0</v>
      </c>
      <c r="CT109" s="57">
        <v>0</v>
      </c>
      <c r="CU109" s="57">
        <v>0</v>
      </c>
      <c r="CV109" s="57">
        <v>0</v>
      </c>
      <c r="CW109" s="57">
        <v>0</v>
      </c>
      <c r="CX109" s="57">
        <v>0</v>
      </c>
      <c r="CY109" s="57">
        <v>0</v>
      </c>
      <c r="CZ109" s="57">
        <v>0</v>
      </c>
      <c r="DA109" s="57">
        <v>0</v>
      </c>
      <c r="DB109" s="57">
        <v>0</v>
      </c>
      <c r="DC109" s="57">
        <v>0</v>
      </c>
      <c r="DD109" s="57">
        <v>0</v>
      </c>
      <c r="DE109" s="57">
        <v>0</v>
      </c>
      <c r="DF109" s="57">
        <v>0</v>
      </c>
      <c r="DG109" s="137">
        <v>0</v>
      </c>
      <c r="DH109" s="137">
        <v>0</v>
      </c>
      <c r="DI109" s="137">
        <v>0</v>
      </c>
      <c r="DJ109" s="137">
        <v>0</v>
      </c>
      <c r="DK109" s="137">
        <v>0</v>
      </c>
      <c r="DL109" s="137">
        <v>0</v>
      </c>
      <c r="DM109" s="137">
        <v>0</v>
      </c>
      <c r="DN109" s="137">
        <v>0</v>
      </c>
      <c r="DO109" s="137">
        <v>0</v>
      </c>
      <c r="DP109" s="137">
        <v>0</v>
      </c>
      <c r="DQ109" s="137">
        <v>0</v>
      </c>
      <c r="DR109" s="137">
        <v>0</v>
      </c>
      <c r="DS109" s="137">
        <v>0</v>
      </c>
      <c r="DT109" s="137">
        <v>0</v>
      </c>
      <c r="DU109" s="137">
        <v>0</v>
      </c>
      <c r="DV109" s="137">
        <v>0</v>
      </c>
      <c r="DW109" s="137">
        <v>0</v>
      </c>
      <c r="DX109" s="137">
        <v>0</v>
      </c>
      <c r="DY109" s="137">
        <v>0</v>
      </c>
      <c r="DZ109" s="137">
        <v>0</v>
      </c>
      <c r="EA109" s="137">
        <v>0</v>
      </c>
    </row>
    <row r="110" spans="1:131" x14ac:dyDescent="0.35">
      <c r="A110" s="90" t="e">
        <f>VLOOKUP(E110,'Validation List'!F111:G506,2,FALSE)</f>
        <v>#N/A</v>
      </c>
      <c r="B110" s="90" t="e">
        <f>INDEX('NEW HIRE ROSTER'!$G:$G,MATCH(RAW!F110,'NEW HIRE ROSTER'!$A:$A,0))</f>
        <v>#N/A</v>
      </c>
      <c r="C110" s="90" t="e">
        <f>INDEX('NEW HIRE ROSTER'!$F:$F,MATCH(RAW!F110,'NEW HIRE ROSTER'!$A:$A,0))</f>
        <v>#N/A</v>
      </c>
      <c r="D110" s="90" t="e">
        <f>INDEX('Validation List'!$H:$H,MATCH(RAW!E110,'Validation List'!$F:$F,0))</f>
        <v>#N/A</v>
      </c>
      <c r="G110" s="90" t="e">
        <f>VLOOKUP(F110,ML!C94:D692,2,FALSE)</f>
        <v>#N/A</v>
      </c>
      <c r="H110" s="90" t="e">
        <f>VLOOKUP(F110,ML!C94:E692,3,FALSE)</f>
        <v>#N/A</v>
      </c>
      <c r="M110" s="56"/>
      <c r="N110" s="57">
        <v>0</v>
      </c>
      <c r="O110" s="57">
        <v>0</v>
      </c>
      <c r="P110" s="57">
        <v>0</v>
      </c>
      <c r="Q110" s="57">
        <v>0</v>
      </c>
      <c r="R110" s="57">
        <v>0</v>
      </c>
      <c r="S110" s="57">
        <v>0</v>
      </c>
      <c r="T110" s="57">
        <v>0</v>
      </c>
      <c r="U110" s="57">
        <v>0</v>
      </c>
      <c r="V110" s="57">
        <v>0</v>
      </c>
      <c r="W110" s="57">
        <v>0</v>
      </c>
      <c r="X110" s="57">
        <v>0</v>
      </c>
      <c r="Y110" s="57">
        <v>0</v>
      </c>
      <c r="Z110" s="57">
        <v>0</v>
      </c>
      <c r="AA110" s="57">
        <v>0</v>
      </c>
      <c r="AB110" s="57">
        <v>0</v>
      </c>
      <c r="AC110" s="57">
        <v>0</v>
      </c>
      <c r="AD110" s="57">
        <v>0</v>
      </c>
      <c r="AE110" s="57">
        <v>0</v>
      </c>
      <c r="AF110" s="57">
        <v>0</v>
      </c>
      <c r="AG110" s="57">
        <v>0</v>
      </c>
      <c r="AH110" s="57">
        <v>0</v>
      </c>
      <c r="AI110" s="57">
        <v>0</v>
      </c>
      <c r="AJ110" s="57">
        <v>0</v>
      </c>
      <c r="AK110" s="57">
        <v>0</v>
      </c>
      <c r="AL110" s="57">
        <v>0</v>
      </c>
      <c r="AM110" s="57">
        <v>0</v>
      </c>
      <c r="AN110" s="57">
        <v>0</v>
      </c>
      <c r="AO110" s="57">
        <v>0</v>
      </c>
      <c r="AP110" s="57">
        <v>0</v>
      </c>
      <c r="AQ110" s="57">
        <v>0</v>
      </c>
      <c r="AR110" s="57">
        <v>0</v>
      </c>
      <c r="AS110" s="57">
        <v>0</v>
      </c>
      <c r="AT110" s="57">
        <v>0</v>
      </c>
      <c r="AU110" s="57">
        <v>0</v>
      </c>
      <c r="AV110" s="57">
        <v>0</v>
      </c>
      <c r="AW110" s="57">
        <v>0</v>
      </c>
      <c r="AX110" s="57">
        <v>0</v>
      </c>
      <c r="AY110" s="57">
        <v>0</v>
      </c>
      <c r="AZ110" s="57">
        <v>0</v>
      </c>
      <c r="BA110" s="57">
        <v>0</v>
      </c>
      <c r="BB110" s="57">
        <v>0</v>
      </c>
      <c r="BC110" s="57">
        <v>0</v>
      </c>
      <c r="BD110" s="57">
        <v>0</v>
      </c>
      <c r="BE110" s="57">
        <v>0</v>
      </c>
      <c r="BF110" s="57">
        <v>0</v>
      </c>
      <c r="BG110" s="57">
        <v>0</v>
      </c>
      <c r="BH110" s="57">
        <v>0</v>
      </c>
      <c r="BI110" s="57">
        <v>0</v>
      </c>
      <c r="BJ110" s="57">
        <v>0</v>
      </c>
      <c r="BK110" s="57">
        <v>0</v>
      </c>
      <c r="BL110" s="57">
        <v>0</v>
      </c>
      <c r="BM110" s="57">
        <v>0</v>
      </c>
      <c r="BN110" s="57">
        <v>0</v>
      </c>
      <c r="BO110" s="57">
        <v>0</v>
      </c>
      <c r="BP110" s="57">
        <v>0</v>
      </c>
      <c r="BQ110" s="57">
        <v>0</v>
      </c>
      <c r="BR110" s="57">
        <v>0</v>
      </c>
      <c r="BS110" s="57">
        <v>0</v>
      </c>
      <c r="BT110" s="57">
        <v>0</v>
      </c>
      <c r="BU110" s="57">
        <v>0</v>
      </c>
      <c r="BV110" s="57">
        <v>0</v>
      </c>
      <c r="BW110" s="57">
        <v>0</v>
      </c>
      <c r="BX110" s="57">
        <v>0</v>
      </c>
      <c r="BY110" s="57">
        <v>0</v>
      </c>
      <c r="BZ110" s="57">
        <v>0</v>
      </c>
      <c r="CA110" s="57">
        <v>0</v>
      </c>
      <c r="CB110" s="57">
        <v>0</v>
      </c>
      <c r="CC110" s="57">
        <v>0</v>
      </c>
      <c r="CD110" s="57">
        <v>0</v>
      </c>
      <c r="CE110" s="57">
        <v>0</v>
      </c>
      <c r="CF110" s="57">
        <v>0</v>
      </c>
      <c r="CG110" s="57">
        <v>0</v>
      </c>
      <c r="CH110" s="57">
        <v>0</v>
      </c>
      <c r="CI110" s="57">
        <v>0</v>
      </c>
      <c r="CJ110" s="57">
        <v>0</v>
      </c>
      <c r="CK110" s="57">
        <v>0</v>
      </c>
      <c r="CL110" s="57">
        <v>0</v>
      </c>
      <c r="CM110" s="57">
        <v>0</v>
      </c>
      <c r="CN110" s="57">
        <v>0</v>
      </c>
      <c r="CO110" s="57">
        <v>0</v>
      </c>
      <c r="CP110" s="57">
        <v>0</v>
      </c>
      <c r="CQ110" s="57">
        <v>0</v>
      </c>
      <c r="CR110" s="57">
        <v>0</v>
      </c>
      <c r="CS110" s="57">
        <v>0</v>
      </c>
      <c r="CT110" s="57">
        <v>0</v>
      </c>
      <c r="CU110" s="57">
        <v>0</v>
      </c>
      <c r="CV110" s="57">
        <v>0</v>
      </c>
      <c r="CW110" s="57">
        <v>0</v>
      </c>
      <c r="CX110" s="57">
        <v>0</v>
      </c>
      <c r="CY110" s="57">
        <v>0</v>
      </c>
      <c r="CZ110" s="57">
        <v>0</v>
      </c>
      <c r="DA110" s="57">
        <v>0</v>
      </c>
      <c r="DB110" s="57">
        <v>0</v>
      </c>
      <c r="DC110" s="57">
        <v>0</v>
      </c>
      <c r="DD110" s="57">
        <v>0</v>
      </c>
      <c r="DE110" s="57">
        <v>0</v>
      </c>
      <c r="DF110" s="57">
        <v>0</v>
      </c>
      <c r="DG110" s="137">
        <v>0</v>
      </c>
      <c r="DH110" s="137">
        <v>0</v>
      </c>
      <c r="DI110" s="137">
        <v>0</v>
      </c>
      <c r="DJ110" s="137">
        <v>0</v>
      </c>
      <c r="DK110" s="137">
        <v>0</v>
      </c>
      <c r="DL110" s="137">
        <v>0</v>
      </c>
      <c r="DM110" s="137">
        <v>0</v>
      </c>
      <c r="DN110" s="137">
        <v>0</v>
      </c>
      <c r="DO110" s="137">
        <v>0</v>
      </c>
      <c r="DP110" s="137">
        <v>0</v>
      </c>
      <c r="DQ110" s="137">
        <v>0</v>
      </c>
      <c r="DR110" s="137">
        <v>0</v>
      </c>
      <c r="DS110" s="137">
        <v>0</v>
      </c>
      <c r="DT110" s="137">
        <v>0</v>
      </c>
      <c r="DU110" s="137">
        <v>0</v>
      </c>
      <c r="DV110" s="137">
        <v>0</v>
      </c>
      <c r="DW110" s="137">
        <v>0</v>
      </c>
      <c r="DX110" s="137">
        <v>0</v>
      </c>
      <c r="DY110" s="137">
        <v>0</v>
      </c>
      <c r="DZ110" s="137">
        <v>0</v>
      </c>
      <c r="EA110" s="137">
        <v>0</v>
      </c>
    </row>
    <row r="111" spans="1:131" x14ac:dyDescent="0.35">
      <c r="A111" s="90" t="e">
        <f>VLOOKUP(E111,'Validation List'!F112:G507,2,FALSE)</f>
        <v>#N/A</v>
      </c>
      <c r="B111" s="90" t="e">
        <f>INDEX('NEW HIRE ROSTER'!$G:$G,MATCH(RAW!F111,'NEW HIRE ROSTER'!$A:$A,0))</f>
        <v>#N/A</v>
      </c>
      <c r="C111" s="90" t="e">
        <f>INDEX('NEW HIRE ROSTER'!$F:$F,MATCH(RAW!F111,'NEW HIRE ROSTER'!$A:$A,0))</f>
        <v>#N/A</v>
      </c>
      <c r="D111" s="90" t="e">
        <f>INDEX('Validation List'!$H:$H,MATCH(RAW!E111,'Validation List'!$F:$F,0))</f>
        <v>#N/A</v>
      </c>
      <c r="G111" s="90" t="e">
        <f>VLOOKUP(F111,ML!C95:D693,2,FALSE)</f>
        <v>#N/A</v>
      </c>
      <c r="H111" s="90" t="e">
        <f>VLOOKUP(F111,ML!C95:E693,3,FALSE)</f>
        <v>#N/A</v>
      </c>
      <c r="M111" s="56"/>
      <c r="N111" s="57">
        <v>0</v>
      </c>
      <c r="O111" s="57">
        <v>0</v>
      </c>
      <c r="P111" s="57">
        <v>0</v>
      </c>
      <c r="Q111" s="57">
        <v>0</v>
      </c>
      <c r="R111" s="57">
        <v>0</v>
      </c>
      <c r="S111" s="57">
        <v>0</v>
      </c>
      <c r="T111" s="57">
        <v>0</v>
      </c>
      <c r="U111" s="57">
        <v>0</v>
      </c>
      <c r="V111" s="57">
        <v>0</v>
      </c>
      <c r="W111" s="57">
        <v>0</v>
      </c>
      <c r="X111" s="57">
        <v>0</v>
      </c>
      <c r="Y111" s="57">
        <v>0</v>
      </c>
      <c r="Z111" s="57">
        <v>0</v>
      </c>
      <c r="AA111" s="57">
        <v>0</v>
      </c>
      <c r="AB111" s="57">
        <v>0</v>
      </c>
      <c r="AC111" s="57">
        <v>0</v>
      </c>
      <c r="AD111" s="57">
        <v>0</v>
      </c>
      <c r="AE111" s="57">
        <v>0</v>
      </c>
      <c r="AF111" s="57">
        <v>0</v>
      </c>
      <c r="AG111" s="57">
        <v>0</v>
      </c>
      <c r="AH111" s="57">
        <v>0</v>
      </c>
      <c r="AI111" s="57">
        <v>0</v>
      </c>
      <c r="AJ111" s="57">
        <v>0</v>
      </c>
      <c r="AK111" s="57">
        <v>0</v>
      </c>
      <c r="AL111" s="57">
        <v>0</v>
      </c>
      <c r="AM111" s="57">
        <v>0</v>
      </c>
      <c r="AN111" s="57">
        <v>0</v>
      </c>
      <c r="AO111" s="57">
        <v>0</v>
      </c>
      <c r="AP111" s="57">
        <v>0</v>
      </c>
      <c r="AQ111" s="57">
        <v>0</v>
      </c>
      <c r="AR111" s="57">
        <v>0</v>
      </c>
      <c r="AS111" s="57">
        <v>0</v>
      </c>
      <c r="AT111" s="57">
        <v>0</v>
      </c>
      <c r="AU111" s="57">
        <v>0</v>
      </c>
      <c r="AV111" s="57">
        <v>0</v>
      </c>
      <c r="AW111" s="57">
        <v>0</v>
      </c>
      <c r="AX111" s="57">
        <v>0</v>
      </c>
      <c r="AY111" s="57">
        <v>0</v>
      </c>
      <c r="AZ111" s="57">
        <v>0</v>
      </c>
      <c r="BA111" s="57">
        <v>0</v>
      </c>
      <c r="BB111" s="57">
        <v>0</v>
      </c>
      <c r="BC111" s="57">
        <v>0</v>
      </c>
      <c r="BD111" s="57">
        <v>0</v>
      </c>
      <c r="BE111" s="57">
        <v>0</v>
      </c>
      <c r="BF111" s="57">
        <v>0</v>
      </c>
      <c r="BG111" s="57">
        <v>0</v>
      </c>
      <c r="BH111" s="57">
        <v>0</v>
      </c>
      <c r="BI111" s="57">
        <v>0</v>
      </c>
      <c r="BJ111" s="57">
        <v>0</v>
      </c>
      <c r="BK111" s="57">
        <v>0</v>
      </c>
      <c r="BL111" s="57">
        <v>0</v>
      </c>
      <c r="BM111" s="57">
        <v>0</v>
      </c>
      <c r="BN111" s="57">
        <v>0</v>
      </c>
      <c r="BO111" s="57">
        <v>0</v>
      </c>
      <c r="BP111" s="57">
        <v>0</v>
      </c>
      <c r="BQ111" s="57">
        <v>0</v>
      </c>
      <c r="BR111" s="57">
        <v>0</v>
      </c>
      <c r="BS111" s="57">
        <v>0</v>
      </c>
      <c r="BT111" s="57">
        <v>0</v>
      </c>
      <c r="BU111" s="57">
        <v>0</v>
      </c>
      <c r="BV111" s="57">
        <v>0</v>
      </c>
      <c r="BW111" s="57">
        <v>0</v>
      </c>
      <c r="BX111" s="57">
        <v>0</v>
      </c>
      <c r="BY111" s="57">
        <v>0</v>
      </c>
      <c r="BZ111" s="57">
        <v>0</v>
      </c>
      <c r="CA111" s="57">
        <v>0</v>
      </c>
      <c r="CB111" s="57">
        <v>0</v>
      </c>
      <c r="CC111" s="57">
        <v>0</v>
      </c>
      <c r="CD111" s="57">
        <v>0</v>
      </c>
      <c r="CE111" s="57">
        <v>0</v>
      </c>
      <c r="CF111" s="57">
        <v>0</v>
      </c>
      <c r="CG111" s="57">
        <v>0</v>
      </c>
      <c r="CH111" s="57">
        <v>0</v>
      </c>
      <c r="CI111" s="57">
        <v>0</v>
      </c>
      <c r="CJ111" s="57">
        <v>0</v>
      </c>
      <c r="CK111" s="57">
        <v>0</v>
      </c>
      <c r="CL111" s="57">
        <v>0</v>
      </c>
      <c r="CM111" s="57">
        <v>0</v>
      </c>
      <c r="CN111" s="57">
        <v>0</v>
      </c>
      <c r="CO111" s="57">
        <v>0</v>
      </c>
      <c r="CP111" s="57">
        <v>0</v>
      </c>
      <c r="CQ111" s="57">
        <v>0</v>
      </c>
      <c r="CR111" s="57">
        <v>0</v>
      </c>
      <c r="CS111" s="57">
        <v>0</v>
      </c>
      <c r="CT111" s="57">
        <v>0</v>
      </c>
      <c r="CU111" s="57">
        <v>0</v>
      </c>
      <c r="CV111" s="57">
        <v>0</v>
      </c>
      <c r="CW111" s="57">
        <v>0</v>
      </c>
      <c r="CX111" s="57">
        <v>0</v>
      </c>
      <c r="CY111" s="57">
        <v>0</v>
      </c>
      <c r="CZ111" s="57">
        <v>0</v>
      </c>
      <c r="DA111" s="57">
        <v>0</v>
      </c>
      <c r="DB111" s="57">
        <v>0</v>
      </c>
      <c r="DC111" s="57">
        <v>0</v>
      </c>
      <c r="DD111" s="57">
        <v>0</v>
      </c>
      <c r="DE111" s="57">
        <v>0</v>
      </c>
      <c r="DF111" s="57">
        <v>0</v>
      </c>
      <c r="DG111" s="137">
        <v>0</v>
      </c>
      <c r="DH111" s="137">
        <v>0</v>
      </c>
      <c r="DI111" s="137">
        <v>0</v>
      </c>
      <c r="DJ111" s="137">
        <v>0</v>
      </c>
      <c r="DK111" s="137">
        <v>0</v>
      </c>
      <c r="DL111" s="137">
        <v>0</v>
      </c>
      <c r="DM111" s="137">
        <v>0</v>
      </c>
      <c r="DN111" s="137">
        <v>0</v>
      </c>
      <c r="DO111" s="137">
        <v>0</v>
      </c>
      <c r="DP111" s="137">
        <v>0</v>
      </c>
      <c r="DQ111" s="137">
        <v>0</v>
      </c>
      <c r="DR111" s="137">
        <v>0</v>
      </c>
      <c r="DS111" s="137">
        <v>0</v>
      </c>
      <c r="DT111" s="137">
        <v>0</v>
      </c>
      <c r="DU111" s="137">
        <v>0</v>
      </c>
      <c r="DV111" s="137">
        <v>0</v>
      </c>
      <c r="DW111" s="137">
        <v>0</v>
      </c>
      <c r="DX111" s="137">
        <v>0</v>
      </c>
      <c r="DY111" s="137">
        <v>0</v>
      </c>
      <c r="DZ111" s="137">
        <v>0</v>
      </c>
      <c r="EA111" s="137">
        <v>0</v>
      </c>
    </row>
    <row r="112" spans="1:131" x14ac:dyDescent="0.35">
      <c r="A112" s="90" t="e">
        <f>VLOOKUP(E112,'Validation List'!F113:G508,2,FALSE)</f>
        <v>#N/A</v>
      </c>
      <c r="B112" s="90" t="e">
        <f>INDEX('NEW HIRE ROSTER'!$G:$G,MATCH(RAW!F112,'NEW HIRE ROSTER'!$A:$A,0))</f>
        <v>#N/A</v>
      </c>
      <c r="C112" s="90" t="e">
        <f>INDEX('NEW HIRE ROSTER'!$F:$F,MATCH(RAW!F112,'NEW HIRE ROSTER'!$A:$A,0))</f>
        <v>#N/A</v>
      </c>
      <c r="D112" s="90" t="e">
        <f>INDEX('Validation List'!$H:$H,MATCH(RAW!E112,'Validation List'!$F:$F,0))</f>
        <v>#N/A</v>
      </c>
      <c r="G112" s="90" t="e">
        <f>VLOOKUP(F112,ML!C96:D694,2,FALSE)</f>
        <v>#N/A</v>
      </c>
      <c r="H112" s="90" t="e">
        <f>VLOOKUP(F112,ML!C96:E694,3,FALSE)</f>
        <v>#N/A</v>
      </c>
      <c r="M112" s="56"/>
      <c r="N112" s="57">
        <v>0</v>
      </c>
      <c r="O112" s="57">
        <v>0</v>
      </c>
      <c r="P112" s="57">
        <v>0</v>
      </c>
      <c r="Q112" s="57">
        <v>0</v>
      </c>
      <c r="R112" s="57">
        <v>0</v>
      </c>
      <c r="S112" s="57">
        <v>0</v>
      </c>
      <c r="T112" s="57">
        <v>0</v>
      </c>
      <c r="U112" s="57">
        <v>0</v>
      </c>
      <c r="V112" s="57">
        <v>0</v>
      </c>
      <c r="W112" s="57">
        <v>0</v>
      </c>
      <c r="X112" s="57">
        <v>0</v>
      </c>
      <c r="Y112" s="57">
        <v>0</v>
      </c>
      <c r="Z112" s="57">
        <v>0</v>
      </c>
      <c r="AA112" s="57">
        <v>0</v>
      </c>
      <c r="AB112" s="57">
        <v>0</v>
      </c>
      <c r="AC112" s="57">
        <v>0</v>
      </c>
      <c r="AD112" s="57">
        <v>0</v>
      </c>
      <c r="AE112" s="57">
        <v>0</v>
      </c>
      <c r="AF112" s="57">
        <v>0</v>
      </c>
      <c r="AG112" s="57">
        <v>0</v>
      </c>
      <c r="AH112" s="57">
        <v>0</v>
      </c>
      <c r="AI112" s="57">
        <v>0</v>
      </c>
      <c r="AJ112" s="57">
        <v>0</v>
      </c>
      <c r="AK112" s="57">
        <v>0</v>
      </c>
      <c r="AL112" s="57">
        <v>0</v>
      </c>
      <c r="AM112" s="57">
        <v>0</v>
      </c>
      <c r="AN112" s="57">
        <v>0</v>
      </c>
      <c r="AO112" s="57">
        <v>0</v>
      </c>
      <c r="AP112" s="57">
        <v>0</v>
      </c>
      <c r="AQ112" s="57">
        <v>0</v>
      </c>
      <c r="AR112" s="57">
        <v>0</v>
      </c>
      <c r="AS112" s="57">
        <v>0</v>
      </c>
      <c r="AT112" s="57">
        <v>0</v>
      </c>
      <c r="AU112" s="57">
        <v>0</v>
      </c>
      <c r="AV112" s="57">
        <v>0</v>
      </c>
      <c r="AW112" s="57">
        <v>0</v>
      </c>
      <c r="AX112" s="57">
        <v>0</v>
      </c>
      <c r="AY112" s="57">
        <v>0</v>
      </c>
      <c r="AZ112" s="57">
        <v>0</v>
      </c>
      <c r="BA112" s="57">
        <v>0</v>
      </c>
      <c r="BB112" s="57">
        <v>0</v>
      </c>
      <c r="BC112" s="57">
        <v>0</v>
      </c>
      <c r="BD112" s="57">
        <v>0</v>
      </c>
      <c r="BE112" s="57">
        <v>0</v>
      </c>
      <c r="BF112" s="57">
        <v>0</v>
      </c>
      <c r="BG112" s="57">
        <v>0</v>
      </c>
      <c r="BH112" s="57">
        <v>0</v>
      </c>
      <c r="BI112" s="57">
        <v>0</v>
      </c>
      <c r="BJ112" s="57">
        <v>0</v>
      </c>
      <c r="BK112" s="57">
        <v>0</v>
      </c>
      <c r="BL112" s="57">
        <v>0</v>
      </c>
      <c r="BM112" s="57">
        <v>0</v>
      </c>
      <c r="BN112" s="57">
        <v>0</v>
      </c>
      <c r="BO112" s="57">
        <v>0</v>
      </c>
      <c r="BP112" s="57">
        <v>0</v>
      </c>
      <c r="BQ112" s="57">
        <v>0</v>
      </c>
      <c r="BR112" s="57">
        <v>0</v>
      </c>
      <c r="BS112" s="57">
        <v>0</v>
      </c>
      <c r="BT112" s="57">
        <v>0</v>
      </c>
      <c r="BU112" s="57">
        <v>0</v>
      </c>
      <c r="BV112" s="57">
        <v>0</v>
      </c>
      <c r="BW112" s="57">
        <v>0</v>
      </c>
      <c r="BX112" s="57">
        <v>0</v>
      </c>
      <c r="BY112" s="57">
        <v>0</v>
      </c>
      <c r="BZ112" s="57">
        <v>0</v>
      </c>
      <c r="CA112" s="57">
        <v>0</v>
      </c>
      <c r="CB112" s="57">
        <v>0</v>
      </c>
      <c r="CC112" s="57">
        <v>0</v>
      </c>
      <c r="CD112" s="57">
        <v>0</v>
      </c>
      <c r="CE112" s="57">
        <v>0</v>
      </c>
      <c r="CF112" s="57">
        <v>0</v>
      </c>
      <c r="CG112" s="57">
        <v>0</v>
      </c>
      <c r="CH112" s="57">
        <v>0</v>
      </c>
      <c r="CI112" s="57">
        <v>0</v>
      </c>
      <c r="CJ112" s="57">
        <v>0</v>
      </c>
      <c r="CK112" s="57">
        <v>0</v>
      </c>
      <c r="CL112" s="57">
        <v>0</v>
      </c>
      <c r="CM112" s="57">
        <v>0</v>
      </c>
      <c r="CN112" s="57">
        <v>0</v>
      </c>
      <c r="CO112" s="57">
        <v>0</v>
      </c>
      <c r="CP112" s="57">
        <v>0</v>
      </c>
      <c r="CQ112" s="57">
        <v>0</v>
      </c>
      <c r="CR112" s="57">
        <v>0</v>
      </c>
      <c r="CS112" s="57">
        <v>0</v>
      </c>
      <c r="CT112" s="57">
        <v>0</v>
      </c>
      <c r="CU112" s="57">
        <v>0</v>
      </c>
      <c r="CV112" s="57">
        <v>0</v>
      </c>
      <c r="CW112" s="57">
        <v>0</v>
      </c>
      <c r="CX112" s="57">
        <v>0</v>
      </c>
      <c r="CY112" s="57">
        <v>0</v>
      </c>
      <c r="CZ112" s="57">
        <v>0</v>
      </c>
      <c r="DA112" s="57">
        <v>0</v>
      </c>
      <c r="DB112" s="57">
        <v>0</v>
      </c>
      <c r="DC112" s="57">
        <v>0</v>
      </c>
      <c r="DD112" s="57">
        <v>0</v>
      </c>
      <c r="DE112" s="57">
        <v>0</v>
      </c>
      <c r="DF112" s="57">
        <v>0</v>
      </c>
      <c r="DG112" s="137">
        <v>0</v>
      </c>
      <c r="DH112" s="137">
        <v>0</v>
      </c>
      <c r="DI112" s="137">
        <v>0</v>
      </c>
      <c r="DJ112" s="137">
        <v>0</v>
      </c>
      <c r="DK112" s="137">
        <v>0</v>
      </c>
      <c r="DL112" s="137">
        <v>0</v>
      </c>
      <c r="DM112" s="137">
        <v>0</v>
      </c>
      <c r="DN112" s="137">
        <v>0</v>
      </c>
      <c r="DO112" s="137">
        <v>0</v>
      </c>
      <c r="DP112" s="137">
        <v>0</v>
      </c>
      <c r="DQ112" s="137">
        <v>0</v>
      </c>
      <c r="DR112" s="137">
        <v>0</v>
      </c>
      <c r="DS112" s="137">
        <v>0</v>
      </c>
      <c r="DT112" s="137">
        <v>0</v>
      </c>
      <c r="DU112" s="137">
        <v>0</v>
      </c>
      <c r="DV112" s="137">
        <v>0</v>
      </c>
      <c r="DW112" s="137">
        <v>0</v>
      </c>
      <c r="DX112" s="137">
        <v>0</v>
      </c>
      <c r="DY112" s="137">
        <v>0</v>
      </c>
      <c r="DZ112" s="137">
        <v>0</v>
      </c>
      <c r="EA112" s="137">
        <v>0</v>
      </c>
    </row>
    <row r="113" spans="1:131" x14ac:dyDescent="0.35">
      <c r="A113" s="90" t="e">
        <f>VLOOKUP(E113,'Validation List'!F114:G509,2,FALSE)</f>
        <v>#N/A</v>
      </c>
      <c r="B113" s="90" t="e">
        <f>INDEX('NEW HIRE ROSTER'!$G:$G,MATCH(RAW!F113,'NEW HIRE ROSTER'!$A:$A,0))</f>
        <v>#N/A</v>
      </c>
      <c r="C113" s="90" t="e">
        <f>INDEX('NEW HIRE ROSTER'!$F:$F,MATCH(RAW!F113,'NEW HIRE ROSTER'!$A:$A,0))</f>
        <v>#N/A</v>
      </c>
      <c r="D113" s="90" t="e">
        <f>INDEX('Validation List'!$H:$H,MATCH(RAW!E113,'Validation List'!$F:$F,0))</f>
        <v>#N/A</v>
      </c>
      <c r="G113" s="90" t="e">
        <f>VLOOKUP(F113,ML!C97:D695,2,FALSE)</f>
        <v>#N/A</v>
      </c>
      <c r="H113" s="90" t="e">
        <f>VLOOKUP(F113,ML!C97:E695,3,FALSE)</f>
        <v>#N/A</v>
      </c>
      <c r="M113" s="56"/>
      <c r="N113" s="57">
        <v>0</v>
      </c>
      <c r="O113" s="57">
        <v>0</v>
      </c>
      <c r="P113" s="57">
        <v>0</v>
      </c>
      <c r="Q113" s="57">
        <v>0</v>
      </c>
      <c r="R113" s="57">
        <v>0</v>
      </c>
      <c r="S113" s="57">
        <v>0</v>
      </c>
      <c r="T113" s="57">
        <v>0</v>
      </c>
      <c r="U113" s="57">
        <v>0</v>
      </c>
      <c r="V113" s="57">
        <v>0</v>
      </c>
      <c r="W113" s="57">
        <v>0</v>
      </c>
      <c r="X113" s="57">
        <v>0</v>
      </c>
      <c r="Y113" s="57">
        <v>0</v>
      </c>
      <c r="Z113" s="57">
        <v>0</v>
      </c>
      <c r="AA113" s="57">
        <v>0</v>
      </c>
      <c r="AB113" s="57">
        <v>0</v>
      </c>
      <c r="AC113" s="57">
        <v>0</v>
      </c>
      <c r="AD113" s="57">
        <v>0</v>
      </c>
      <c r="AE113" s="57">
        <v>0</v>
      </c>
      <c r="AF113" s="57">
        <v>0</v>
      </c>
      <c r="AG113" s="57">
        <v>0</v>
      </c>
      <c r="AH113" s="57">
        <v>0</v>
      </c>
      <c r="AI113" s="57">
        <v>0</v>
      </c>
      <c r="AJ113" s="57">
        <v>0</v>
      </c>
      <c r="AK113" s="57">
        <v>0</v>
      </c>
      <c r="AL113" s="57">
        <v>0</v>
      </c>
      <c r="AM113" s="57">
        <v>0</v>
      </c>
      <c r="AN113" s="57">
        <v>0</v>
      </c>
      <c r="AO113" s="57">
        <v>0</v>
      </c>
      <c r="AP113" s="57">
        <v>0</v>
      </c>
      <c r="AQ113" s="57">
        <v>0</v>
      </c>
      <c r="AR113" s="57">
        <v>0</v>
      </c>
      <c r="AS113" s="57">
        <v>0</v>
      </c>
      <c r="AT113" s="57">
        <v>0</v>
      </c>
      <c r="AU113" s="57">
        <v>0</v>
      </c>
      <c r="AV113" s="57">
        <v>0</v>
      </c>
      <c r="AW113" s="57">
        <v>0</v>
      </c>
      <c r="AX113" s="57">
        <v>0</v>
      </c>
      <c r="AY113" s="57">
        <v>0</v>
      </c>
      <c r="AZ113" s="57">
        <v>0</v>
      </c>
      <c r="BA113" s="57">
        <v>0</v>
      </c>
      <c r="BB113" s="57">
        <v>0</v>
      </c>
      <c r="BC113" s="57">
        <v>0</v>
      </c>
      <c r="BD113" s="57">
        <v>0</v>
      </c>
      <c r="BE113" s="57">
        <v>0</v>
      </c>
      <c r="BF113" s="57">
        <v>0</v>
      </c>
      <c r="BG113" s="57">
        <v>0</v>
      </c>
      <c r="BH113" s="57">
        <v>0</v>
      </c>
      <c r="BI113" s="57">
        <v>0</v>
      </c>
      <c r="BJ113" s="57">
        <v>0</v>
      </c>
      <c r="BK113" s="57">
        <v>0</v>
      </c>
      <c r="BL113" s="57">
        <v>0</v>
      </c>
      <c r="BM113" s="57">
        <v>0</v>
      </c>
      <c r="BN113" s="57">
        <v>0</v>
      </c>
      <c r="BO113" s="57">
        <v>0</v>
      </c>
      <c r="BP113" s="57">
        <v>0</v>
      </c>
      <c r="BQ113" s="57">
        <v>0</v>
      </c>
      <c r="BR113" s="57">
        <v>0</v>
      </c>
      <c r="BS113" s="57">
        <v>0</v>
      </c>
      <c r="BT113" s="57">
        <v>0</v>
      </c>
      <c r="BU113" s="57">
        <v>0</v>
      </c>
      <c r="BV113" s="57">
        <v>0</v>
      </c>
      <c r="BW113" s="57">
        <v>0</v>
      </c>
      <c r="BX113" s="57">
        <v>0</v>
      </c>
      <c r="BY113" s="57">
        <v>0</v>
      </c>
      <c r="BZ113" s="57">
        <v>0</v>
      </c>
      <c r="CA113" s="57">
        <v>0</v>
      </c>
      <c r="CB113" s="57">
        <v>0</v>
      </c>
      <c r="CC113" s="57">
        <v>0</v>
      </c>
      <c r="CD113" s="57">
        <v>0</v>
      </c>
      <c r="CE113" s="57">
        <v>0</v>
      </c>
      <c r="CF113" s="57">
        <v>0</v>
      </c>
      <c r="CG113" s="57">
        <v>0</v>
      </c>
      <c r="CH113" s="57">
        <v>0</v>
      </c>
      <c r="CI113" s="57">
        <v>0</v>
      </c>
      <c r="CJ113" s="57">
        <v>0</v>
      </c>
      <c r="CK113" s="57">
        <v>0</v>
      </c>
      <c r="CL113" s="57">
        <v>0</v>
      </c>
      <c r="CM113" s="57">
        <v>0</v>
      </c>
      <c r="CN113" s="57">
        <v>0</v>
      </c>
      <c r="CO113" s="57">
        <v>0</v>
      </c>
      <c r="CP113" s="57">
        <v>0</v>
      </c>
      <c r="CQ113" s="57">
        <v>0</v>
      </c>
      <c r="CR113" s="57">
        <v>0</v>
      </c>
      <c r="CS113" s="57">
        <v>0</v>
      </c>
      <c r="CT113" s="57">
        <v>0</v>
      </c>
      <c r="CU113" s="57">
        <v>0</v>
      </c>
      <c r="CV113" s="57">
        <v>0</v>
      </c>
      <c r="CW113" s="57">
        <v>0</v>
      </c>
      <c r="CX113" s="57">
        <v>0</v>
      </c>
      <c r="CY113" s="57">
        <v>0</v>
      </c>
      <c r="CZ113" s="57">
        <v>0</v>
      </c>
      <c r="DA113" s="57">
        <v>0</v>
      </c>
      <c r="DB113" s="57">
        <v>0</v>
      </c>
      <c r="DC113" s="57">
        <v>0</v>
      </c>
      <c r="DD113" s="57">
        <v>0</v>
      </c>
      <c r="DE113" s="57">
        <v>0</v>
      </c>
      <c r="DF113" s="57">
        <v>0</v>
      </c>
      <c r="DG113" s="137">
        <v>0</v>
      </c>
      <c r="DH113" s="137">
        <v>0</v>
      </c>
      <c r="DI113" s="137">
        <v>0</v>
      </c>
      <c r="DJ113" s="137">
        <v>0</v>
      </c>
      <c r="DK113" s="137">
        <v>0</v>
      </c>
      <c r="DL113" s="137">
        <v>0</v>
      </c>
      <c r="DM113" s="137">
        <v>0</v>
      </c>
      <c r="DN113" s="137">
        <v>0</v>
      </c>
      <c r="DO113" s="137">
        <v>0</v>
      </c>
      <c r="DP113" s="137">
        <v>0</v>
      </c>
      <c r="DQ113" s="137">
        <v>0</v>
      </c>
      <c r="DR113" s="137">
        <v>0</v>
      </c>
      <c r="DS113" s="137">
        <v>0</v>
      </c>
      <c r="DT113" s="137">
        <v>0</v>
      </c>
      <c r="DU113" s="137">
        <v>0</v>
      </c>
      <c r="DV113" s="137">
        <v>0</v>
      </c>
      <c r="DW113" s="137">
        <v>0</v>
      </c>
      <c r="DX113" s="137">
        <v>0</v>
      </c>
      <c r="DY113" s="137">
        <v>0</v>
      </c>
      <c r="DZ113" s="137">
        <v>0</v>
      </c>
      <c r="EA113" s="137">
        <v>0</v>
      </c>
    </row>
    <row r="114" spans="1:131" x14ac:dyDescent="0.35">
      <c r="A114" s="90" t="e">
        <f>VLOOKUP(E114,'Validation List'!F115:G510,2,FALSE)</f>
        <v>#N/A</v>
      </c>
      <c r="B114" s="90" t="e">
        <f>INDEX('NEW HIRE ROSTER'!$G:$G,MATCH(RAW!F114,'NEW HIRE ROSTER'!$A:$A,0))</f>
        <v>#N/A</v>
      </c>
      <c r="C114" s="90" t="e">
        <f>INDEX('NEW HIRE ROSTER'!$F:$F,MATCH(RAW!F114,'NEW HIRE ROSTER'!$A:$A,0))</f>
        <v>#N/A</v>
      </c>
      <c r="D114" s="90" t="e">
        <f>INDEX('Validation List'!$H:$H,MATCH(RAW!E114,'Validation List'!$F:$F,0))</f>
        <v>#N/A</v>
      </c>
      <c r="G114" s="90" t="e">
        <f>VLOOKUP(F114,ML!C98:D696,2,FALSE)</f>
        <v>#N/A</v>
      </c>
      <c r="H114" s="90" t="e">
        <f>VLOOKUP(F114,ML!C98:E696,3,FALSE)</f>
        <v>#N/A</v>
      </c>
      <c r="M114" s="56"/>
      <c r="N114" s="57">
        <v>0</v>
      </c>
      <c r="O114" s="57">
        <v>0</v>
      </c>
      <c r="P114" s="57">
        <v>0</v>
      </c>
      <c r="Q114" s="57">
        <v>0</v>
      </c>
      <c r="R114" s="57">
        <v>0</v>
      </c>
      <c r="S114" s="57">
        <v>0</v>
      </c>
      <c r="T114" s="57">
        <v>0</v>
      </c>
      <c r="U114" s="57">
        <v>0</v>
      </c>
      <c r="V114" s="57">
        <v>0</v>
      </c>
      <c r="W114" s="57">
        <v>0</v>
      </c>
      <c r="X114" s="57">
        <v>0</v>
      </c>
      <c r="Y114" s="57">
        <v>0</v>
      </c>
      <c r="Z114" s="57">
        <v>0</v>
      </c>
      <c r="AA114" s="57">
        <v>0</v>
      </c>
      <c r="AB114" s="57">
        <v>0</v>
      </c>
      <c r="AC114" s="57">
        <v>0</v>
      </c>
      <c r="AD114" s="57">
        <v>0</v>
      </c>
      <c r="AE114" s="57">
        <v>0</v>
      </c>
      <c r="AF114" s="57">
        <v>0</v>
      </c>
      <c r="AG114" s="57">
        <v>0</v>
      </c>
      <c r="AH114" s="57">
        <v>0</v>
      </c>
      <c r="AI114" s="57">
        <v>0</v>
      </c>
      <c r="AJ114" s="57">
        <v>0</v>
      </c>
      <c r="AK114" s="57">
        <v>0</v>
      </c>
      <c r="AL114" s="57">
        <v>0</v>
      </c>
      <c r="AM114" s="57">
        <v>0</v>
      </c>
      <c r="AN114" s="57">
        <v>0</v>
      </c>
      <c r="AO114" s="57">
        <v>0</v>
      </c>
      <c r="AP114" s="57">
        <v>0</v>
      </c>
      <c r="AQ114" s="57">
        <v>0</v>
      </c>
      <c r="AR114" s="57">
        <v>0</v>
      </c>
      <c r="AS114" s="57">
        <v>0</v>
      </c>
      <c r="AT114" s="57">
        <v>0</v>
      </c>
      <c r="AU114" s="57">
        <v>0</v>
      </c>
      <c r="AV114" s="57">
        <v>0</v>
      </c>
      <c r="AW114" s="57">
        <v>0</v>
      </c>
      <c r="AX114" s="57">
        <v>0</v>
      </c>
      <c r="AY114" s="57">
        <v>0</v>
      </c>
      <c r="AZ114" s="57">
        <v>0</v>
      </c>
      <c r="BA114" s="57">
        <v>0</v>
      </c>
      <c r="BB114" s="57">
        <v>0</v>
      </c>
      <c r="BC114" s="57">
        <v>0</v>
      </c>
      <c r="BD114" s="57">
        <v>0</v>
      </c>
      <c r="BE114" s="57">
        <v>0</v>
      </c>
      <c r="BF114" s="57">
        <v>0</v>
      </c>
      <c r="BG114" s="57">
        <v>0</v>
      </c>
      <c r="BH114" s="57">
        <v>0</v>
      </c>
      <c r="BI114" s="57">
        <v>0</v>
      </c>
      <c r="BJ114" s="57">
        <v>0</v>
      </c>
      <c r="BK114" s="57">
        <v>0</v>
      </c>
      <c r="BL114" s="57">
        <v>0</v>
      </c>
      <c r="BM114" s="57">
        <v>0</v>
      </c>
      <c r="BN114" s="57">
        <v>0</v>
      </c>
      <c r="BO114" s="57">
        <v>0</v>
      </c>
      <c r="BP114" s="57">
        <v>0</v>
      </c>
      <c r="BQ114" s="57">
        <v>0</v>
      </c>
      <c r="BR114" s="57">
        <v>0</v>
      </c>
      <c r="BS114" s="57">
        <v>0</v>
      </c>
      <c r="BT114" s="57">
        <v>0</v>
      </c>
      <c r="BU114" s="57">
        <v>0</v>
      </c>
      <c r="BV114" s="57">
        <v>0</v>
      </c>
      <c r="BW114" s="57">
        <v>0</v>
      </c>
      <c r="BX114" s="57">
        <v>0</v>
      </c>
      <c r="BY114" s="57">
        <v>0</v>
      </c>
      <c r="BZ114" s="57">
        <v>0</v>
      </c>
      <c r="CA114" s="57">
        <v>0</v>
      </c>
      <c r="CB114" s="57">
        <v>0</v>
      </c>
      <c r="CC114" s="57">
        <v>0</v>
      </c>
      <c r="CD114" s="57">
        <v>0</v>
      </c>
      <c r="CE114" s="57">
        <v>0</v>
      </c>
      <c r="CF114" s="57">
        <v>0</v>
      </c>
      <c r="CG114" s="57">
        <v>0</v>
      </c>
      <c r="CH114" s="57">
        <v>0</v>
      </c>
      <c r="CI114" s="57">
        <v>0</v>
      </c>
      <c r="CJ114" s="57">
        <v>0</v>
      </c>
      <c r="CK114" s="57">
        <v>0</v>
      </c>
      <c r="CL114" s="57">
        <v>0</v>
      </c>
      <c r="CM114" s="57">
        <v>0</v>
      </c>
      <c r="CN114" s="57">
        <v>0</v>
      </c>
      <c r="CO114" s="57">
        <v>0</v>
      </c>
      <c r="CP114" s="57">
        <v>0</v>
      </c>
      <c r="CQ114" s="57">
        <v>0</v>
      </c>
      <c r="CR114" s="57">
        <v>0</v>
      </c>
      <c r="CS114" s="57">
        <v>0</v>
      </c>
      <c r="CT114" s="57">
        <v>0</v>
      </c>
      <c r="CU114" s="57">
        <v>0</v>
      </c>
      <c r="CV114" s="57">
        <v>0</v>
      </c>
      <c r="CW114" s="57">
        <v>0</v>
      </c>
      <c r="CX114" s="57">
        <v>0</v>
      </c>
      <c r="CY114" s="57">
        <v>0</v>
      </c>
      <c r="CZ114" s="57">
        <v>0</v>
      </c>
      <c r="DA114" s="57">
        <v>0</v>
      </c>
      <c r="DB114" s="57">
        <v>0</v>
      </c>
      <c r="DC114" s="57">
        <v>0</v>
      </c>
      <c r="DD114" s="57">
        <v>0</v>
      </c>
      <c r="DE114" s="57">
        <v>0</v>
      </c>
      <c r="DF114" s="57">
        <v>0</v>
      </c>
      <c r="DG114" s="137">
        <v>0</v>
      </c>
      <c r="DH114" s="137">
        <v>0</v>
      </c>
      <c r="DI114" s="137">
        <v>0</v>
      </c>
      <c r="DJ114" s="137">
        <v>0</v>
      </c>
      <c r="DK114" s="137">
        <v>0</v>
      </c>
      <c r="DL114" s="137">
        <v>0</v>
      </c>
      <c r="DM114" s="137">
        <v>0</v>
      </c>
      <c r="DN114" s="137">
        <v>0</v>
      </c>
      <c r="DO114" s="137">
        <v>0</v>
      </c>
      <c r="DP114" s="137">
        <v>0</v>
      </c>
      <c r="DQ114" s="137">
        <v>0</v>
      </c>
      <c r="DR114" s="137">
        <v>0</v>
      </c>
      <c r="DS114" s="137">
        <v>0</v>
      </c>
      <c r="DT114" s="137">
        <v>0</v>
      </c>
      <c r="DU114" s="137">
        <v>0</v>
      </c>
      <c r="DV114" s="137">
        <v>0</v>
      </c>
      <c r="DW114" s="137">
        <v>0</v>
      </c>
      <c r="DX114" s="137">
        <v>0</v>
      </c>
      <c r="DY114" s="137">
        <v>0</v>
      </c>
      <c r="DZ114" s="137">
        <v>0</v>
      </c>
      <c r="EA114" s="137">
        <v>0</v>
      </c>
    </row>
    <row r="115" spans="1:131" x14ac:dyDescent="0.35">
      <c r="A115" s="90" t="e">
        <f>VLOOKUP(E115,'Validation List'!F116:G511,2,FALSE)</f>
        <v>#N/A</v>
      </c>
      <c r="B115" s="90" t="e">
        <f>INDEX('NEW HIRE ROSTER'!$G:$G,MATCH(RAW!F115,'NEW HIRE ROSTER'!$A:$A,0))</f>
        <v>#N/A</v>
      </c>
      <c r="C115" s="90" t="e">
        <f>INDEX('NEW HIRE ROSTER'!$F:$F,MATCH(RAW!F115,'NEW HIRE ROSTER'!$A:$A,0))</f>
        <v>#N/A</v>
      </c>
      <c r="D115" s="90" t="e">
        <f>INDEX('Validation List'!$H:$H,MATCH(RAW!E115,'Validation List'!$F:$F,0))</f>
        <v>#N/A</v>
      </c>
      <c r="G115" s="90" t="e">
        <f>VLOOKUP(F115,ML!C99:D697,2,FALSE)</f>
        <v>#N/A</v>
      </c>
      <c r="H115" s="90" t="e">
        <f>VLOOKUP(F115,ML!C99:E697,3,FALSE)</f>
        <v>#N/A</v>
      </c>
      <c r="M115" s="56"/>
      <c r="N115" s="57">
        <v>0</v>
      </c>
      <c r="O115" s="57">
        <v>0</v>
      </c>
      <c r="P115" s="57">
        <v>0</v>
      </c>
      <c r="Q115" s="57">
        <v>0</v>
      </c>
      <c r="R115" s="57">
        <v>0</v>
      </c>
      <c r="S115" s="57">
        <v>0</v>
      </c>
      <c r="T115" s="57">
        <v>0</v>
      </c>
      <c r="U115" s="57">
        <v>0</v>
      </c>
      <c r="V115" s="57">
        <v>0</v>
      </c>
      <c r="W115" s="57">
        <v>0</v>
      </c>
      <c r="X115" s="57">
        <v>0</v>
      </c>
      <c r="Y115" s="57">
        <v>0</v>
      </c>
      <c r="Z115" s="57">
        <v>0</v>
      </c>
      <c r="AA115" s="57">
        <v>0</v>
      </c>
      <c r="AB115" s="57">
        <v>0</v>
      </c>
      <c r="AC115" s="57">
        <v>0</v>
      </c>
      <c r="AD115" s="57">
        <v>0</v>
      </c>
      <c r="AE115" s="57">
        <v>0</v>
      </c>
      <c r="AF115" s="57">
        <v>0</v>
      </c>
      <c r="AG115" s="57">
        <v>0</v>
      </c>
      <c r="AH115" s="57">
        <v>0</v>
      </c>
      <c r="AI115" s="57">
        <v>0</v>
      </c>
      <c r="AJ115" s="57">
        <v>0</v>
      </c>
      <c r="AK115" s="57">
        <v>0</v>
      </c>
      <c r="AL115" s="57">
        <v>0</v>
      </c>
      <c r="AM115" s="57">
        <v>0</v>
      </c>
      <c r="AN115" s="57">
        <v>0</v>
      </c>
      <c r="AO115" s="57">
        <v>0</v>
      </c>
      <c r="AP115" s="57">
        <v>0</v>
      </c>
      <c r="AQ115" s="57">
        <v>0</v>
      </c>
      <c r="AR115" s="57">
        <v>0</v>
      </c>
      <c r="AS115" s="57">
        <v>0</v>
      </c>
      <c r="AT115" s="57">
        <v>0</v>
      </c>
      <c r="AU115" s="57">
        <v>0</v>
      </c>
      <c r="AV115" s="57">
        <v>0</v>
      </c>
      <c r="AW115" s="57">
        <v>0</v>
      </c>
      <c r="AX115" s="57">
        <v>0</v>
      </c>
      <c r="AY115" s="57">
        <v>0</v>
      </c>
      <c r="AZ115" s="57">
        <v>0</v>
      </c>
      <c r="BA115" s="57">
        <v>0</v>
      </c>
      <c r="BB115" s="57">
        <v>0</v>
      </c>
      <c r="BC115" s="57">
        <v>0</v>
      </c>
      <c r="BD115" s="57">
        <v>0</v>
      </c>
      <c r="BE115" s="57">
        <v>0</v>
      </c>
      <c r="BF115" s="57">
        <v>0</v>
      </c>
      <c r="BG115" s="57">
        <v>0</v>
      </c>
      <c r="BH115" s="57">
        <v>0</v>
      </c>
      <c r="BI115" s="57">
        <v>0</v>
      </c>
      <c r="BJ115" s="57">
        <v>0</v>
      </c>
      <c r="BK115" s="57">
        <v>0</v>
      </c>
      <c r="BL115" s="57">
        <v>0</v>
      </c>
      <c r="BM115" s="57">
        <v>0</v>
      </c>
      <c r="BN115" s="57">
        <v>0</v>
      </c>
      <c r="BO115" s="57">
        <v>0</v>
      </c>
      <c r="BP115" s="57">
        <v>0</v>
      </c>
      <c r="BQ115" s="57">
        <v>0</v>
      </c>
      <c r="BR115" s="57">
        <v>0</v>
      </c>
      <c r="BS115" s="57">
        <v>0</v>
      </c>
      <c r="BT115" s="57">
        <v>0</v>
      </c>
      <c r="BU115" s="57">
        <v>0</v>
      </c>
      <c r="BV115" s="57">
        <v>0</v>
      </c>
      <c r="BW115" s="57">
        <v>0</v>
      </c>
      <c r="BX115" s="57">
        <v>0</v>
      </c>
      <c r="BY115" s="57">
        <v>0</v>
      </c>
      <c r="BZ115" s="57">
        <v>0</v>
      </c>
      <c r="CA115" s="57">
        <v>0</v>
      </c>
      <c r="CB115" s="57">
        <v>0</v>
      </c>
      <c r="CC115" s="57">
        <v>0</v>
      </c>
      <c r="CD115" s="57">
        <v>0</v>
      </c>
      <c r="CE115" s="57">
        <v>0</v>
      </c>
      <c r="CF115" s="57">
        <v>0</v>
      </c>
      <c r="CG115" s="57">
        <v>0</v>
      </c>
      <c r="CH115" s="57">
        <v>0</v>
      </c>
      <c r="CI115" s="57">
        <v>0</v>
      </c>
      <c r="CJ115" s="57">
        <v>0</v>
      </c>
      <c r="CK115" s="57">
        <v>0</v>
      </c>
      <c r="CL115" s="57">
        <v>0</v>
      </c>
      <c r="CM115" s="57">
        <v>0</v>
      </c>
      <c r="CN115" s="57">
        <v>0</v>
      </c>
      <c r="CO115" s="57">
        <v>0</v>
      </c>
      <c r="CP115" s="57">
        <v>0</v>
      </c>
      <c r="CQ115" s="57">
        <v>0</v>
      </c>
      <c r="CR115" s="57">
        <v>0</v>
      </c>
      <c r="CS115" s="57">
        <v>0</v>
      </c>
      <c r="CT115" s="57">
        <v>0</v>
      </c>
      <c r="CU115" s="57">
        <v>0</v>
      </c>
      <c r="CV115" s="57">
        <v>0</v>
      </c>
      <c r="CW115" s="57">
        <v>0</v>
      </c>
      <c r="CX115" s="57">
        <v>0</v>
      </c>
      <c r="CY115" s="57">
        <v>0</v>
      </c>
      <c r="CZ115" s="57">
        <v>0</v>
      </c>
      <c r="DA115" s="57">
        <v>0</v>
      </c>
      <c r="DB115" s="57">
        <v>0</v>
      </c>
      <c r="DC115" s="57">
        <v>0</v>
      </c>
      <c r="DD115" s="57">
        <v>0</v>
      </c>
      <c r="DE115" s="57">
        <v>0</v>
      </c>
      <c r="DF115" s="57">
        <v>0</v>
      </c>
      <c r="DG115" s="137">
        <v>0</v>
      </c>
      <c r="DH115" s="137">
        <v>0</v>
      </c>
      <c r="DI115" s="137">
        <v>0</v>
      </c>
      <c r="DJ115" s="137">
        <v>0</v>
      </c>
      <c r="DK115" s="137">
        <v>0</v>
      </c>
      <c r="DL115" s="137">
        <v>0</v>
      </c>
      <c r="DM115" s="137">
        <v>0</v>
      </c>
      <c r="DN115" s="137">
        <v>0</v>
      </c>
      <c r="DO115" s="137">
        <v>0</v>
      </c>
      <c r="DP115" s="137">
        <v>0</v>
      </c>
      <c r="DQ115" s="137">
        <v>0</v>
      </c>
      <c r="DR115" s="137">
        <v>0</v>
      </c>
      <c r="DS115" s="137">
        <v>0</v>
      </c>
      <c r="DT115" s="137">
        <v>0</v>
      </c>
      <c r="DU115" s="137">
        <v>0</v>
      </c>
      <c r="DV115" s="137">
        <v>0</v>
      </c>
      <c r="DW115" s="137">
        <v>0</v>
      </c>
      <c r="DX115" s="137">
        <v>0</v>
      </c>
      <c r="DY115" s="137">
        <v>0</v>
      </c>
      <c r="DZ115" s="137">
        <v>0</v>
      </c>
      <c r="EA115" s="137">
        <v>0</v>
      </c>
    </row>
    <row r="116" spans="1:131" x14ac:dyDescent="0.35">
      <c r="A116" s="90" t="e">
        <f>VLOOKUP(E116,'Validation List'!F117:G512,2,FALSE)</f>
        <v>#N/A</v>
      </c>
      <c r="B116" s="90" t="e">
        <f>INDEX('NEW HIRE ROSTER'!$G:$G,MATCH(RAW!F116,'NEW HIRE ROSTER'!$A:$A,0))</f>
        <v>#N/A</v>
      </c>
      <c r="C116" s="90" t="e">
        <f>INDEX('NEW HIRE ROSTER'!$F:$F,MATCH(RAW!F116,'NEW HIRE ROSTER'!$A:$A,0))</f>
        <v>#N/A</v>
      </c>
      <c r="D116" s="90" t="e">
        <f>INDEX('Validation List'!$H:$H,MATCH(RAW!E116,'Validation List'!$F:$F,0))</f>
        <v>#N/A</v>
      </c>
      <c r="G116" s="90" t="e">
        <f>VLOOKUP(F116,ML!C100:D698,2,FALSE)</f>
        <v>#N/A</v>
      </c>
      <c r="H116" s="90" t="e">
        <f>VLOOKUP(F116,ML!C100:E698,3,FALSE)</f>
        <v>#N/A</v>
      </c>
      <c r="M116" s="56"/>
      <c r="N116" s="57">
        <v>0</v>
      </c>
      <c r="O116" s="57">
        <v>0</v>
      </c>
      <c r="P116" s="57">
        <v>0</v>
      </c>
      <c r="Q116" s="57">
        <v>0</v>
      </c>
      <c r="R116" s="57">
        <v>0</v>
      </c>
      <c r="S116" s="57">
        <v>0</v>
      </c>
      <c r="T116" s="57">
        <v>0</v>
      </c>
      <c r="U116" s="57">
        <v>0</v>
      </c>
      <c r="V116" s="57">
        <v>0</v>
      </c>
      <c r="W116" s="57">
        <v>0</v>
      </c>
      <c r="X116" s="57">
        <v>0</v>
      </c>
      <c r="Y116" s="57">
        <v>0</v>
      </c>
      <c r="Z116" s="57">
        <v>0</v>
      </c>
      <c r="AA116" s="57">
        <v>0</v>
      </c>
      <c r="AB116" s="57">
        <v>0</v>
      </c>
      <c r="AC116" s="57">
        <v>0</v>
      </c>
      <c r="AD116" s="57">
        <v>0</v>
      </c>
      <c r="AE116" s="57">
        <v>0</v>
      </c>
      <c r="AF116" s="57">
        <v>0</v>
      </c>
      <c r="AG116" s="57">
        <v>0</v>
      </c>
      <c r="AH116" s="57">
        <v>0</v>
      </c>
      <c r="AI116" s="57">
        <v>0</v>
      </c>
      <c r="AJ116" s="57">
        <v>0</v>
      </c>
      <c r="AK116" s="57">
        <v>0</v>
      </c>
      <c r="AL116" s="57">
        <v>0</v>
      </c>
      <c r="AM116" s="57">
        <v>0</v>
      </c>
      <c r="AN116" s="57">
        <v>0</v>
      </c>
      <c r="AO116" s="57">
        <v>0</v>
      </c>
      <c r="AP116" s="57">
        <v>0</v>
      </c>
      <c r="AQ116" s="57">
        <v>0</v>
      </c>
      <c r="AR116" s="57">
        <v>0</v>
      </c>
      <c r="AS116" s="57">
        <v>0</v>
      </c>
      <c r="AT116" s="57">
        <v>0</v>
      </c>
      <c r="AU116" s="57">
        <v>0</v>
      </c>
      <c r="AV116" s="57">
        <v>0</v>
      </c>
      <c r="AW116" s="57">
        <v>0</v>
      </c>
      <c r="AX116" s="57">
        <v>0</v>
      </c>
      <c r="AY116" s="57">
        <v>0</v>
      </c>
      <c r="AZ116" s="57">
        <v>0</v>
      </c>
      <c r="BA116" s="57">
        <v>0</v>
      </c>
      <c r="BB116" s="57">
        <v>0</v>
      </c>
      <c r="BC116" s="57">
        <v>0</v>
      </c>
      <c r="BD116" s="57">
        <v>0</v>
      </c>
      <c r="BE116" s="57">
        <v>0</v>
      </c>
      <c r="BF116" s="57">
        <v>0</v>
      </c>
      <c r="BG116" s="57">
        <v>0</v>
      </c>
      <c r="BH116" s="57">
        <v>0</v>
      </c>
      <c r="BI116" s="57">
        <v>0</v>
      </c>
      <c r="BJ116" s="57">
        <v>0</v>
      </c>
      <c r="BK116" s="57">
        <v>0</v>
      </c>
      <c r="BL116" s="57">
        <v>0</v>
      </c>
      <c r="BM116" s="57">
        <v>0</v>
      </c>
      <c r="BN116" s="57">
        <v>0</v>
      </c>
      <c r="BO116" s="57">
        <v>0</v>
      </c>
      <c r="BP116" s="57">
        <v>0</v>
      </c>
      <c r="BQ116" s="57">
        <v>0</v>
      </c>
      <c r="BR116" s="57">
        <v>0</v>
      </c>
      <c r="BS116" s="57">
        <v>0</v>
      </c>
      <c r="BT116" s="57">
        <v>0</v>
      </c>
      <c r="BU116" s="57">
        <v>0</v>
      </c>
      <c r="BV116" s="57">
        <v>0</v>
      </c>
      <c r="BW116" s="57">
        <v>0</v>
      </c>
      <c r="BX116" s="57">
        <v>0</v>
      </c>
      <c r="BY116" s="57">
        <v>0</v>
      </c>
      <c r="BZ116" s="57">
        <v>0</v>
      </c>
      <c r="CA116" s="57">
        <v>0</v>
      </c>
      <c r="CB116" s="57">
        <v>0</v>
      </c>
      <c r="CC116" s="57">
        <v>0</v>
      </c>
      <c r="CD116" s="57">
        <v>0</v>
      </c>
      <c r="CE116" s="57">
        <v>0</v>
      </c>
      <c r="CF116" s="57">
        <v>0</v>
      </c>
      <c r="CG116" s="57">
        <v>0</v>
      </c>
      <c r="CH116" s="57">
        <v>0</v>
      </c>
      <c r="CI116" s="57">
        <v>0</v>
      </c>
      <c r="CJ116" s="57">
        <v>0</v>
      </c>
      <c r="CK116" s="57">
        <v>0</v>
      </c>
      <c r="CL116" s="57">
        <v>0</v>
      </c>
      <c r="CM116" s="57">
        <v>0</v>
      </c>
      <c r="CN116" s="57">
        <v>0</v>
      </c>
      <c r="CO116" s="57">
        <v>0</v>
      </c>
      <c r="CP116" s="57">
        <v>0</v>
      </c>
      <c r="CQ116" s="57">
        <v>0</v>
      </c>
      <c r="CR116" s="57">
        <v>0</v>
      </c>
      <c r="CS116" s="57">
        <v>0</v>
      </c>
      <c r="CT116" s="57">
        <v>0</v>
      </c>
      <c r="CU116" s="57">
        <v>0</v>
      </c>
      <c r="CV116" s="57">
        <v>0</v>
      </c>
      <c r="CW116" s="57">
        <v>0</v>
      </c>
      <c r="CX116" s="57">
        <v>0</v>
      </c>
      <c r="CY116" s="57">
        <v>0</v>
      </c>
      <c r="CZ116" s="57">
        <v>0</v>
      </c>
      <c r="DA116" s="57">
        <v>0</v>
      </c>
      <c r="DB116" s="57">
        <v>0</v>
      </c>
      <c r="DC116" s="57">
        <v>0</v>
      </c>
      <c r="DD116" s="57">
        <v>0</v>
      </c>
      <c r="DE116" s="57">
        <v>0</v>
      </c>
      <c r="DF116" s="57">
        <v>0</v>
      </c>
      <c r="DG116" s="137">
        <v>0</v>
      </c>
      <c r="DH116" s="137">
        <v>0</v>
      </c>
      <c r="DI116" s="137">
        <v>0</v>
      </c>
      <c r="DJ116" s="137">
        <v>0</v>
      </c>
      <c r="DK116" s="137">
        <v>0</v>
      </c>
      <c r="DL116" s="137">
        <v>0</v>
      </c>
      <c r="DM116" s="137">
        <v>0</v>
      </c>
      <c r="DN116" s="137">
        <v>0</v>
      </c>
      <c r="DO116" s="137">
        <v>0</v>
      </c>
      <c r="DP116" s="137">
        <v>0</v>
      </c>
      <c r="DQ116" s="137">
        <v>0</v>
      </c>
      <c r="DR116" s="137">
        <v>0</v>
      </c>
      <c r="DS116" s="137">
        <v>0</v>
      </c>
      <c r="DT116" s="137">
        <v>0</v>
      </c>
      <c r="DU116" s="137">
        <v>0</v>
      </c>
      <c r="DV116" s="137">
        <v>0</v>
      </c>
      <c r="DW116" s="137">
        <v>0</v>
      </c>
      <c r="DX116" s="137">
        <v>0</v>
      </c>
      <c r="DY116" s="137">
        <v>0</v>
      </c>
      <c r="DZ116" s="137">
        <v>0</v>
      </c>
      <c r="EA116" s="137">
        <v>0</v>
      </c>
    </row>
    <row r="117" spans="1:131" x14ac:dyDescent="0.35">
      <c r="A117" s="90" t="e">
        <f>VLOOKUP(E117,'Validation List'!F118:G513,2,FALSE)</f>
        <v>#N/A</v>
      </c>
      <c r="B117" s="90" t="e">
        <f>INDEX('NEW HIRE ROSTER'!$G:$G,MATCH(RAW!F117,'NEW HIRE ROSTER'!$A:$A,0))</f>
        <v>#N/A</v>
      </c>
      <c r="C117" s="90" t="e">
        <f>INDEX('NEW HIRE ROSTER'!$F:$F,MATCH(RAW!F117,'NEW HIRE ROSTER'!$A:$A,0))</f>
        <v>#N/A</v>
      </c>
      <c r="D117" s="90" t="e">
        <f>INDEX('Validation List'!$H:$H,MATCH(RAW!E117,'Validation List'!$F:$F,0))</f>
        <v>#N/A</v>
      </c>
      <c r="G117" s="90" t="e">
        <f>VLOOKUP(F117,ML!C101:D699,2,FALSE)</f>
        <v>#N/A</v>
      </c>
      <c r="H117" s="90" t="e">
        <f>VLOOKUP(F117,ML!C101:E699,3,FALSE)</f>
        <v>#N/A</v>
      </c>
      <c r="M117" s="56"/>
      <c r="N117" s="57">
        <v>0</v>
      </c>
      <c r="O117" s="57">
        <v>0</v>
      </c>
      <c r="P117" s="57">
        <v>0</v>
      </c>
      <c r="Q117" s="57">
        <v>0</v>
      </c>
      <c r="R117" s="57">
        <v>0</v>
      </c>
      <c r="S117" s="57">
        <v>0</v>
      </c>
      <c r="T117" s="57">
        <v>0</v>
      </c>
      <c r="U117" s="57">
        <v>0</v>
      </c>
      <c r="V117" s="57">
        <v>0</v>
      </c>
      <c r="W117" s="57">
        <v>0</v>
      </c>
      <c r="X117" s="57">
        <v>0</v>
      </c>
      <c r="Y117" s="57">
        <v>0</v>
      </c>
      <c r="Z117" s="57">
        <v>0</v>
      </c>
      <c r="AA117" s="57">
        <v>0</v>
      </c>
      <c r="AB117" s="57">
        <v>0</v>
      </c>
      <c r="AC117" s="57">
        <v>0</v>
      </c>
      <c r="AD117" s="57">
        <v>0</v>
      </c>
      <c r="AE117" s="57">
        <v>0</v>
      </c>
      <c r="AF117" s="57">
        <v>0</v>
      </c>
      <c r="AG117" s="57">
        <v>0</v>
      </c>
      <c r="AH117" s="57">
        <v>0</v>
      </c>
      <c r="AI117" s="57">
        <v>0</v>
      </c>
      <c r="AJ117" s="57">
        <v>0</v>
      </c>
      <c r="AK117" s="57">
        <v>0</v>
      </c>
      <c r="AL117" s="57">
        <v>0</v>
      </c>
      <c r="AM117" s="57">
        <v>0</v>
      </c>
      <c r="AN117" s="57">
        <v>0</v>
      </c>
      <c r="AO117" s="57">
        <v>0</v>
      </c>
      <c r="AP117" s="57">
        <v>0</v>
      </c>
      <c r="AQ117" s="57">
        <v>0</v>
      </c>
      <c r="AR117" s="57">
        <v>0</v>
      </c>
      <c r="AS117" s="57">
        <v>0</v>
      </c>
      <c r="AT117" s="57">
        <v>0</v>
      </c>
      <c r="AU117" s="57">
        <v>0</v>
      </c>
      <c r="AV117" s="57">
        <v>0</v>
      </c>
      <c r="AW117" s="57">
        <v>0</v>
      </c>
      <c r="AX117" s="57">
        <v>0</v>
      </c>
      <c r="AY117" s="57">
        <v>0</v>
      </c>
      <c r="AZ117" s="57">
        <v>0</v>
      </c>
      <c r="BA117" s="57">
        <v>0</v>
      </c>
      <c r="BB117" s="57">
        <v>0</v>
      </c>
      <c r="BC117" s="57">
        <v>0</v>
      </c>
      <c r="BD117" s="57">
        <v>0</v>
      </c>
      <c r="BE117" s="57">
        <v>0</v>
      </c>
      <c r="BF117" s="57">
        <v>0</v>
      </c>
      <c r="BG117" s="57">
        <v>0</v>
      </c>
      <c r="BH117" s="57">
        <v>0</v>
      </c>
      <c r="BI117" s="57">
        <v>0</v>
      </c>
      <c r="BJ117" s="57">
        <v>0</v>
      </c>
      <c r="BK117" s="57">
        <v>0</v>
      </c>
      <c r="BL117" s="57">
        <v>0</v>
      </c>
      <c r="BM117" s="57">
        <v>0</v>
      </c>
      <c r="BN117" s="57">
        <v>0</v>
      </c>
      <c r="BO117" s="57">
        <v>0</v>
      </c>
      <c r="BP117" s="57">
        <v>0</v>
      </c>
      <c r="BQ117" s="57">
        <v>0</v>
      </c>
      <c r="BR117" s="57">
        <v>0</v>
      </c>
      <c r="BS117" s="57">
        <v>0</v>
      </c>
      <c r="BT117" s="57">
        <v>0</v>
      </c>
      <c r="BU117" s="57">
        <v>0</v>
      </c>
      <c r="BV117" s="57">
        <v>0</v>
      </c>
      <c r="BW117" s="57">
        <v>0</v>
      </c>
      <c r="BX117" s="57">
        <v>0</v>
      </c>
      <c r="BY117" s="57">
        <v>0</v>
      </c>
      <c r="BZ117" s="57">
        <v>0</v>
      </c>
      <c r="CA117" s="57">
        <v>0</v>
      </c>
      <c r="CB117" s="57">
        <v>0</v>
      </c>
      <c r="CC117" s="57">
        <v>0</v>
      </c>
      <c r="CD117" s="57">
        <v>0</v>
      </c>
      <c r="CE117" s="57">
        <v>0</v>
      </c>
      <c r="CF117" s="57">
        <v>0</v>
      </c>
      <c r="CG117" s="57">
        <v>0</v>
      </c>
      <c r="CH117" s="57">
        <v>0</v>
      </c>
      <c r="CI117" s="57">
        <v>0</v>
      </c>
      <c r="CJ117" s="57">
        <v>0</v>
      </c>
      <c r="CK117" s="57">
        <v>0</v>
      </c>
      <c r="CL117" s="57">
        <v>0</v>
      </c>
      <c r="CM117" s="57">
        <v>0</v>
      </c>
      <c r="CN117" s="57">
        <v>0</v>
      </c>
      <c r="CO117" s="57">
        <v>0</v>
      </c>
      <c r="CP117" s="57">
        <v>0</v>
      </c>
      <c r="CQ117" s="57">
        <v>0</v>
      </c>
      <c r="CR117" s="57">
        <v>0</v>
      </c>
      <c r="CS117" s="57">
        <v>0</v>
      </c>
      <c r="CT117" s="57">
        <v>0</v>
      </c>
      <c r="CU117" s="57">
        <v>0</v>
      </c>
      <c r="CV117" s="57">
        <v>0</v>
      </c>
      <c r="CW117" s="57">
        <v>0</v>
      </c>
      <c r="CX117" s="57">
        <v>0</v>
      </c>
      <c r="CY117" s="57">
        <v>0</v>
      </c>
      <c r="CZ117" s="57">
        <v>0</v>
      </c>
      <c r="DA117" s="57">
        <v>0</v>
      </c>
      <c r="DB117" s="57">
        <v>0</v>
      </c>
      <c r="DC117" s="57">
        <v>0</v>
      </c>
      <c r="DD117" s="57">
        <v>0</v>
      </c>
      <c r="DE117" s="57">
        <v>0</v>
      </c>
      <c r="DF117" s="57">
        <v>0</v>
      </c>
      <c r="DG117" s="137">
        <v>0</v>
      </c>
      <c r="DH117" s="137">
        <v>0</v>
      </c>
      <c r="DI117" s="137">
        <v>0</v>
      </c>
      <c r="DJ117" s="137">
        <v>0</v>
      </c>
      <c r="DK117" s="137">
        <v>0</v>
      </c>
      <c r="DL117" s="137">
        <v>0</v>
      </c>
      <c r="DM117" s="137">
        <v>0</v>
      </c>
      <c r="DN117" s="137">
        <v>0</v>
      </c>
      <c r="DO117" s="137">
        <v>0</v>
      </c>
      <c r="DP117" s="137">
        <v>0</v>
      </c>
      <c r="DQ117" s="137">
        <v>0</v>
      </c>
      <c r="DR117" s="137">
        <v>0</v>
      </c>
      <c r="DS117" s="137">
        <v>0</v>
      </c>
      <c r="DT117" s="137">
        <v>0</v>
      </c>
      <c r="DU117" s="137">
        <v>0</v>
      </c>
      <c r="DV117" s="137">
        <v>0</v>
      </c>
      <c r="DW117" s="137">
        <v>0</v>
      </c>
      <c r="DX117" s="137">
        <v>0</v>
      </c>
      <c r="DY117" s="137">
        <v>0</v>
      </c>
      <c r="DZ117" s="137">
        <v>0</v>
      </c>
      <c r="EA117" s="137">
        <v>0</v>
      </c>
    </row>
    <row r="118" spans="1:131" x14ac:dyDescent="0.35">
      <c r="A118" s="90" t="e">
        <f>VLOOKUP(E118,'Validation List'!F119:G514,2,FALSE)</f>
        <v>#N/A</v>
      </c>
      <c r="B118" s="90" t="e">
        <f>INDEX('NEW HIRE ROSTER'!$G:$G,MATCH(RAW!F118,'NEW HIRE ROSTER'!$A:$A,0))</f>
        <v>#N/A</v>
      </c>
      <c r="C118" s="90" t="e">
        <f>INDEX('NEW HIRE ROSTER'!$F:$F,MATCH(RAW!F118,'NEW HIRE ROSTER'!$A:$A,0))</f>
        <v>#N/A</v>
      </c>
      <c r="D118" s="90" t="e">
        <f>INDEX('Validation List'!$H:$H,MATCH(RAW!E118,'Validation List'!$F:$F,0))</f>
        <v>#N/A</v>
      </c>
      <c r="G118" s="90" t="e">
        <f>VLOOKUP(F118,ML!C102:D700,2,FALSE)</f>
        <v>#N/A</v>
      </c>
      <c r="H118" s="90" t="e">
        <f>VLOOKUP(F118,ML!C102:E700,3,FALSE)</f>
        <v>#N/A</v>
      </c>
      <c r="M118" s="56"/>
      <c r="N118" s="57">
        <v>0</v>
      </c>
      <c r="O118" s="57">
        <v>0</v>
      </c>
      <c r="P118" s="57">
        <v>0</v>
      </c>
      <c r="Q118" s="57">
        <v>0</v>
      </c>
      <c r="R118" s="57">
        <v>0</v>
      </c>
      <c r="S118" s="57">
        <v>0</v>
      </c>
      <c r="T118" s="57">
        <v>0</v>
      </c>
      <c r="U118" s="57">
        <v>0</v>
      </c>
      <c r="V118" s="57">
        <v>0</v>
      </c>
      <c r="W118" s="57">
        <v>0</v>
      </c>
      <c r="X118" s="57">
        <v>0</v>
      </c>
      <c r="Y118" s="57">
        <v>0</v>
      </c>
      <c r="Z118" s="57">
        <v>0</v>
      </c>
      <c r="AA118" s="57">
        <v>0</v>
      </c>
      <c r="AB118" s="57">
        <v>0</v>
      </c>
      <c r="AC118" s="57">
        <v>0</v>
      </c>
      <c r="AD118" s="57">
        <v>0</v>
      </c>
      <c r="AE118" s="57">
        <v>0</v>
      </c>
      <c r="AF118" s="57">
        <v>0</v>
      </c>
      <c r="AG118" s="57">
        <v>0</v>
      </c>
      <c r="AH118" s="57">
        <v>0</v>
      </c>
      <c r="AI118" s="57">
        <v>0</v>
      </c>
      <c r="AJ118" s="57">
        <v>0</v>
      </c>
      <c r="AK118" s="57">
        <v>0</v>
      </c>
      <c r="AL118" s="57">
        <v>0</v>
      </c>
      <c r="AM118" s="57">
        <v>0</v>
      </c>
      <c r="AN118" s="57">
        <v>0</v>
      </c>
      <c r="AO118" s="57">
        <v>0</v>
      </c>
      <c r="AP118" s="57">
        <v>0</v>
      </c>
      <c r="AQ118" s="57">
        <v>0</v>
      </c>
      <c r="AR118" s="57">
        <v>0</v>
      </c>
      <c r="AS118" s="57">
        <v>0</v>
      </c>
      <c r="AT118" s="57">
        <v>0</v>
      </c>
      <c r="AU118" s="57">
        <v>0</v>
      </c>
      <c r="AV118" s="57">
        <v>0</v>
      </c>
      <c r="AW118" s="57">
        <v>0</v>
      </c>
      <c r="AX118" s="57">
        <v>0</v>
      </c>
      <c r="AY118" s="57">
        <v>0</v>
      </c>
      <c r="AZ118" s="57">
        <v>0</v>
      </c>
      <c r="BA118" s="57">
        <v>0</v>
      </c>
      <c r="BB118" s="57">
        <v>0</v>
      </c>
      <c r="BC118" s="57">
        <v>0</v>
      </c>
      <c r="BD118" s="57">
        <v>0</v>
      </c>
      <c r="BE118" s="57">
        <v>0</v>
      </c>
      <c r="BF118" s="57">
        <v>0</v>
      </c>
      <c r="BG118" s="57">
        <v>0</v>
      </c>
      <c r="BH118" s="57">
        <v>0</v>
      </c>
      <c r="BI118" s="57">
        <v>0</v>
      </c>
      <c r="BJ118" s="57">
        <v>0</v>
      </c>
      <c r="BK118" s="57">
        <v>0</v>
      </c>
      <c r="BL118" s="57">
        <v>0</v>
      </c>
      <c r="BM118" s="57">
        <v>0</v>
      </c>
      <c r="BN118" s="57">
        <v>0</v>
      </c>
      <c r="BO118" s="57">
        <v>0</v>
      </c>
      <c r="BP118" s="57">
        <v>0</v>
      </c>
      <c r="BQ118" s="57">
        <v>0</v>
      </c>
      <c r="BR118" s="57">
        <v>0</v>
      </c>
      <c r="BS118" s="57">
        <v>0</v>
      </c>
      <c r="BT118" s="57">
        <v>0</v>
      </c>
      <c r="BU118" s="57">
        <v>0</v>
      </c>
      <c r="BV118" s="57">
        <v>0</v>
      </c>
      <c r="BW118" s="57">
        <v>0</v>
      </c>
      <c r="BX118" s="57">
        <v>0</v>
      </c>
      <c r="BY118" s="57">
        <v>0</v>
      </c>
      <c r="BZ118" s="57">
        <v>0</v>
      </c>
      <c r="CA118" s="57">
        <v>0</v>
      </c>
      <c r="CB118" s="57">
        <v>0</v>
      </c>
      <c r="CC118" s="57">
        <v>0</v>
      </c>
      <c r="CD118" s="57">
        <v>0</v>
      </c>
      <c r="CE118" s="57">
        <v>0</v>
      </c>
      <c r="CF118" s="57">
        <v>0</v>
      </c>
      <c r="CG118" s="57">
        <v>0</v>
      </c>
      <c r="CH118" s="57">
        <v>0</v>
      </c>
      <c r="CI118" s="57">
        <v>0</v>
      </c>
      <c r="CJ118" s="57">
        <v>0</v>
      </c>
      <c r="CK118" s="57">
        <v>0</v>
      </c>
      <c r="CL118" s="57">
        <v>0</v>
      </c>
      <c r="CM118" s="57">
        <v>0</v>
      </c>
      <c r="CN118" s="57">
        <v>0</v>
      </c>
      <c r="CO118" s="57">
        <v>0</v>
      </c>
      <c r="CP118" s="57">
        <v>0</v>
      </c>
      <c r="CQ118" s="57">
        <v>0</v>
      </c>
      <c r="CR118" s="57">
        <v>0</v>
      </c>
      <c r="CS118" s="57">
        <v>0</v>
      </c>
      <c r="CT118" s="57">
        <v>0</v>
      </c>
      <c r="CU118" s="57">
        <v>0</v>
      </c>
      <c r="CV118" s="57">
        <v>0</v>
      </c>
      <c r="CW118" s="57">
        <v>0</v>
      </c>
      <c r="CX118" s="57">
        <v>0</v>
      </c>
      <c r="CY118" s="57">
        <v>0</v>
      </c>
      <c r="CZ118" s="57">
        <v>0</v>
      </c>
      <c r="DA118" s="57">
        <v>0</v>
      </c>
      <c r="DB118" s="57">
        <v>0</v>
      </c>
      <c r="DC118" s="57">
        <v>0</v>
      </c>
      <c r="DD118" s="57">
        <v>0</v>
      </c>
      <c r="DE118" s="57">
        <v>0</v>
      </c>
      <c r="DF118" s="57">
        <v>0</v>
      </c>
      <c r="DG118" s="137">
        <v>0</v>
      </c>
      <c r="DH118" s="137">
        <v>0</v>
      </c>
      <c r="DI118" s="137">
        <v>0</v>
      </c>
      <c r="DJ118" s="137">
        <v>0</v>
      </c>
      <c r="DK118" s="137">
        <v>0</v>
      </c>
      <c r="DL118" s="137">
        <v>0</v>
      </c>
      <c r="DM118" s="137">
        <v>0</v>
      </c>
      <c r="DN118" s="137">
        <v>0</v>
      </c>
      <c r="DO118" s="137">
        <v>0</v>
      </c>
      <c r="DP118" s="137">
        <v>0</v>
      </c>
      <c r="DQ118" s="137">
        <v>0</v>
      </c>
      <c r="DR118" s="137">
        <v>0</v>
      </c>
      <c r="DS118" s="137">
        <v>0</v>
      </c>
      <c r="DT118" s="137">
        <v>0</v>
      </c>
      <c r="DU118" s="137">
        <v>0</v>
      </c>
      <c r="DV118" s="137">
        <v>0</v>
      </c>
      <c r="DW118" s="137">
        <v>0</v>
      </c>
      <c r="DX118" s="137">
        <v>0</v>
      </c>
      <c r="DY118" s="137">
        <v>0</v>
      </c>
      <c r="DZ118" s="137">
        <v>0</v>
      </c>
      <c r="EA118" s="137">
        <v>0</v>
      </c>
    </row>
    <row r="119" spans="1:131" x14ac:dyDescent="0.35">
      <c r="A119" s="90" t="e">
        <f>VLOOKUP(E119,'Validation List'!F120:G515,2,FALSE)</f>
        <v>#N/A</v>
      </c>
      <c r="B119" s="90" t="e">
        <f>INDEX('NEW HIRE ROSTER'!$G:$G,MATCH(RAW!F119,'NEW HIRE ROSTER'!$A:$A,0))</f>
        <v>#N/A</v>
      </c>
      <c r="C119" s="90" t="e">
        <f>INDEX('NEW HIRE ROSTER'!$F:$F,MATCH(RAW!F119,'NEW HIRE ROSTER'!$A:$A,0))</f>
        <v>#N/A</v>
      </c>
      <c r="D119" s="90" t="e">
        <f>INDEX('Validation List'!$H:$H,MATCH(RAW!E119,'Validation List'!$F:$F,0))</f>
        <v>#N/A</v>
      </c>
      <c r="G119" s="90" t="e">
        <f>VLOOKUP(F119,ML!C103:D701,2,FALSE)</f>
        <v>#N/A</v>
      </c>
      <c r="H119" s="90" t="e">
        <f>VLOOKUP(F119,ML!C103:E701,3,FALSE)</f>
        <v>#N/A</v>
      </c>
      <c r="M119" s="56"/>
      <c r="N119" s="57">
        <v>0</v>
      </c>
      <c r="O119" s="57">
        <v>0</v>
      </c>
      <c r="P119" s="57">
        <v>0</v>
      </c>
      <c r="Q119" s="57">
        <v>0</v>
      </c>
      <c r="R119" s="57">
        <v>0</v>
      </c>
      <c r="S119" s="57">
        <v>0</v>
      </c>
      <c r="T119" s="57">
        <v>0</v>
      </c>
      <c r="U119" s="57">
        <v>0</v>
      </c>
      <c r="V119" s="57">
        <v>0</v>
      </c>
      <c r="W119" s="57">
        <v>0</v>
      </c>
      <c r="X119" s="57">
        <v>0</v>
      </c>
      <c r="Y119" s="57">
        <v>0</v>
      </c>
      <c r="Z119" s="57">
        <v>0</v>
      </c>
      <c r="AA119" s="57">
        <v>0</v>
      </c>
      <c r="AB119" s="57">
        <v>0</v>
      </c>
      <c r="AC119" s="57">
        <v>0</v>
      </c>
      <c r="AD119" s="57">
        <v>0</v>
      </c>
      <c r="AE119" s="57">
        <v>0</v>
      </c>
      <c r="AF119" s="57">
        <v>0</v>
      </c>
      <c r="AG119" s="57">
        <v>0</v>
      </c>
      <c r="AH119" s="57">
        <v>0</v>
      </c>
      <c r="AI119" s="57">
        <v>0</v>
      </c>
      <c r="AJ119" s="57">
        <v>0</v>
      </c>
      <c r="AK119" s="57">
        <v>0</v>
      </c>
      <c r="AL119" s="57">
        <v>0</v>
      </c>
      <c r="AM119" s="57">
        <v>0</v>
      </c>
      <c r="AN119" s="57">
        <v>0</v>
      </c>
      <c r="AO119" s="57">
        <v>0</v>
      </c>
      <c r="AP119" s="57">
        <v>0</v>
      </c>
      <c r="AQ119" s="57">
        <v>0</v>
      </c>
      <c r="AR119" s="57">
        <v>0</v>
      </c>
      <c r="AS119" s="57">
        <v>0</v>
      </c>
      <c r="AT119" s="57">
        <v>0</v>
      </c>
      <c r="AU119" s="57">
        <v>0</v>
      </c>
      <c r="AV119" s="57">
        <v>0</v>
      </c>
      <c r="AW119" s="57">
        <v>0</v>
      </c>
      <c r="AX119" s="57">
        <v>0</v>
      </c>
      <c r="AY119" s="57">
        <v>0</v>
      </c>
      <c r="AZ119" s="57">
        <v>0</v>
      </c>
      <c r="BA119" s="57">
        <v>0</v>
      </c>
      <c r="BB119" s="57">
        <v>0</v>
      </c>
      <c r="BC119" s="57">
        <v>0</v>
      </c>
      <c r="BD119" s="57">
        <v>0</v>
      </c>
      <c r="BE119" s="57">
        <v>0</v>
      </c>
      <c r="BF119" s="57">
        <v>0</v>
      </c>
      <c r="BG119" s="57">
        <v>0</v>
      </c>
      <c r="BH119" s="57">
        <v>0</v>
      </c>
      <c r="BI119" s="57">
        <v>0</v>
      </c>
      <c r="BJ119" s="57">
        <v>0</v>
      </c>
      <c r="BK119" s="57">
        <v>0</v>
      </c>
      <c r="BL119" s="57">
        <v>0</v>
      </c>
      <c r="BM119" s="57">
        <v>0</v>
      </c>
      <c r="BN119" s="57">
        <v>0</v>
      </c>
      <c r="BO119" s="57">
        <v>0</v>
      </c>
      <c r="BP119" s="57">
        <v>0</v>
      </c>
      <c r="BQ119" s="57">
        <v>0</v>
      </c>
      <c r="BR119" s="57">
        <v>0</v>
      </c>
      <c r="BS119" s="57">
        <v>0</v>
      </c>
      <c r="BT119" s="57">
        <v>0</v>
      </c>
      <c r="BU119" s="57">
        <v>0</v>
      </c>
      <c r="BV119" s="57">
        <v>0</v>
      </c>
      <c r="BW119" s="57">
        <v>0</v>
      </c>
      <c r="BX119" s="57">
        <v>0</v>
      </c>
      <c r="BY119" s="57">
        <v>0</v>
      </c>
      <c r="BZ119" s="57">
        <v>0</v>
      </c>
      <c r="CA119" s="57">
        <v>0</v>
      </c>
      <c r="CB119" s="57">
        <v>0</v>
      </c>
      <c r="CC119" s="57">
        <v>0</v>
      </c>
      <c r="CD119" s="57">
        <v>0</v>
      </c>
      <c r="CE119" s="57">
        <v>0</v>
      </c>
      <c r="CF119" s="57">
        <v>0</v>
      </c>
      <c r="CG119" s="57">
        <v>0</v>
      </c>
      <c r="CH119" s="57">
        <v>0</v>
      </c>
      <c r="CI119" s="57">
        <v>0</v>
      </c>
      <c r="CJ119" s="57">
        <v>0</v>
      </c>
      <c r="CK119" s="57">
        <v>0</v>
      </c>
      <c r="CL119" s="57">
        <v>0</v>
      </c>
      <c r="CM119" s="57">
        <v>0</v>
      </c>
      <c r="CN119" s="57">
        <v>0</v>
      </c>
      <c r="CO119" s="57">
        <v>0</v>
      </c>
      <c r="CP119" s="57">
        <v>0</v>
      </c>
      <c r="CQ119" s="57">
        <v>0</v>
      </c>
      <c r="CR119" s="57">
        <v>0</v>
      </c>
      <c r="CS119" s="57">
        <v>0</v>
      </c>
      <c r="CT119" s="57">
        <v>0</v>
      </c>
      <c r="CU119" s="57">
        <v>0</v>
      </c>
      <c r="CV119" s="57">
        <v>0</v>
      </c>
      <c r="CW119" s="57">
        <v>0</v>
      </c>
      <c r="CX119" s="57">
        <v>0</v>
      </c>
      <c r="CY119" s="57">
        <v>0</v>
      </c>
      <c r="CZ119" s="57">
        <v>0</v>
      </c>
      <c r="DA119" s="57">
        <v>0</v>
      </c>
      <c r="DB119" s="57">
        <v>0</v>
      </c>
      <c r="DC119" s="57">
        <v>0</v>
      </c>
      <c r="DD119" s="57">
        <v>0</v>
      </c>
      <c r="DE119" s="57">
        <v>0</v>
      </c>
      <c r="DF119" s="57">
        <v>0</v>
      </c>
      <c r="DG119" s="137">
        <v>0</v>
      </c>
      <c r="DH119" s="137">
        <v>0</v>
      </c>
      <c r="DI119" s="137">
        <v>0</v>
      </c>
      <c r="DJ119" s="137">
        <v>0</v>
      </c>
      <c r="DK119" s="137">
        <v>0</v>
      </c>
      <c r="DL119" s="137">
        <v>0</v>
      </c>
      <c r="DM119" s="137">
        <v>0</v>
      </c>
      <c r="DN119" s="137">
        <v>0</v>
      </c>
      <c r="DO119" s="137">
        <v>0</v>
      </c>
      <c r="DP119" s="137">
        <v>0</v>
      </c>
      <c r="DQ119" s="137">
        <v>0</v>
      </c>
      <c r="DR119" s="137">
        <v>0</v>
      </c>
      <c r="DS119" s="137">
        <v>0</v>
      </c>
      <c r="DT119" s="137">
        <v>0</v>
      </c>
      <c r="DU119" s="137">
        <v>0</v>
      </c>
      <c r="DV119" s="137">
        <v>0</v>
      </c>
      <c r="DW119" s="137">
        <v>0</v>
      </c>
      <c r="DX119" s="137">
        <v>0</v>
      </c>
      <c r="DY119" s="137">
        <v>0</v>
      </c>
      <c r="DZ119" s="137">
        <v>0</v>
      </c>
      <c r="EA119" s="137">
        <v>0</v>
      </c>
    </row>
    <row r="120" spans="1:131" x14ac:dyDescent="0.35">
      <c r="A120" s="90" t="e">
        <f>VLOOKUP(E120,'Validation List'!F121:G516,2,FALSE)</f>
        <v>#N/A</v>
      </c>
      <c r="B120" s="90" t="e">
        <f>INDEX('NEW HIRE ROSTER'!$G:$G,MATCH(RAW!F120,'NEW HIRE ROSTER'!$A:$A,0))</f>
        <v>#N/A</v>
      </c>
      <c r="C120" s="90" t="e">
        <f>INDEX('NEW HIRE ROSTER'!$F:$F,MATCH(RAW!F120,'NEW HIRE ROSTER'!$A:$A,0))</f>
        <v>#N/A</v>
      </c>
      <c r="D120" s="90" t="e">
        <f>INDEX('Validation List'!$H:$H,MATCH(RAW!E120,'Validation List'!$F:$F,0))</f>
        <v>#N/A</v>
      </c>
      <c r="G120" s="90" t="e">
        <f>VLOOKUP(F120,ML!C104:D702,2,FALSE)</f>
        <v>#N/A</v>
      </c>
      <c r="H120" s="90" t="e">
        <f>VLOOKUP(F120,ML!C104:E702,3,FALSE)</f>
        <v>#N/A</v>
      </c>
      <c r="M120" s="56"/>
      <c r="N120" s="57">
        <v>0</v>
      </c>
      <c r="O120" s="57">
        <v>0</v>
      </c>
      <c r="P120" s="57">
        <v>0</v>
      </c>
      <c r="Q120" s="57">
        <v>0</v>
      </c>
      <c r="R120" s="57">
        <v>0</v>
      </c>
      <c r="S120" s="57">
        <v>0</v>
      </c>
      <c r="T120" s="57">
        <v>0</v>
      </c>
      <c r="U120" s="57">
        <v>0</v>
      </c>
      <c r="V120" s="57">
        <v>0</v>
      </c>
      <c r="W120" s="57">
        <v>0</v>
      </c>
      <c r="X120" s="57">
        <v>0</v>
      </c>
      <c r="Y120" s="57">
        <v>0</v>
      </c>
      <c r="Z120" s="57">
        <v>0</v>
      </c>
      <c r="AA120" s="57">
        <v>0</v>
      </c>
      <c r="AB120" s="57">
        <v>0</v>
      </c>
      <c r="AC120" s="57">
        <v>0</v>
      </c>
      <c r="AD120" s="57">
        <v>0</v>
      </c>
      <c r="AE120" s="57">
        <v>0</v>
      </c>
      <c r="AF120" s="57">
        <v>0</v>
      </c>
      <c r="AG120" s="57">
        <v>0</v>
      </c>
      <c r="AH120" s="57">
        <v>0</v>
      </c>
      <c r="AI120" s="57">
        <v>0</v>
      </c>
      <c r="AJ120" s="57">
        <v>0</v>
      </c>
      <c r="AK120" s="57">
        <v>0</v>
      </c>
      <c r="AL120" s="57">
        <v>0</v>
      </c>
      <c r="AM120" s="57">
        <v>0</v>
      </c>
      <c r="AN120" s="57">
        <v>0</v>
      </c>
      <c r="AO120" s="57">
        <v>0</v>
      </c>
      <c r="AP120" s="57">
        <v>0</v>
      </c>
      <c r="AQ120" s="57">
        <v>0</v>
      </c>
      <c r="AR120" s="57">
        <v>0</v>
      </c>
      <c r="AS120" s="57">
        <v>0</v>
      </c>
      <c r="AT120" s="57">
        <v>0</v>
      </c>
      <c r="AU120" s="57">
        <v>0</v>
      </c>
      <c r="AV120" s="57">
        <v>0</v>
      </c>
      <c r="AW120" s="57">
        <v>0</v>
      </c>
      <c r="AX120" s="57">
        <v>0</v>
      </c>
      <c r="AY120" s="57">
        <v>0</v>
      </c>
      <c r="AZ120" s="57">
        <v>0</v>
      </c>
      <c r="BA120" s="57">
        <v>0</v>
      </c>
      <c r="BB120" s="57">
        <v>0</v>
      </c>
      <c r="BC120" s="57">
        <v>0</v>
      </c>
      <c r="BD120" s="57">
        <v>0</v>
      </c>
      <c r="BE120" s="57">
        <v>0</v>
      </c>
      <c r="BF120" s="57">
        <v>0</v>
      </c>
      <c r="BG120" s="57">
        <v>0</v>
      </c>
      <c r="BH120" s="57">
        <v>0</v>
      </c>
      <c r="BI120" s="57">
        <v>0</v>
      </c>
      <c r="BJ120" s="57">
        <v>0</v>
      </c>
      <c r="BK120" s="57">
        <v>0</v>
      </c>
      <c r="BL120" s="57">
        <v>0</v>
      </c>
      <c r="BM120" s="57">
        <v>0</v>
      </c>
      <c r="BN120" s="57">
        <v>0</v>
      </c>
      <c r="BO120" s="57">
        <v>0</v>
      </c>
      <c r="BP120" s="57">
        <v>0</v>
      </c>
      <c r="BQ120" s="57">
        <v>0</v>
      </c>
      <c r="BR120" s="57">
        <v>0</v>
      </c>
      <c r="BS120" s="57">
        <v>0</v>
      </c>
      <c r="BT120" s="57">
        <v>0</v>
      </c>
      <c r="BU120" s="57">
        <v>0</v>
      </c>
      <c r="BV120" s="57">
        <v>0</v>
      </c>
      <c r="BW120" s="57">
        <v>0</v>
      </c>
      <c r="BX120" s="57">
        <v>0</v>
      </c>
      <c r="BY120" s="57">
        <v>0</v>
      </c>
      <c r="BZ120" s="57">
        <v>0</v>
      </c>
      <c r="CA120" s="57">
        <v>0</v>
      </c>
      <c r="CB120" s="57">
        <v>0</v>
      </c>
      <c r="CC120" s="57">
        <v>0</v>
      </c>
      <c r="CD120" s="57">
        <v>0</v>
      </c>
      <c r="CE120" s="57">
        <v>0</v>
      </c>
      <c r="CF120" s="57">
        <v>0</v>
      </c>
      <c r="CG120" s="57">
        <v>0</v>
      </c>
      <c r="CH120" s="57">
        <v>0</v>
      </c>
      <c r="CI120" s="57">
        <v>0</v>
      </c>
      <c r="CJ120" s="57">
        <v>0</v>
      </c>
      <c r="CK120" s="57">
        <v>0</v>
      </c>
      <c r="CL120" s="57">
        <v>0</v>
      </c>
      <c r="CM120" s="57">
        <v>0</v>
      </c>
      <c r="CN120" s="57">
        <v>0</v>
      </c>
      <c r="CO120" s="57">
        <v>0</v>
      </c>
      <c r="CP120" s="57">
        <v>0</v>
      </c>
      <c r="CQ120" s="57">
        <v>0</v>
      </c>
      <c r="CR120" s="57">
        <v>0</v>
      </c>
      <c r="CS120" s="57">
        <v>0</v>
      </c>
      <c r="CT120" s="57">
        <v>0</v>
      </c>
      <c r="CU120" s="57">
        <v>0</v>
      </c>
      <c r="CV120" s="57">
        <v>0</v>
      </c>
      <c r="CW120" s="57">
        <v>0</v>
      </c>
      <c r="CX120" s="57">
        <v>0</v>
      </c>
      <c r="CY120" s="57">
        <v>0</v>
      </c>
      <c r="CZ120" s="57">
        <v>0</v>
      </c>
      <c r="DA120" s="57">
        <v>0</v>
      </c>
      <c r="DB120" s="57">
        <v>0</v>
      </c>
      <c r="DC120" s="57">
        <v>0</v>
      </c>
      <c r="DD120" s="57">
        <v>0</v>
      </c>
      <c r="DE120" s="57">
        <v>0</v>
      </c>
      <c r="DF120" s="57">
        <v>0</v>
      </c>
      <c r="DG120" s="137">
        <v>0</v>
      </c>
      <c r="DH120" s="137">
        <v>0</v>
      </c>
      <c r="DI120" s="137">
        <v>0</v>
      </c>
      <c r="DJ120" s="137">
        <v>0</v>
      </c>
      <c r="DK120" s="137">
        <v>0</v>
      </c>
      <c r="DL120" s="137">
        <v>0</v>
      </c>
      <c r="DM120" s="137">
        <v>0</v>
      </c>
      <c r="DN120" s="137">
        <v>0</v>
      </c>
      <c r="DO120" s="137">
        <v>0</v>
      </c>
      <c r="DP120" s="137">
        <v>0</v>
      </c>
      <c r="DQ120" s="137">
        <v>0</v>
      </c>
      <c r="DR120" s="137">
        <v>0</v>
      </c>
      <c r="DS120" s="137">
        <v>0</v>
      </c>
      <c r="DT120" s="137">
        <v>0</v>
      </c>
      <c r="DU120" s="137">
        <v>0</v>
      </c>
      <c r="DV120" s="137">
        <v>0</v>
      </c>
      <c r="DW120" s="137">
        <v>0</v>
      </c>
      <c r="DX120" s="137">
        <v>0</v>
      </c>
      <c r="DY120" s="137">
        <v>0</v>
      </c>
      <c r="DZ120" s="137">
        <v>0</v>
      </c>
      <c r="EA120" s="137">
        <v>0</v>
      </c>
    </row>
    <row r="121" spans="1:131" x14ac:dyDescent="0.35">
      <c r="A121" s="90" t="e">
        <f>VLOOKUP(E121,'Validation List'!F122:G517,2,FALSE)</f>
        <v>#N/A</v>
      </c>
      <c r="B121" s="90" t="e">
        <f>INDEX('NEW HIRE ROSTER'!$G:$G,MATCH(RAW!F121,'NEW HIRE ROSTER'!$A:$A,0))</f>
        <v>#N/A</v>
      </c>
      <c r="C121" s="90" t="e">
        <f>INDEX('NEW HIRE ROSTER'!$F:$F,MATCH(RAW!F121,'NEW HIRE ROSTER'!$A:$A,0))</f>
        <v>#N/A</v>
      </c>
      <c r="D121" s="90" t="e">
        <f>INDEX('Validation List'!$H:$H,MATCH(RAW!E121,'Validation List'!$F:$F,0))</f>
        <v>#N/A</v>
      </c>
      <c r="G121" s="90" t="e">
        <f>VLOOKUP(F121,ML!C105:D703,2,FALSE)</f>
        <v>#N/A</v>
      </c>
      <c r="H121" s="90" t="e">
        <f>VLOOKUP(F121,ML!C105:E703,3,FALSE)</f>
        <v>#N/A</v>
      </c>
      <c r="M121" s="56"/>
      <c r="N121" s="57">
        <v>0</v>
      </c>
      <c r="O121" s="57">
        <v>0</v>
      </c>
      <c r="P121" s="57">
        <v>0</v>
      </c>
      <c r="Q121" s="57">
        <v>0</v>
      </c>
      <c r="R121" s="57">
        <v>0</v>
      </c>
      <c r="S121" s="57">
        <v>0</v>
      </c>
      <c r="T121" s="57">
        <v>0</v>
      </c>
      <c r="U121" s="57">
        <v>0</v>
      </c>
      <c r="V121" s="57">
        <v>0</v>
      </c>
      <c r="W121" s="57">
        <v>0</v>
      </c>
      <c r="X121" s="57">
        <v>0</v>
      </c>
      <c r="Y121" s="57">
        <v>0</v>
      </c>
      <c r="Z121" s="57">
        <v>0</v>
      </c>
      <c r="AA121" s="57">
        <v>0</v>
      </c>
      <c r="AB121" s="57">
        <v>0</v>
      </c>
      <c r="AC121" s="57">
        <v>0</v>
      </c>
      <c r="AD121" s="57">
        <v>0</v>
      </c>
      <c r="AE121" s="57">
        <v>0</v>
      </c>
      <c r="AF121" s="57">
        <v>0</v>
      </c>
      <c r="AG121" s="57">
        <v>0</v>
      </c>
      <c r="AH121" s="57">
        <v>0</v>
      </c>
      <c r="AI121" s="57">
        <v>0</v>
      </c>
      <c r="AJ121" s="57">
        <v>0</v>
      </c>
      <c r="AK121" s="57">
        <v>0</v>
      </c>
      <c r="AL121" s="57">
        <v>0</v>
      </c>
      <c r="AM121" s="57">
        <v>0</v>
      </c>
      <c r="AN121" s="57">
        <v>0</v>
      </c>
      <c r="AO121" s="57">
        <v>0</v>
      </c>
      <c r="AP121" s="57">
        <v>0</v>
      </c>
      <c r="AQ121" s="57">
        <v>0</v>
      </c>
      <c r="AR121" s="57">
        <v>0</v>
      </c>
      <c r="AS121" s="57">
        <v>0</v>
      </c>
      <c r="AT121" s="57">
        <v>0</v>
      </c>
      <c r="AU121" s="57">
        <v>0</v>
      </c>
      <c r="AV121" s="57">
        <v>0</v>
      </c>
      <c r="AW121" s="57">
        <v>0</v>
      </c>
      <c r="AX121" s="57">
        <v>0</v>
      </c>
      <c r="AY121" s="57">
        <v>0</v>
      </c>
      <c r="AZ121" s="57">
        <v>0</v>
      </c>
      <c r="BA121" s="57">
        <v>0</v>
      </c>
      <c r="BB121" s="57">
        <v>0</v>
      </c>
      <c r="BC121" s="57">
        <v>0</v>
      </c>
      <c r="BD121" s="57">
        <v>0</v>
      </c>
      <c r="BE121" s="57">
        <v>0</v>
      </c>
      <c r="BF121" s="57">
        <v>0</v>
      </c>
      <c r="BG121" s="57">
        <v>0</v>
      </c>
      <c r="BH121" s="57">
        <v>0</v>
      </c>
      <c r="BI121" s="57">
        <v>0</v>
      </c>
      <c r="BJ121" s="57">
        <v>0</v>
      </c>
      <c r="BK121" s="57">
        <v>0</v>
      </c>
      <c r="BL121" s="57">
        <v>0</v>
      </c>
      <c r="BM121" s="57">
        <v>0</v>
      </c>
      <c r="BN121" s="57">
        <v>0</v>
      </c>
      <c r="BO121" s="57">
        <v>0</v>
      </c>
      <c r="BP121" s="57">
        <v>0</v>
      </c>
      <c r="BQ121" s="57">
        <v>0</v>
      </c>
      <c r="BR121" s="57">
        <v>0</v>
      </c>
      <c r="BS121" s="57">
        <v>0</v>
      </c>
      <c r="BT121" s="57">
        <v>0</v>
      </c>
      <c r="BU121" s="57">
        <v>0</v>
      </c>
      <c r="BV121" s="57">
        <v>0</v>
      </c>
      <c r="BW121" s="57">
        <v>0</v>
      </c>
      <c r="BX121" s="57">
        <v>0</v>
      </c>
      <c r="BY121" s="57">
        <v>0</v>
      </c>
      <c r="BZ121" s="57">
        <v>0</v>
      </c>
      <c r="CA121" s="57">
        <v>0</v>
      </c>
      <c r="CB121" s="57">
        <v>0</v>
      </c>
      <c r="CC121" s="57">
        <v>0</v>
      </c>
      <c r="CD121" s="57">
        <v>0</v>
      </c>
      <c r="CE121" s="57">
        <v>0</v>
      </c>
      <c r="CF121" s="57">
        <v>0</v>
      </c>
      <c r="CG121" s="57">
        <v>0</v>
      </c>
      <c r="CH121" s="57">
        <v>0</v>
      </c>
      <c r="CI121" s="57">
        <v>0</v>
      </c>
      <c r="CJ121" s="57">
        <v>0</v>
      </c>
      <c r="CK121" s="57">
        <v>0</v>
      </c>
      <c r="CL121" s="57">
        <v>0</v>
      </c>
      <c r="CM121" s="57">
        <v>0</v>
      </c>
      <c r="CN121" s="57">
        <v>0</v>
      </c>
      <c r="CO121" s="57">
        <v>0</v>
      </c>
      <c r="CP121" s="57">
        <v>0</v>
      </c>
      <c r="CQ121" s="57">
        <v>0</v>
      </c>
      <c r="CR121" s="57">
        <v>0</v>
      </c>
      <c r="CS121" s="57">
        <v>0</v>
      </c>
      <c r="CT121" s="57">
        <v>0</v>
      </c>
      <c r="CU121" s="57">
        <v>0</v>
      </c>
      <c r="CV121" s="57">
        <v>0</v>
      </c>
      <c r="CW121" s="57">
        <v>0</v>
      </c>
      <c r="CX121" s="57">
        <v>0</v>
      </c>
      <c r="CY121" s="57">
        <v>0</v>
      </c>
      <c r="CZ121" s="57">
        <v>0</v>
      </c>
      <c r="DA121" s="57">
        <v>0</v>
      </c>
      <c r="DB121" s="57">
        <v>0</v>
      </c>
      <c r="DC121" s="57">
        <v>0</v>
      </c>
      <c r="DD121" s="57">
        <v>0</v>
      </c>
      <c r="DE121" s="57">
        <v>0</v>
      </c>
      <c r="DF121" s="57">
        <v>0</v>
      </c>
      <c r="DG121" s="137">
        <v>0</v>
      </c>
      <c r="DH121" s="137">
        <v>0</v>
      </c>
      <c r="DI121" s="137">
        <v>0</v>
      </c>
      <c r="DJ121" s="137">
        <v>0</v>
      </c>
      <c r="DK121" s="137">
        <v>0</v>
      </c>
      <c r="DL121" s="137">
        <v>0</v>
      </c>
      <c r="DM121" s="137">
        <v>0</v>
      </c>
      <c r="DN121" s="137">
        <v>0</v>
      </c>
      <c r="DO121" s="137">
        <v>0</v>
      </c>
      <c r="DP121" s="137">
        <v>0</v>
      </c>
      <c r="DQ121" s="137">
        <v>0</v>
      </c>
      <c r="DR121" s="137">
        <v>0</v>
      </c>
      <c r="DS121" s="137">
        <v>0</v>
      </c>
      <c r="DT121" s="137">
        <v>0</v>
      </c>
      <c r="DU121" s="137">
        <v>0</v>
      </c>
      <c r="DV121" s="137">
        <v>0</v>
      </c>
      <c r="DW121" s="137">
        <v>0</v>
      </c>
      <c r="DX121" s="137">
        <v>0</v>
      </c>
      <c r="DY121" s="137">
        <v>0</v>
      </c>
      <c r="DZ121" s="137">
        <v>0</v>
      </c>
      <c r="EA121" s="137">
        <v>0</v>
      </c>
    </row>
    <row r="122" spans="1:131" x14ac:dyDescent="0.35">
      <c r="A122" s="90" t="e">
        <f>VLOOKUP(E122,'Validation List'!F123:G518,2,FALSE)</f>
        <v>#N/A</v>
      </c>
      <c r="B122" s="90" t="e">
        <f>INDEX('NEW HIRE ROSTER'!$G:$G,MATCH(RAW!F122,'NEW HIRE ROSTER'!$A:$A,0))</f>
        <v>#N/A</v>
      </c>
      <c r="C122" s="90" t="e">
        <f>INDEX('NEW HIRE ROSTER'!$F:$F,MATCH(RAW!F122,'NEW HIRE ROSTER'!$A:$A,0))</f>
        <v>#N/A</v>
      </c>
      <c r="D122" s="90" t="e">
        <f>INDEX('Validation List'!$H:$H,MATCH(RAW!E122,'Validation List'!$F:$F,0))</f>
        <v>#N/A</v>
      </c>
      <c r="G122" s="90" t="e">
        <f>VLOOKUP(F122,ML!C106:D704,2,FALSE)</f>
        <v>#N/A</v>
      </c>
      <c r="H122" s="90" t="e">
        <f>VLOOKUP(F122,ML!C106:E704,3,FALSE)</f>
        <v>#N/A</v>
      </c>
      <c r="M122" s="56"/>
      <c r="N122" s="57">
        <v>0</v>
      </c>
      <c r="O122" s="57">
        <v>0</v>
      </c>
      <c r="P122" s="57">
        <v>0</v>
      </c>
      <c r="Q122" s="57">
        <v>0</v>
      </c>
      <c r="R122" s="57">
        <v>0</v>
      </c>
      <c r="S122" s="57">
        <v>0</v>
      </c>
      <c r="T122" s="57">
        <v>0</v>
      </c>
      <c r="U122" s="57">
        <v>0</v>
      </c>
      <c r="V122" s="57">
        <v>0</v>
      </c>
      <c r="W122" s="57">
        <v>0</v>
      </c>
      <c r="X122" s="57">
        <v>0</v>
      </c>
      <c r="Y122" s="57">
        <v>0</v>
      </c>
      <c r="Z122" s="57">
        <v>0</v>
      </c>
      <c r="AA122" s="57">
        <v>0</v>
      </c>
      <c r="AB122" s="57">
        <v>0</v>
      </c>
      <c r="AC122" s="57">
        <v>0</v>
      </c>
      <c r="AD122" s="57">
        <v>0</v>
      </c>
      <c r="AE122" s="57">
        <v>0</v>
      </c>
      <c r="AF122" s="57">
        <v>0</v>
      </c>
      <c r="AG122" s="57">
        <v>0</v>
      </c>
      <c r="AH122" s="57">
        <v>0</v>
      </c>
      <c r="AI122" s="57">
        <v>0</v>
      </c>
      <c r="AJ122" s="57">
        <v>0</v>
      </c>
      <c r="AK122" s="57">
        <v>0</v>
      </c>
      <c r="AL122" s="57">
        <v>0</v>
      </c>
      <c r="AM122" s="57">
        <v>0</v>
      </c>
      <c r="AN122" s="57">
        <v>0</v>
      </c>
      <c r="AO122" s="57">
        <v>0</v>
      </c>
      <c r="AP122" s="57">
        <v>0</v>
      </c>
      <c r="AQ122" s="57">
        <v>0</v>
      </c>
      <c r="AR122" s="57">
        <v>0</v>
      </c>
      <c r="AS122" s="57">
        <v>0</v>
      </c>
      <c r="AT122" s="57">
        <v>0</v>
      </c>
      <c r="AU122" s="57">
        <v>0</v>
      </c>
      <c r="AV122" s="57">
        <v>0</v>
      </c>
      <c r="AW122" s="57">
        <v>0</v>
      </c>
      <c r="AX122" s="57">
        <v>0</v>
      </c>
      <c r="AY122" s="57">
        <v>0</v>
      </c>
      <c r="AZ122" s="57">
        <v>0</v>
      </c>
      <c r="BA122" s="57">
        <v>0</v>
      </c>
      <c r="BB122" s="57">
        <v>0</v>
      </c>
      <c r="BC122" s="57">
        <v>0</v>
      </c>
      <c r="BD122" s="57">
        <v>0</v>
      </c>
      <c r="BE122" s="57">
        <v>0</v>
      </c>
      <c r="BF122" s="57">
        <v>0</v>
      </c>
      <c r="BG122" s="57">
        <v>0</v>
      </c>
      <c r="BH122" s="57">
        <v>0</v>
      </c>
      <c r="BI122" s="57">
        <v>0</v>
      </c>
      <c r="BJ122" s="57">
        <v>0</v>
      </c>
      <c r="BK122" s="57">
        <v>0</v>
      </c>
      <c r="BL122" s="57">
        <v>0</v>
      </c>
      <c r="BM122" s="57">
        <v>0</v>
      </c>
      <c r="BN122" s="57">
        <v>0</v>
      </c>
      <c r="BO122" s="57">
        <v>0</v>
      </c>
      <c r="BP122" s="57">
        <v>0</v>
      </c>
      <c r="BQ122" s="57">
        <v>0</v>
      </c>
      <c r="BR122" s="57">
        <v>0</v>
      </c>
      <c r="BS122" s="57">
        <v>0</v>
      </c>
      <c r="BT122" s="57">
        <v>0</v>
      </c>
      <c r="BU122" s="57">
        <v>0</v>
      </c>
      <c r="BV122" s="57">
        <v>0</v>
      </c>
      <c r="BW122" s="57">
        <v>0</v>
      </c>
      <c r="BX122" s="57">
        <v>0</v>
      </c>
      <c r="BY122" s="57">
        <v>0</v>
      </c>
      <c r="BZ122" s="57">
        <v>0</v>
      </c>
      <c r="CA122" s="57">
        <v>0</v>
      </c>
      <c r="CB122" s="57">
        <v>0</v>
      </c>
      <c r="CC122" s="57">
        <v>0</v>
      </c>
      <c r="CD122" s="57">
        <v>0</v>
      </c>
      <c r="CE122" s="57">
        <v>0</v>
      </c>
      <c r="CF122" s="57">
        <v>0</v>
      </c>
      <c r="CG122" s="57">
        <v>0</v>
      </c>
      <c r="CH122" s="57">
        <v>0</v>
      </c>
      <c r="CI122" s="57">
        <v>0</v>
      </c>
      <c r="CJ122" s="57">
        <v>0</v>
      </c>
      <c r="CK122" s="57">
        <v>0</v>
      </c>
      <c r="CL122" s="57">
        <v>0</v>
      </c>
      <c r="CM122" s="57">
        <v>0</v>
      </c>
      <c r="CN122" s="57">
        <v>0</v>
      </c>
      <c r="CO122" s="57">
        <v>0</v>
      </c>
      <c r="CP122" s="57">
        <v>0</v>
      </c>
      <c r="CQ122" s="57">
        <v>0</v>
      </c>
      <c r="CR122" s="57">
        <v>0</v>
      </c>
      <c r="CS122" s="57">
        <v>0</v>
      </c>
      <c r="CT122" s="57">
        <v>0</v>
      </c>
      <c r="CU122" s="57">
        <v>0</v>
      </c>
      <c r="CV122" s="57">
        <v>0</v>
      </c>
      <c r="CW122" s="57">
        <v>0</v>
      </c>
      <c r="CX122" s="57">
        <v>0</v>
      </c>
      <c r="CY122" s="57">
        <v>0</v>
      </c>
      <c r="CZ122" s="57">
        <v>0</v>
      </c>
      <c r="DA122" s="57">
        <v>0</v>
      </c>
      <c r="DB122" s="57">
        <v>0</v>
      </c>
      <c r="DC122" s="57">
        <v>0</v>
      </c>
      <c r="DD122" s="57">
        <v>0</v>
      </c>
      <c r="DE122" s="57">
        <v>0</v>
      </c>
      <c r="DF122" s="57">
        <v>0</v>
      </c>
      <c r="DG122" s="137">
        <v>0</v>
      </c>
      <c r="DH122" s="137">
        <v>0</v>
      </c>
      <c r="DI122" s="137">
        <v>0</v>
      </c>
      <c r="DJ122" s="137">
        <v>0</v>
      </c>
      <c r="DK122" s="137">
        <v>0</v>
      </c>
      <c r="DL122" s="137">
        <v>0</v>
      </c>
      <c r="DM122" s="137">
        <v>0</v>
      </c>
      <c r="DN122" s="137">
        <v>0</v>
      </c>
      <c r="DO122" s="137">
        <v>0</v>
      </c>
      <c r="DP122" s="137">
        <v>0</v>
      </c>
      <c r="DQ122" s="137">
        <v>0</v>
      </c>
      <c r="DR122" s="137">
        <v>0</v>
      </c>
      <c r="DS122" s="137">
        <v>0</v>
      </c>
      <c r="DT122" s="137">
        <v>0</v>
      </c>
      <c r="DU122" s="137">
        <v>0</v>
      </c>
      <c r="DV122" s="137">
        <v>0</v>
      </c>
      <c r="DW122" s="137">
        <v>0</v>
      </c>
      <c r="DX122" s="137">
        <v>0</v>
      </c>
      <c r="DY122" s="137">
        <v>0</v>
      </c>
      <c r="DZ122" s="137">
        <v>0</v>
      </c>
      <c r="EA122" s="137">
        <v>0</v>
      </c>
    </row>
    <row r="123" spans="1:131" x14ac:dyDescent="0.35">
      <c r="A123" s="90" t="e">
        <f>VLOOKUP(E123,'Validation List'!F124:G519,2,FALSE)</f>
        <v>#N/A</v>
      </c>
      <c r="B123" s="90" t="e">
        <f>INDEX('NEW HIRE ROSTER'!$G:$G,MATCH(RAW!F123,'NEW HIRE ROSTER'!$A:$A,0))</f>
        <v>#N/A</v>
      </c>
      <c r="C123" s="90" t="e">
        <f>INDEX('NEW HIRE ROSTER'!$F:$F,MATCH(RAW!F123,'NEW HIRE ROSTER'!$A:$A,0))</f>
        <v>#N/A</v>
      </c>
      <c r="D123" s="90" t="e">
        <f>INDEX('Validation List'!$H:$H,MATCH(RAW!E123,'Validation List'!$F:$F,0))</f>
        <v>#N/A</v>
      </c>
      <c r="G123" s="90" t="e">
        <f>VLOOKUP(F123,ML!C107:D705,2,FALSE)</f>
        <v>#N/A</v>
      </c>
      <c r="H123" s="90" t="e">
        <f>VLOOKUP(F123,ML!C107:E705,3,FALSE)</f>
        <v>#N/A</v>
      </c>
      <c r="M123" s="56"/>
      <c r="N123" s="57">
        <v>0</v>
      </c>
      <c r="O123" s="57">
        <v>0</v>
      </c>
      <c r="P123" s="57">
        <v>0</v>
      </c>
      <c r="Q123" s="57">
        <v>0</v>
      </c>
      <c r="R123" s="57">
        <v>0</v>
      </c>
      <c r="S123" s="57">
        <v>0</v>
      </c>
      <c r="T123" s="57">
        <v>0</v>
      </c>
      <c r="U123" s="57">
        <v>0</v>
      </c>
      <c r="V123" s="57">
        <v>0</v>
      </c>
      <c r="W123" s="57">
        <v>0</v>
      </c>
      <c r="X123" s="57">
        <v>0</v>
      </c>
      <c r="Y123" s="57">
        <v>0</v>
      </c>
      <c r="Z123" s="57">
        <v>0</v>
      </c>
      <c r="AA123" s="57">
        <v>0</v>
      </c>
      <c r="AB123" s="57">
        <v>0</v>
      </c>
      <c r="AC123" s="57">
        <v>0</v>
      </c>
      <c r="AD123" s="57">
        <v>0</v>
      </c>
      <c r="AE123" s="57">
        <v>0</v>
      </c>
      <c r="AF123" s="57">
        <v>0</v>
      </c>
      <c r="AG123" s="57">
        <v>0</v>
      </c>
      <c r="AH123" s="57">
        <v>0</v>
      </c>
      <c r="AI123" s="57">
        <v>0</v>
      </c>
      <c r="AJ123" s="57">
        <v>0</v>
      </c>
      <c r="AK123" s="57">
        <v>0</v>
      </c>
      <c r="AL123" s="57">
        <v>0</v>
      </c>
      <c r="AM123" s="57">
        <v>0</v>
      </c>
      <c r="AN123" s="57">
        <v>0</v>
      </c>
      <c r="AO123" s="57">
        <v>0</v>
      </c>
      <c r="AP123" s="57">
        <v>0</v>
      </c>
      <c r="AQ123" s="57">
        <v>0</v>
      </c>
      <c r="AR123" s="57">
        <v>0</v>
      </c>
      <c r="AS123" s="57">
        <v>0</v>
      </c>
      <c r="AT123" s="57">
        <v>0</v>
      </c>
      <c r="AU123" s="57">
        <v>0</v>
      </c>
      <c r="AV123" s="57">
        <v>0</v>
      </c>
      <c r="AW123" s="57">
        <v>0</v>
      </c>
      <c r="AX123" s="57">
        <v>0</v>
      </c>
      <c r="AY123" s="57">
        <v>0</v>
      </c>
      <c r="AZ123" s="57">
        <v>0</v>
      </c>
      <c r="BA123" s="57">
        <v>0</v>
      </c>
      <c r="BB123" s="57">
        <v>0</v>
      </c>
      <c r="BC123" s="57">
        <v>0</v>
      </c>
      <c r="BD123" s="57">
        <v>0</v>
      </c>
      <c r="BE123" s="57">
        <v>0</v>
      </c>
      <c r="BF123" s="57">
        <v>0</v>
      </c>
      <c r="BG123" s="57">
        <v>0</v>
      </c>
      <c r="BH123" s="57">
        <v>0</v>
      </c>
      <c r="BI123" s="57">
        <v>0</v>
      </c>
      <c r="BJ123" s="57">
        <v>0</v>
      </c>
      <c r="BK123" s="57">
        <v>0</v>
      </c>
      <c r="BL123" s="57">
        <v>0</v>
      </c>
      <c r="BM123" s="57">
        <v>0</v>
      </c>
      <c r="BN123" s="57">
        <v>0</v>
      </c>
      <c r="BO123" s="57">
        <v>0</v>
      </c>
      <c r="BP123" s="57">
        <v>0</v>
      </c>
      <c r="BQ123" s="57">
        <v>0</v>
      </c>
      <c r="BR123" s="57">
        <v>0</v>
      </c>
      <c r="BS123" s="57">
        <v>0</v>
      </c>
      <c r="BT123" s="57">
        <v>0</v>
      </c>
      <c r="BU123" s="57">
        <v>0</v>
      </c>
      <c r="BV123" s="57">
        <v>0</v>
      </c>
      <c r="BW123" s="57">
        <v>0</v>
      </c>
      <c r="BX123" s="57">
        <v>0</v>
      </c>
      <c r="BY123" s="57">
        <v>0</v>
      </c>
      <c r="BZ123" s="57">
        <v>0</v>
      </c>
      <c r="CA123" s="57">
        <v>0</v>
      </c>
      <c r="CB123" s="57">
        <v>0</v>
      </c>
      <c r="CC123" s="57">
        <v>0</v>
      </c>
      <c r="CD123" s="57">
        <v>0</v>
      </c>
      <c r="CE123" s="57">
        <v>0</v>
      </c>
      <c r="CF123" s="57">
        <v>0</v>
      </c>
      <c r="CG123" s="57">
        <v>0</v>
      </c>
      <c r="CH123" s="57">
        <v>0</v>
      </c>
      <c r="CI123" s="57">
        <v>0</v>
      </c>
      <c r="CJ123" s="57">
        <v>0</v>
      </c>
      <c r="CK123" s="57">
        <v>0</v>
      </c>
      <c r="CL123" s="57">
        <v>0</v>
      </c>
      <c r="CM123" s="57">
        <v>0</v>
      </c>
      <c r="CN123" s="57">
        <v>0</v>
      </c>
      <c r="CO123" s="57">
        <v>0</v>
      </c>
      <c r="CP123" s="57">
        <v>0</v>
      </c>
      <c r="CQ123" s="57">
        <v>0</v>
      </c>
      <c r="CR123" s="57">
        <v>0</v>
      </c>
      <c r="CS123" s="57">
        <v>0</v>
      </c>
      <c r="CT123" s="57">
        <v>0</v>
      </c>
      <c r="CU123" s="57">
        <v>0</v>
      </c>
      <c r="CV123" s="57">
        <v>0</v>
      </c>
      <c r="CW123" s="57">
        <v>0</v>
      </c>
      <c r="CX123" s="57">
        <v>0</v>
      </c>
      <c r="CY123" s="57">
        <v>0</v>
      </c>
      <c r="CZ123" s="57">
        <v>0</v>
      </c>
      <c r="DA123" s="57">
        <v>0</v>
      </c>
      <c r="DB123" s="57">
        <v>0</v>
      </c>
      <c r="DC123" s="57">
        <v>0</v>
      </c>
      <c r="DD123" s="57">
        <v>0</v>
      </c>
      <c r="DE123" s="57">
        <v>0</v>
      </c>
      <c r="DF123" s="57">
        <v>0</v>
      </c>
      <c r="DG123" s="137">
        <v>0</v>
      </c>
      <c r="DH123" s="137">
        <v>0</v>
      </c>
      <c r="DI123" s="137">
        <v>0</v>
      </c>
      <c r="DJ123" s="137">
        <v>0</v>
      </c>
      <c r="DK123" s="137">
        <v>0</v>
      </c>
      <c r="DL123" s="137">
        <v>0</v>
      </c>
      <c r="DM123" s="137">
        <v>0</v>
      </c>
      <c r="DN123" s="137">
        <v>0</v>
      </c>
      <c r="DO123" s="137">
        <v>0</v>
      </c>
      <c r="DP123" s="137">
        <v>0</v>
      </c>
      <c r="DQ123" s="137">
        <v>0</v>
      </c>
      <c r="DR123" s="137">
        <v>0</v>
      </c>
      <c r="DS123" s="137">
        <v>0</v>
      </c>
      <c r="DT123" s="137">
        <v>0</v>
      </c>
      <c r="DU123" s="137">
        <v>0</v>
      </c>
      <c r="DV123" s="137">
        <v>0</v>
      </c>
      <c r="DW123" s="137">
        <v>0</v>
      </c>
      <c r="DX123" s="137">
        <v>0</v>
      </c>
      <c r="DY123" s="137">
        <v>0</v>
      </c>
      <c r="DZ123" s="137">
        <v>0</v>
      </c>
      <c r="EA123" s="137">
        <v>0</v>
      </c>
    </row>
    <row r="124" spans="1:131" x14ac:dyDescent="0.35">
      <c r="A124" s="90" t="e">
        <f>VLOOKUP(E124,'Validation List'!F125:G520,2,FALSE)</f>
        <v>#N/A</v>
      </c>
      <c r="B124" s="90" t="e">
        <f>INDEX('NEW HIRE ROSTER'!$G:$G,MATCH(RAW!F124,'NEW HIRE ROSTER'!$A:$A,0))</f>
        <v>#N/A</v>
      </c>
      <c r="C124" s="90" t="e">
        <f>INDEX('NEW HIRE ROSTER'!$F:$F,MATCH(RAW!F124,'NEW HIRE ROSTER'!$A:$A,0))</f>
        <v>#N/A</v>
      </c>
      <c r="D124" s="90" t="e">
        <f>INDEX('Validation List'!$H:$H,MATCH(RAW!E124,'Validation List'!$F:$F,0))</f>
        <v>#N/A</v>
      </c>
      <c r="G124" s="90" t="e">
        <f>VLOOKUP(F124,ML!C108:D706,2,FALSE)</f>
        <v>#N/A</v>
      </c>
      <c r="H124" s="90" t="e">
        <f>VLOOKUP(F124,ML!C108:E706,3,FALSE)</f>
        <v>#N/A</v>
      </c>
      <c r="M124" s="56"/>
      <c r="N124" s="57">
        <v>0</v>
      </c>
      <c r="O124" s="57">
        <v>0</v>
      </c>
      <c r="P124" s="57">
        <v>0</v>
      </c>
      <c r="Q124" s="57">
        <v>0</v>
      </c>
      <c r="R124" s="57">
        <v>0</v>
      </c>
      <c r="S124" s="57">
        <v>0</v>
      </c>
      <c r="T124" s="57">
        <v>0</v>
      </c>
      <c r="U124" s="57">
        <v>0</v>
      </c>
      <c r="V124" s="57">
        <v>0</v>
      </c>
      <c r="W124" s="57">
        <v>0</v>
      </c>
      <c r="X124" s="57">
        <v>0</v>
      </c>
      <c r="Y124" s="57">
        <v>0</v>
      </c>
      <c r="Z124" s="57">
        <v>0</v>
      </c>
      <c r="AA124" s="57">
        <v>0</v>
      </c>
      <c r="AB124" s="57">
        <v>0</v>
      </c>
      <c r="AC124" s="57">
        <v>0</v>
      </c>
      <c r="AD124" s="57">
        <v>0</v>
      </c>
      <c r="AE124" s="57">
        <v>0</v>
      </c>
      <c r="AF124" s="57">
        <v>0</v>
      </c>
      <c r="AG124" s="57">
        <v>0</v>
      </c>
      <c r="AH124" s="57">
        <v>0</v>
      </c>
      <c r="AI124" s="57">
        <v>0</v>
      </c>
      <c r="AJ124" s="57">
        <v>0</v>
      </c>
      <c r="AK124" s="57">
        <v>0</v>
      </c>
      <c r="AL124" s="57">
        <v>0</v>
      </c>
      <c r="AM124" s="57">
        <v>0</v>
      </c>
      <c r="AN124" s="57">
        <v>0</v>
      </c>
      <c r="AO124" s="57">
        <v>0</v>
      </c>
      <c r="AP124" s="57">
        <v>0</v>
      </c>
      <c r="AQ124" s="57">
        <v>0</v>
      </c>
      <c r="AR124" s="57">
        <v>0</v>
      </c>
      <c r="AS124" s="57">
        <v>0</v>
      </c>
      <c r="AT124" s="57">
        <v>0</v>
      </c>
      <c r="AU124" s="57">
        <v>0</v>
      </c>
      <c r="AV124" s="57">
        <v>0</v>
      </c>
      <c r="AW124" s="57">
        <v>0</v>
      </c>
      <c r="AX124" s="57">
        <v>0</v>
      </c>
      <c r="AY124" s="57">
        <v>0</v>
      </c>
      <c r="AZ124" s="57">
        <v>0</v>
      </c>
      <c r="BA124" s="57">
        <v>0</v>
      </c>
      <c r="BB124" s="57">
        <v>0</v>
      </c>
      <c r="BC124" s="57">
        <v>0</v>
      </c>
      <c r="BD124" s="57">
        <v>0</v>
      </c>
      <c r="BE124" s="57">
        <v>0</v>
      </c>
      <c r="BF124" s="57">
        <v>0</v>
      </c>
      <c r="BG124" s="57">
        <v>0</v>
      </c>
      <c r="BH124" s="57">
        <v>0</v>
      </c>
      <c r="BI124" s="57">
        <v>0</v>
      </c>
      <c r="BJ124" s="57">
        <v>0</v>
      </c>
      <c r="BK124" s="57">
        <v>0</v>
      </c>
      <c r="BL124" s="57">
        <v>0</v>
      </c>
      <c r="BM124" s="57">
        <v>0</v>
      </c>
      <c r="BN124" s="57">
        <v>0</v>
      </c>
      <c r="BO124" s="57">
        <v>0</v>
      </c>
      <c r="BP124" s="57">
        <v>0</v>
      </c>
      <c r="BQ124" s="57">
        <v>0</v>
      </c>
      <c r="BR124" s="57">
        <v>0</v>
      </c>
      <c r="BS124" s="57">
        <v>0</v>
      </c>
      <c r="BT124" s="57">
        <v>0</v>
      </c>
      <c r="BU124" s="57">
        <v>0</v>
      </c>
      <c r="BV124" s="57">
        <v>0</v>
      </c>
      <c r="BW124" s="57">
        <v>0</v>
      </c>
      <c r="BX124" s="57">
        <v>0</v>
      </c>
      <c r="BY124" s="57">
        <v>0</v>
      </c>
      <c r="BZ124" s="57">
        <v>0</v>
      </c>
      <c r="CA124" s="57">
        <v>0</v>
      </c>
      <c r="CB124" s="57">
        <v>0</v>
      </c>
      <c r="CC124" s="57">
        <v>0</v>
      </c>
      <c r="CD124" s="57">
        <v>0</v>
      </c>
      <c r="CE124" s="57">
        <v>0</v>
      </c>
      <c r="CF124" s="57">
        <v>0</v>
      </c>
      <c r="CG124" s="57">
        <v>0</v>
      </c>
      <c r="CH124" s="57">
        <v>0</v>
      </c>
      <c r="CI124" s="57">
        <v>0</v>
      </c>
      <c r="CJ124" s="57">
        <v>0</v>
      </c>
      <c r="CK124" s="57">
        <v>0</v>
      </c>
      <c r="CL124" s="57">
        <v>0</v>
      </c>
      <c r="CM124" s="57">
        <v>0</v>
      </c>
      <c r="CN124" s="57">
        <v>0</v>
      </c>
      <c r="CO124" s="57">
        <v>0</v>
      </c>
      <c r="CP124" s="57">
        <v>0</v>
      </c>
      <c r="CQ124" s="57">
        <v>0</v>
      </c>
      <c r="CR124" s="57">
        <v>0</v>
      </c>
      <c r="CS124" s="57">
        <v>0</v>
      </c>
      <c r="CT124" s="57">
        <v>0</v>
      </c>
      <c r="CU124" s="57">
        <v>0</v>
      </c>
      <c r="CV124" s="57">
        <v>0</v>
      </c>
      <c r="CW124" s="57">
        <v>0</v>
      </c>
      <c r="CX124" s="57">
        <v>0</v>
      </c>
      <c r="CY124" s="57">
        <v>0</v>
      </c>
      <c r="CZ124" s="57">
        <v>0</v>
      </c>
      <c r="DA124" s="57">
        <v>0</v>
      </c>
      <c r="DB124" s="57">
        <v>0</v>
      </c>
      <c r="DC124" s="57">
        <v>0</v>
      </c>
      <c r="DD124" s="57">
        <v>0</v>
      </c>
      <c r="DE124" s="57">
        <v>0</v>
      </c>
      <c r="DF124" s="57">
        <v>0</v>
      </c>
      <c r="DG124" s="137">
        <v>0</v>
      </c>
      <c r="DH124" s="137">
        <v>0</v>
      </c>
      <c r="DI124" s="137">
        <v>0</v>
      </c>
      <c r="DJ124" s="137">
        <v>0</v>
      </c>
      <c r="DK124" s="137">
        <v>0</v>
      </c>
      <c r="DL124" s="137">
        <v>0</v>
      </c>
      <c r="DM124" s="137">
        <v>0</v>
      </c>
      <c r="DN124" s="137">
        <v>0</v>
      </c>
      <c r="DO124" s="137">
        <v>0</v>
      </c>
      <c r="DP124" s="137">
        <v>0</v>
      </c>
      <c r="DQ124" s="137">
        <v>0</v>
      </c>
      <c r="DR124" s="137">
        <v>0</v>
      </c>
      <c r="DS124" s="137">
        <v>0</v>
      </c>
      <c r="DT124" s="137">
        <v>0</v>
      </c>
      <c r="DU124" s="137">
        <v>0</v>
      </c>
      <c r="DV124" s="137">
        <v>0</v>
      </c>
      <c r="DW124" s="137">
        <v>0</v>
      </c>
      <c r="DX124" s="137">
        <v>0</v>
      </c>
      <c r="DY124" s="137">
        <v>0</v>
      </c>
      <c r="DZ124" s="137">
        <v>0</v>
      </c>
      <c r="EA124" s="137">
        <v>0</v>
      </c>
    </row>
    <row r="125" spans="1:131" x14ac:dyDescent="0.35">
      <c r="A125" s="90" t="e">
        <f>VLOOKUP(E125,'Validation List'!F126:G521,2,FALSE)</f>
        <v>#N/A</v>
      </c>
      <c r="B125" s="90" t="e">
        <f>INDEX('NEW HIRE ROSTER'!$G:$G,MATCH(RAW!F125,'NEW HIRE ROSTER'!$A:$A,0))</f>
        <v>#N/A</v>
      </c>
      <c r="C125" s="90" t="e">
        <f>INDEX('NEW HIRE ROSTER'!$F:$F,MATCH(RAW!F125,'NEW HIRE ROSTER'!$A:$A,0))</f>
        <v>#N/A</v>
      </c>
      <c r="D125" s="90" t="e">
        <f>INDEX('Validation List'!$H:$H,MATCH(RAW!E125,'Validation List'!$F:$F,0))</f>
        <v>#N/A</v>
      </c>
      <c r="G125" s="90" t="e">
        <f>VLOOKUP(F125,ML!C109:D707,2,FALSE)</f>
        <v>#N/A</v>
      </c>
      <c r="H125" s="90" t="e">
        <f>VLOOKUP(F125,ML!C109:E707,3,FALSE)</f>
        <v>#N/A</v>
      </c>
      <c r="M125" s="56"/>
      <c r="N125" s="57">
        <v>0</v>
      </c>
      <c r="O125" s="57">
        <v>0</v>
      </c>
      <c r="P125" s="57">
        <v>0</v>
      </c>
      <c r="Q125" s="57">
        <v>0</v>
      </c>
      <c r="R125" s="57">
        <v>0</v>
      </c>
      <c r="S125" s="57">
        <v>0</v>
      </c>
      <c r="T125" s="57">
        <v>0</v>
      </c>
      <c r="U125" s="57">
        <v>0</v>
      </c>
      <c r="V125" s="57">
        <v>0</v>
      </c>
      <c r="W125" s="57">
        <v>0</v>
      </c>
      <c r="X125" s="57">
        <v>0</v>
      </c>
      <c r="Y125" s="57">
        <v>0</v>
      </c>
      <c r="Z125" s="57">
        <v>0</v>
      </c>
      <c r="AA125" s="57">
        <v>0</v>
      </c>
      <c r="AB125" s="57">
        <v>0</v>
      </c>
      <c r="AC125" s="57">
        <v>0</v>
      </c>
      <c r="AD125" s="57">
        <v>0</v>
      </c>
      <c r="AE125" s="57">
        <v>0</v>
      </c>
      <c r="AF125" s="57">
        <v>0</v>
      </c>
      <c r="AG125" s="57">
        <v>0</v>
      </c>
      <c r="AH125" s="57">
        <v>0</v>
      </c>
      <c r="AI125" s="57">
        <v>0</v>
      </c>
      <c r="AJ125" s="57">
        <v>0</v>
      </c>
      <c r="AK125" s="57">
        <v>0</v>
      </c>
      <c r="AL125" s="57">
        <v>0</v>
      </c>
      <c r="AM125" s="57">
        <v>0</v>
      </c>
      <c r="AN125" s="57">
        <v>0</v>
      </c>
      <c r="AO125" s="57">
        <v>0</v>
      </c>
      <c r="AP125" s="57">
        <v>0</v>
      </c>
      <c r="AQ125" s="57">
        <v>0</v>
      </c>
      <c r="AR125" s="57">
        <v>0</v>
      </c>
      <c r="AS125" s="57">
        <v>0</v>
      </c>
      <c r="AT125" s="57">
        <v>0</v>
      </c>
      <c r="AU125" s="57">
        <v>0</v>
      </c>
      <c r="AV125" s="57">
        <v>0</v>
      </c>
      <c r="AW125" s="57">
        <v>0</v>
      </c>
      <c r="AX125" s="57">
        <v>0</v>
      </c>
      <c r="AY125" s="57">
        <v>0</v>
      </c>
      <c r="AZ125" s="57">
        <v>0</v>
      </c>
      <c r="BA125" s="57">
        <v>0</v>
      </c>
      <c r="BB125" s="57">
        <v>0</v>
      </c>
      <c r="BC125" s="57">
        <v>0</v>
      </c>
      <c r="BD125" s="57">
        <v>0</v>
      </c>
      <c r="BE125" s="57">
        <v>0</v>
      </c>
      <c r="BF125" s="57">
        <v>0</v>
      </c>
      <c r="BG125" s="57">
        <v>0</v>
      </c>
      <c r="BH125" s="57">
        <v>0</v>
      </c>
      <c r="BI125" s="57">
        <v>0</v>
      </c>
      <c r="BJ125" s="57">
        <v>0</v>
      </c>
      <c r="BK125" s="57">
        <v>0</v>
      </c>
      <c r="BL125" s="57">
        <v>0</v>
      </c>
      <c r="BM125" s="57">
        <v>0</v>
      </c>
      <c r="BN125" s="57">
        <v>0</v>
      </c>
      <c r="BO125" s="57">
        <v>0</v>
      </c>
      <c r="BP125" s="57">
        <v>0</v>
      </c>
      <c r="BQ125" s="57">
        <v>0</v>
      </c>
      <c r="BR125" s="57">
        <v>0</v>
      </c>
      <c r="BS125" s="57">
        <v>0</v>
      </c>
      <c r="BT125" s="57">
        <v>0</v>
      </c>
      <c r="BU125" s="57">
        <v>0</v>
      </c>
      <c r="BV125" s="57">
        <v>0</v>
      </c>
      <c r="BW125" s="57">
        <v>0</v>
      </c>
      <c r="BX125" s="57">
        <v>0</v>
      </c>
      <c r="BY125" s="57">
        <v>0</v>
      </c>
      <c r="BZ125" s="57">
        <v>0</v>
      </c>
      <c r="CA125" s="57">
        <v>0</v>
      </c>
      <c r="CB125" s="57">
        <v>0</v>
      </c>
      <c r="CC125" s="57">
        <v>0</v>
      </c>
      <c r="CD125" s="57">
        <v>0</v>
      </c>
      <c r="CE125" s="57">
        <v>0</v>
      </c>
      <c r="CF125" s="57">
        <v>0</v>
      </c>
      <c r="CG125" s="57">
        <v>0</v>
      </c>
      <c r="CH125" s="57">
        <v>0</v>
      </c>
      <c r="CI125" s="57">
        <v>0</v>
      </c>
      <c r="CJ125" s="57">
        <v>0</v>
      </c>
      <c r="CK125" s="57">
        <v>0</v>
      </c>
      <c r="CL125" s="57">
        <v>0</v>
      </c>
      <c r="CM125" s="57">
        <v>0</v>
      </c>
      <c r="CN125" s="57">
        <v>0</v>
      </c>
      <c r="CO125" s="57">
        <v>0</v>
      </c>
      <c r="CP125" s="57">
        <v>0</v>
      </c>
      <c r="CQ125" s="57">
        <v>0</v>
      </c>
      <c r="CR125" s="57">
        <v>0</v>
      </c>
      <c r="CS125" s="57">
        <v>0</v>
      </c>
      <c r="CT125" s="57">
        <v>0</v>
      </c>
      <c r="CU125" s="57">
        <v>0</v>
      </c>
      <c r="CV125" s="57">
        <v>0</v>
      </c>
      <c r="CW125" s="57">
        <v>0</v>
      </c>
      <c r="CX125" s="57">
        <v>0</v>
      </c>
      <c r="CY125" s="57">
        <v>0</v>
      </c>
      <c r="CZ125" s="57">
        <v>0</v>
      </c>
      <c r="DA125" s="57">
        <v>0</v>
      </c>
      <c r="DB125" s="57">
        <v>0</v>
      </c>
      <c r="DC125" s="57">
        <v>0</v>
      </c>
      <c r="DD125" s="57">
        <v>0</v>
      </c>
      <c r="DE125" s="57">
        <v>0</v>
      </c>
      <c r="DF125" s="57">
        <v>0</v>
      </c>
      <c r="DG125" s="137">
        <v>0</v>
      </c>
      <c r="DH125" s="137">
        <v>0</v>
      </c>
      <c r="DI125" s="137">
        <v>0</v>
      </c>
      <c r="DJ125" s="137">
        <v>0</v>
      </c>
      <c r="DK125" s="137">
        <v>0</v>
      </c>
      <c r="DL125" s="137">
        <v>0</v>
      </c>
      <c r="DM125" s="137">
        <v>0</v>
      </c>
      <c r="DN125" s="137">
        <v>0</v>
      </c>
      <c r="DO125" s="137">
        <v>0</v>
      </c>
      <c r="DP125" s="137">
        <v>0</v>
      </c>
      <c r="DQ125" s="137">
        <v>0</v>
      </c>
      <c r="DR125" s="137">
        <v>0</v>
      </c>
      <c r="DS125" s="137">
        <v>0</v>
      </c>
      <c r="DT125" s="137">
        <v>0</v>
      </c>
      <c r="DU125" s="137">
        <v>0</v>
      </c>
      <c r="DV125" s="137">
        <v>0</v>
      </c>
      <c r="DW125" s="137">
        <v>0</v>
      </c>
      <c r="DX125" s="137">
        <v>0</v>
      </c>
      <c r="DY125" s="137">
        <v>0</v>
      </c>
      <c r="DZ125" s="137">
        <v>0</v>
      </c>
      <c r="EA125" s="137">
        <v>0</v>
      </c>
    </row>
    <row r="126" spans="1:131" x14ac:dyDescent="0.35">
      <c r="A126" s="90" t="e">
        <f>VLOOKUP(E126,'Validation List'!F127:G522,2,FALSE)</f>
        <v>#N/A</v>
      </c>
      <c r="B126" s="90" t="e">
        <f>INDEX('NEW HIRE ROSTER'!$G:$G,MATCH(RAW!F126,'NEW HIRE ROSTER'!$A:$A,0))</f>
        <v>#N/A</v>
      </c>
      <c r="C126" s="90" t="e">
        <f>INDEX('NEW HIRE ROSTER'!$F:$F,MATCH(RAW!F126,'NEW HIRE ROSTER'!$A:$A,0))</f>
        <v>#N/A</v>
      </c>
      <c r="D126" s="90" t="e">
        <f>INDEX('Validation List'!$H:$H,MATCH(RAW!E126,'Validation List'!$F:$F,0))</f>
        <v>#N/A</v>
      </c>
      <c r="G126" s="90" t="e">
        <f>VLOOKUP(F126,ML!C110:D708,2,FALSE)</f>
        <v>#N/A</v>
      </c>
      <c r="H126" s="90" t="e">
        <f>VLOOKUP(F126,ML!C110:E708,3,FALSE)</f>
        <v>#N/A</v>
      </c>
      <c r="M126" s="56"/>
      <c r="N126" s="57">
        <v>0</v>
      </c>
      <c r="O126" s="57">
        <v>0</v>
      </c>
      <c r="P126" s="57">
        <v>0</v>
      </c>
      <c r="Q126" s="57">
        <v>0</v>
      </c>
      <c r="R126" s="57">
        <v>0</v>
      </c>
      <c r="S126" s="57">
        <v>0</v>
      </c>
      <c r="T126" s="57">
        <v>0</v>
      </c>
      <c r="U126" s="57">
        <v>0</v>
      </c>
      <c r="V126" s="57">
        <v>0</v>
      </c>
      <c r="W126" s="57">
        <v>0</v>
      </c>
      <c r="X126" s="57">
        <v>0</v>
      </c>
      <c r="Y126" s="57">
        <v>0</v>
      </c>
      <c r="Z126" s="57">
        <v>0</v>
      </c>
      <c r="AA126" s="57">
        <v>0</v>
      </c>
      <c r="AB126" s="57">
        <v>0</v>
      </c>
      <c r="AC126" s="57">
        <v>0</v>
      </c>
      <c r="AD126" s="57">
        <v>0</v>
      </c>
      <c r="AE126" s="57">
        <v>0</v>
      </c>
      <c r="AF126" s="57">
        <v>0</v>
      </c>
      <c r="AG126" s="57">
        <v>0</v>
      </c>
      <c r="AH126" s="57">
        <v>0</v>
      </c>
      <c r="AI126" s="57">
        <v>0</v>
      </c>
      <c r="AJ126" s="57">
        <v>0</v>
      </c>
      <c r="AK126" s="57">
        <v>0</v>
      </c>
      <c r="AL126" s="57">
        <v>0</v>
      </c>
      <c r="AM126" s="57">
        <v>0</v>
      </c>
      <c r="AN126" s="57">
        <v>0</v>
      </c>
      <c r="AO126" s="57">
        <v>0</v>
      </c>
      <c r="AP126" s="57">
        <v>0</v>
      </c>
      <c r="AQ126" s="57">
        <v>0</v>
      </c>
      <c r="AR126" s="57">
        <v>0</v>
      </c>
      <c r="AS126" s="57">
        <v>0</v>
      </c>
      <c r="AT126" s="57">
        <v>0</v>
      </c>
      <c r="AU126" s="57">
        <v>0</v>
      </c>
      <c r="AV126" s="57">
        <v>0</v>
      </c>
      <c r="AW126" s="57">
        <v>0</v>
      </c>
      <c r="AX126" s="57">
        <v>0</v>
      </c>
      <c r="AY126" s="57">
        <v>0</v>
      </c>
      <c r="AZ126" s="57">
        <v>0</v>
      </c>
      <c r="BA126" s="57">
        <v>0</v>
      </c>
      <c r="BB126" s="57">
        <v>0</v>
      </c>
      <c r="BC126" s="57">
        <v>0</v>
      </c>
      <c r="BD126" s="57">
        <v>0</v>
      </c>
      <c r="BE126" s="57">
        <v>0</v>
      </c>
      <c r="BF126" s="57">
        <v>0</v>
      </c>
      <c r="BG126" s="57">
        <v>0</v>
      </c>
      <c r="BH126" s="57">
        <v>0</v>
      </c>
      <c r="BI126" s="57">
        <v>0</v>
      </c>
      <c r="BJ126" s="57">
        <v>0</v>
      </c>
      <c r="BK126" s="57">
        <v>0</v>
      </c>
      <c r="BL126" s="57">
        <v>0</v>
      </c>
      <c r="BM126" s="57">
        <v>0</v>
      </c>
      <c r="BN126" s="57">
        <v>0</v>
      </c>
      <c r="BO126" s="57">
        <v>0</v>
      </c>
      <c r="BP126" s="57">
        <v>0</v>
      </c>
      <c r="BQ126" s="57">
        <v>0</v>
      </c>
      <c r="BR126" s="57">
        <v>0</v>
      </c>
      <c r="BS126" s="57">
        <v>0</v>
      </c>
      <c r="BT126" s="57">
        <v>0</v>
      </c>
      <c r="BU126" s="57">
        <v>0</v>
      </c>
      <c r="BV126" s="57">
        <v>0</v>
      </c>
      <c r="BW126" s="57">
        <v>0</v>
      </c>
      <c r="BX126" s="57">
        <v>0</v>
      </c>
      <c r="BY126" s="57">
        <v>0</v>
      </c>
      <c r="BZ126" s="57">
        <v>0</v>
      </c>
      <c r="CA126" s="57">
        <v>0</v>
      </c>
      <c r="CB126" s="57">
        <v>0</v>
      </c>
      <c r="CC126" s="57">
        <v>0</v>
      </c>
      <c r="CD126" s="57">
        <v>0</v>
      </c>
      <c r="CE126" s="57">
        <v>0</v>
      </c>
      <c r="CF126" s="57">
        <v>0</v>
      </c>
      <c r="CG126" s="57">
        <v>0</v>
      </c>
      <c r="CH126" s="57">
        <v>0</v>
      </c>
      <c r="CI126" s="57">
        <v>0</v>
      </c>
      <c r="CJ126" s="57">
        <v>0</v>
      </c>
      <c r="CK126" s="57">
        <v>0</v>
      </c>
      <c r="CL126" s="57">
        <v>0</v>
      </c>
      <c r="CM126" s="57">
        <v>0</v>
      </c>
      <c r="CN126" s="57">
        <v>0</v>
      </c>
      <c r="CO126" s="57">
        <v>0</v>
      </c>
      <c r="CP126" s="57">
        <v>0</v>
      </c>
      <c r="CQ126" s="57">
        <v>0</v>
      </c>
      <c r="CR126" s="57">
        <v>0</v>
      </c>
      <c r="CS126" s="57">
        <v>0</v>
      </c>
      <c r="CT126" s="57">
        <v>0</v>
      </c>
      <c r="CU126" s="57">
        <v>0</v>
      </c>
      <c r="CV126" s="57">
        <v>0</v>
      </c>
      <c r="CW126" s="57">
        <v>0</v>
      </c>
      <c r="CX126" s="57">
        <v>0</v>
      </c>
      <c r="CY126" s="57">
        <v>0</v>
      </c>
      <c r="CZ126" s="57">
        <v>0</v>
      </c>
      <c r="DA126" s="57">
        <v>0</v>
      </c>
      <c r="DB126" s="57">
        <v>0</v>
      </c>
      <c r="DC126" s="57">
        <v>0</v>
      </c>
      <c r="DD126" s="57">
        <v>0</v>
      </c>
      <c r="DE126" s="57">
        <v>0</v>
      </c>
      <c r="DF126" s="57">
        <v>0</v>
      </c>
      <c r="DG126" s="137">
        <v>0</v>
      </c>
      <c r="DH126" s="137">
        <v>0</v>
      </c>
      <c r="DI126" s="137">
        <v>0</v>
      </c>
      <c r="DJ126" s="137">
        <v>0</v>
      </c>
      <c r="DK126" s="137">
        <v>0</v>
      </c>
      <c r="DL126" s="137">
        <v>0</v>
      </c>
      <c r="DM126" s="137">
        <v>0</v>
      </c>
      <c r="DN126" s="137">
        <v>0</v>
      </c>
      <c r="DO126" s="137">
        <v>0</v>
      </c>
      <c r="DP126" s="137">
        <v>0</v>
      </c>
      <c r="DQ126" s="137">
        <v>0</v>
      </c>
      <c r="DR126" s="137">
        <v>0</v>
      </c>
      <c r="DS126" s="137">
        <v>0</v>
      </c>
      <c r="DT126" s="137">
        <v>0</v>
      </c>
      <c r="DU126" s="137">
        <v>0</v>
      </c>
      <c r="DV126" s="137">
        <v>0</v>
      </c>
      <c r="DW126" s="137">
        <v>0</v>
      </c>
      <c r="DX126" s="137">
        <v>0</v>
      </c>
      <c r="DY126" s="137">
        <v>0</v>
      </c>
      <c r="DZ126" s="137">
        <v>0</v>
      </c>
      <c r="EA126" s="137">
        <v>0</v>
      </c>
    </row>
    <row r="127" spans="1:131" x14ac:dyDescent="0.35">
      <c r="A127" s="90" t="e">
        <f>VLOOKUP(E127,'Validation List'!F128:G523,2,FALSE)</f>
        <v>#N/A</v>
      </c>
      <c r="B127" s="90" t="e">
        <f>INDEX('NEW HIRE ROSTER'!$G:$G,MATCH(RAW!F127,'NEW HIRE ROSTER'!$A:$A,0))</f>
        <v>#N/A</v>
      </c>
      <c r="C127" s="90" t="e">
        <f>INDEX('NEW HIRE ROSTER'!$F:$F,MATCH(RAW!F127,'NEW HIRE ROSTER'!$A:$A,0))</f>
        <v>#N/A</v>
      </c>
      <c r="D127" s="90" t="e">
        <f>INDEX('Validation List'!$H:$H,MATCH(RAW!E127,'Validation List'!$F:$F,0))</f>
        <v>#N/A</v>
      </c>
      <c r="G127" s="90" t="e">
        <f>VLOOKUP(F127,ML!C111:D709,2,FALSE)</f>
        <v>#N/A</v>
      </c>
      <c r="H127" s="90" t="e">
        <f>VLOOKUP(F127,ML!C111:E709,3,FALSE)</f>
        <v>#N/A</v>
      </c>
      <c r="M127" s="56"/>
      <c r="N127" s="57">
        <v>0</v>
      </c>
      <c r="O127" s="57">
        <v>0</v>
      </c>
      <c r="P127" s="57">
        <v>0</v>
      </c>
      <c r="Q127" s="57">
        <v>0</v>
      </c>
      <c r="R127" s="57">
        <v>0</v>
      </c>
      <c r="S127" s="57">
        <v>0</v>
      </c>
      <c r="T127" s="57">
        <v>0</v>
      </c>
      <c r="U127" s="57">
        <v>0</v>
      </c>
      <c r="V127" s="57">
        <v>0</v>
      </c>
      <c r="W127" s="57">
        <v>0</v>
      </c>
      <c r="X127" s="57">
        <v>0</v>
      </c>
      <c r="Y127" s="57">
        <v>0</v>
      </c>
      <c r="Z127" s="57">
        <v>0</v>
      </c>
      <c r="AA127" s="57">
        <v>0</v>
      </c>
      <c r="AB127" s="57">
        <v>0</v>
      </c>
      <c r="AC127" s="57">
        <v>0</v>
      </c>
      <c r="AD127" s="57">
        <v>0</v>
      </c>
      <c r="AE127" s="57">
        <v>0</v>
      </c>
      <c r="AF127" s="57">
        <v>0</v>
      </c>
      <c r="AG127" s="57">
        <v>0</v>
      </c>
      <c r="AH127" s="57">
        <v>0</v>
      </c>
      <c r="AI127" s="57">
        <v>0</v>
      </c>
      <c r="AJ127" s="57">
        <v>0</v>
      </c>
      <c r="AK127" s="57">
        <v>0</v>
      </c>
      <c r="AL127" s="57">
        <v>0</v>
      </c>
      <c r="AM127" s="57">
        <v>0</v>
      </c>
      <c r="AN127" s="57">
        <v>0</v>
      </c>
      <c r="AO127" s="57">
        <v>0</v>
      </c>
      <c r="AP127" s="57">
        <v>0</v>
      </c>
      <c r="AQ127" s="57">
        <v>0</v>
      </c>
      <c r="AR127" s="57">
        <v>0</v>
      </c>
      <c r="AS127" s="57">
        <v>0</v>
      </c>
      <c r="AT127" s="57">
        <v>0</v>
      </c>
      <c r="AU127" s="57">
        <v>0</v>
      </c>
      <c r="AV127" s="57">
        <v>0</v>
      </c>
      <c r="AW127" s="57">
        <v>0</v>
      </c>
      <c r="AX127" s="57">
        <v>0</v>
      </c>
      <c r="AY127" s="57">
        <v>0</v>
      </c>
      <c r="AZ127" s="57">
        <v>0</v>
      </c>
      <c r="BA127" s="57">
        <v>0</v>
      </c>
      <c r="BB127" s="57">
        <v>0</v>
      </c>
      <c r="BC127" s="57">
        <v>0</v>
      </c>
      <c r="BD127" s="57">
        <v>0</v>
      </c>
      <c r="BE127" s="57">
        <v>0</v>
      </c>
      <c r="BF127" s="57">
        <v>0</v>
      </c>
      <c r="BG127" s="57">
        <v>0</v>
      </c>
      <c r="BH127" s="57">
        <v>0</v>
      </c>
      <c r="BI127" s="57">
        <v>0</v>
      </c>
      <c r="BJ127" s="57">
        <v>0</v>
      </c>
      <c r="BK127" s="57">
        <v>0</v>
      </c>
      <c r="BL127" s="57">
        <v>0</v>
      </c>
      <c r="BM127" s="57">
        <v>0</v>
      </c>
      <c r="BN127" s="57">
        <v>0</v>
      </c>
      <c r="BO127" s="57">
        <v>0</v>
      </c>
      <c r="BP127" s="57">
        <v>0</v>
      </c>
      <c r="BQ127" s="57">
        <v>0</v>
      </c>
      <c r="BR127" s="57">
        <v>0</v>
      </c>
      <c r="BS127" s="57">
        <v>0</v>
      </c>
      <c r="BT127" s="57">
        <v>0</v>
      </c>
      <c r="BU127" s="57">
        <v>0</v>
      </c>
      <c r="BV127" s="57">
        <v>0</v>
      </c>
      <c r="BW127" s="57">
        <v>0</v>
      </c>
      <c r="BX127" s="57">
        <v>0</v>
      </c>
      <c r="BY127" s="57">
        <v>0</v>
      </c>
      <c r="BZ127" s="57">
        <v>0</v>
      </c>
      <c r="CA127" s="57">
        <v>0</v>
      </c>
      <c r="CB127" s="57">
        <v>0</v>
      </c>
      <c r="CC127" s="57">
        <v>0</v>
      </c>
      <c r="CD127" s="57">
        <v>0</v>
      </c>
      <c r="CE127" s="57">
        <v>0</v>
      </c>
      <c r="CF127" s="57">
        <v>0</v>
      </c>
      <c r="CG127" s="57">
        <v>0</v>
      </c>
      <c r="CH127" s="57">
        <v>0</v>
      </c>
      <c r="CI127" s="57">
        <v>0</v>
      </c>
      <c r="CJ127" s="57">
        <v>0</v>
      </c>
      <c r="CK127" s="57">
        <v>0</v>
      </c>
      <c r="CL127" s="57">
        <v>0</v>
      </c>
      <c r="CM127" s="57">
        <v>0</v>
      </c>
      <c r="CN127" s="57">
        <v>0</v>
      </c>
      <c r="CO127" s="57">
        <v>0</v>
      </c>
      <c r="CP127" s="57">
        <v>0</v>
      </c>
      <c r="CQ127" s="57">
        <v>0</v>
      </c>
      <c r="CR127" s="57">
        <v>0</v>
      </c>
      <c r="CS127" s="57">
        <v>0</v>
      </c>
      <c r="CT127" s="57">
        <v>0</v>
      </c>
      <c r="CU127" s="57">
        <v>0</v>
      </c>
      <c r="CV127" s="57">
        <v>0</v>
      </c>
      <c r="CW127" s="57">
        <v>0</v>
      </c>
      <c r="CX127" s="57">
        <v>0</v>
      </c>
      <c r="CY127" s="57">
        <v>0</v>
      </c>
      <c r="CZ127" s="57">
        <v>0</v>
      </c>
      <c r="DA127" s="57">
        <v>0</v>
      </c>
      <c r="DB127" s="57">
        <v>0</v>
      </c>
      <c r="DC127" s="57">
        <v>0</v>
      </c>
      <c r="DD127" s="57">
        <v>0</v>
      </c>
      <c r="DE127" s="57">
        <v>0</v>
      </c>
      <c r="DF127" s="57">
        <v>0</v>
      </c>
      <c r="DG127" s="137">
        <v>0</v>
      </c>
      <c r="DH127" s="137">
        <v>0</v>
      </c>
      <c r="DI127" s="137">
        <v>0</v>
      </c>
      <c r="DJ127" s="137">
        <v>0</v>
      </c>
      <c r="DK127" s="137">
        <v>0</v>
      </c>
      <c r="DL127" s="137">
        <v>0</v>
      </c>
      <c r="DM127" s="137">
        <v>0</v>
      </c>
      <c r="DN127" s="137">
        <v>0</v>
      </c>
      <c r="DO127" s="137">
        <v>0</v>
      </c>
      <c r="DP127" s="137">
        <v>0</v>
      </c>
      <c r="DQ127" s="137">
        <v>0</v>
      </c>
      <c r="DR127" s="137">
        <v>0</v>
      </c>
      <c r="DS127" s="137">
        <v>0</v>
      </c>
      <c r="DT127" s="137">
        <v>0</v>
      </c>
      <c r="DU127" s="137">
        <v>0</v>
      </c>
      <c r="DV127" s="137">
        <v>0</v>
      </c>
      <c r="DW127" s="137">
        <v>0</v>
      </c>
      <c r="DX127" s="137">
        <v>0</v>
      </c>
      <c r="DY127" s="137">
        <v>0</v>
      </c>
      <c r="DZ127" s="137">
        <v>0</v>
      </c>
      <c r="EA127" s="137">
        <v>0</v>
      </c>
    </row>
    <row r="128" spans="1:131" x14ac:dyDescent="0.35">
      <c r="A128" s="90" t="e">
        <f>VLOOKUP(E128,'Validation List'!F129:G524,2,FALSE)</f>
        <v>#N/A</v>
      </c>
      <c r="B128" s="90" t="e">
        <f>INDEX('NEW HIRE ROSTER'!$G:$G,MATCH(RAW!F128,'NEW HIRE ROSTER'!$A:$A,0))</f>
        <v>#N/A</v>
      </c>
      <c r="C128" s="90" t="e">
        <f>INDEX('NEW HIRE ROSTER'!$F:$F,MATCH(RAW!F128,'NEW HIRE ROSTER'!$A:$A,0))</f>
        <v>#N/A</v>
      </c>
      <c r="D128" s="90" t="e">
        <f>INDEX('Validation List'!$H:$H,MATCH(RAW!E128,'Validation List'!$F:$F,0))</f>
        <v>#N/A</v>
      </c>
      <c r="G128" s="90" t="e">
        <f>VLOOKUP(F128,ML!C112:D710,2,FALSE)</f>
        <v>#N/A</v>
      </c>
      <c r="H128" s="90" t="e">
        <f>VLOOKUP(F128,ML!C112:E710,3,FALSE)</f>
        <v>#N/A</v>
      </c>
      <c r="M128" s="56"/>
      <c r="N128" s="57">
        <v>0</v>
      </c>
      <c r="O128" s="57">
        <v>0</v>
      </c>
      <c r="P128" s="57">
        <v>0</v>
      </c>
      <c r="Q128" s="57">
        <v>0</v>
      </c>
      <c r="R128" s="57">
        <v>0</v>
      </c>
      <c r="S128" s="57">
        <v>0</v>
      </c>
      <c r="T128" s="57">
        <v>0</v>
      </c>
      <c r="U128" s="57">
        <v>0</v>
      </c>
      <c r="V128" s="57">
        <v>0</v>
      </c>
      <c r="W128" s="57">
        <v>0</v>
      </c>
      <c r="X128" s="57">
        <v>0</v>
      </c>
      <c r="Y128" s="57">
        <v>0</v>
      </c>
      <c r="Z128" s="57">
        <v>0</v>
      </c>
      <c r="AA128" s="57">
        <v>0</v>
      </c>
      <c r="AB128" s="57">
        <v>0</v>
      </c>
      <c r="AC128" s="57">
        <v>0</v>
      </c>
      <c r="AD128" s="57">
        <v>0</v>
      </c>
      <c r="AE128" s="57">
        <v>0</v>
      </c>
      <c r="AF128" s="57">
        <v>0</v>
      </c>
      <c r="AG128" s="57">
        <v>0</v>
      </c>
      <c r="AH128" s="57">
        <v>0</v>
      </c>
      <c r="AI128" s="57">
        <v>0</v>
      </c>
      <c r="AJ128" s="57">
        <v>0</v>
      </c>
      <c r="AK128" s="57">
        <v>0</v>
      </c>
      <c r="AL128" s="57">
        <v>0</v>
      </c>
      <c r="AM128" s="57">
        <v>0</v>
      </c>
      <c r="AN128" s="57">
        <v>0</v>
      </c>
      <c r="AO128" s="57">
        <v>0</v>
      </c>
      <c r="AP128" s="57">
        <v>0</v>
      </c>
      <c r="AQ128" s="57">
        <v>0</v>
      </c>
      <c r="AR128" s="57">
        <v>0</v>
      </c>
      <c r="AS128" s="57">
        <v>0</v>
      </c>
      <c r="AT128" s="57">
        <v>0</v>
      </c>
      <c r="AU128" s="57">
        <v>0</v>
      </c>
      <c r="AV128" s="57">
        <v>0</v>
      </c>
      <c r="AW128" s="57">
        <v>0</v>
      </c>
      <c r="AX128" s="57">
        <v>0</v>
      </c>
      <c r="AY128" s="57">
        <v>0</v>
      </c>
      <c r="AZ128" s="57">
        <v>0</v>
      </c>
      <c r="BA128" s="57">
        <v>0</v>
      </c>
      <c r="BB128" s="57">
        <v>0</v>
      </c>
      <c r="BC128" s="57">
        <v>0</v>
      </c>
      <c r="BD128" s="57">
        <v>0</v>
      </c>
      <c r="BE128" s="57">
        <v>0</v>
      </c>
      <c r="BF128" s="57">
        <v>0</v>
      </c>
      <c r="BG128" s="57">
        <v>0</v>
      </c>
      <c r="BH128" s="57">
        <v>0</v>
      </c>
      <c r="BI128" s="57">
        <v>0</v>
      </c>
      <c r="BJ128" s="57">
        <v>0</v>
      </c>
      <c r="BK128" s="57">
        <v>0</v>
      </c>
      <c r="BL128" s="57">
        <v>0</v>
      </c>
      <c r="BM128" s="57">
        <v>0</v>
      </c>
      <c r="BN128" s="57">
        <v>0</v>
      </c>
      <c r="BO128" s="57">
        <v>0</v>
      </c>
      <c r="BP128" s="57">
        <v>0</v>
      </c>
      <c r="BQ128" s="57">
        <v>0</v>
      </c>
      <c r="BR128" s="57">
        <v>0</v>
      </c>
      <c r="BS128" s="57">
        <v>0</v>
      </c>
      <c r="BT128" s="57">
        <v>0</v>
      </c>
      <c r="BU128" s="57">
        <v>0</v>
      </c>
      <c r="BV128" s="57">
        <v>0</v>
      </c>
      <c r="BW128" s="57">
        <v>0</v>
      </c>
      <c r="BX128" s="57">
        <v>0</v>
      </c>
      <c r="BY128" s="57">
        <v>0</v>
      </c>
      <c r="BZ128" s="57">
        <v>0</v>
      </c>
      <c r="CA128" s="57">
        <v>0</v>
      </c>
      <c r="CB128" s="57">
        <v>0</v>
      </c>
      <c r="CC128" s="57">
        <v>0</v>
      </c>
      <c r="CD128" s="57">
        <v>0</v>
      </c>
      <c r="CE128" s="57">
        <v>0</v>
      </c>
      <c r="CF128" s="57">
        <v>0</v>
      </c>
      <c r="CG128" s="57">
        <v>0</v>
      </c>
      <c r="CH128" s="57">
        <v>0</v>
      </c>
      <c r="CI128" s="57">
        <v>0</v>
      </c>
      <c r="CJ128" s="57">
        <v>0</v>
      </c>
      <c r="CK128" s="57">
        <v>0</v>
      </c>
      <c r="CL128" s="57">
        <v>0</v>
      </c>
      <c r="CM128" s="57">
        <v>0</v>
      </c>
      <c r="CN128" s="57">
        <v>0</v>
      </c>
      <c r="CO128" s="57">
        <v>0</v>
      </c>
      <c r="CP128" s="57">
        <v>0</v>
      </c>
      <c r="CQ128" s="57">
        <v>0</v>
      </c>
      <c r="CR128" s="57">
        <v>0</v>
      </c>
      <c r="CS128" s="57">
        <v>0</v>
      </c>
      <c r="CT128" s="57">
        <v>0</v>
      </c>
      <c r="CU128" s="57">
        <v>0</v>
      </c>
      <c r="CV128" s="57">
        <v>0</v>
      </c>
      <c r="CW128" s="57">
        <v>0</v>
      </c>
      <c r="CX128" s="57">
        <v>0</v>
      </c>
      <c r="CY128" s="57">
        <v>0</v>
      </c>
      <c r="CZ128" s="57">
        <v>0</v>
      </c>
      <c r="DA128" s="57">
        <v>0</v>
      </c>
      <c r="DB128" s="57">
        <v>0</v>
      </c>
      <c r="DC128" s="57">
        <v>0</v>
      </c>
      <c r="DD128" s="57">
        <v>0</v>
      </c>
      <c r="DE128" s="57">
        <v>0</v>
      </c>
      <c r="DF128" s="57">
        <v>0</v>
      </c>
      <c r="DG128" s="137">
        <v>0</v>
      </c>
      <c r="DH128" s="137">
        <v>0</v>
      </c>
      <c r="DI128" s="137">
        <v>0</v>
      </c>
      <c r="DJ128" s="137">
        <v>0</v>
      </c>
      <c r="DK128" s="137">
        <v>0</v>
      </c>
      <c r="DL128" s="137">
        <v>0</v>
      </c>
      <c r="DM128" s="137">
        <v>0</v>
      </c>
      <c r="DN128" s="137">
        <v>0</v>
      </c>
      <c r="DO128" s="137">
        <v>0</v>
      </c>
      <c r="DP128" s="137">
        <v>0</v>
      </c>
      <c r="DQ128" s="137">
        <v>0</v>
      </c>
      <c r="DR128" s="137">
        <v>0</v>
      </c>
      <c r="DS128" s="137">
        <v>0</v>
      </c>
      <c r="DT128" s="137">
        <v>0</v>
      </c>
      <c r="DU128" s="137">
        <v>0</v>
      </c>
      <c r="DV128" s="137">
        <v>0</v>
      </c>
      <c r="DW128" s="137">
        <v>0</v>
      </c>
      <c r="DX128" s="137">
        <v>0</v>
      </c>
      <c r="DY128" s="137">
        <v>0</v>
      </c>
      <c r="DZ128" s="137">
        <v>0</v>
      </c>
      <c r="EA128" s="137">
        <v>0</v>
      </c>
    </row>
    <row r="129" spans="1:131" x14ac:dyDescent="0.35">
      <c r="A129" s="90" t="e">
        <f>VLOOKUP(E129,'Validation List'!F130:G525,2,FALSE)</f>
        <v>#N/A</v>
      </c>
      <c r="B129" s="90" t="e">
        <f>INDEX('NEW HIRE ROSTER'!$G:$G,MATCH(RAW!F129,'NEW HIRE ROSTER'!$A:$A,0))</f>
        <v>#N/A</v>
      </c>
      <c r="C129" s="90" t="e">
        <f>INDEX('NEW HIRE ROSTER'!$F:$F,MATCH(RAW!F129,'NEW HIRE ROSTER'!$A:$A,0))</f>
        <v>#N/A</v>
      </c>
      <c r="D129" s="90" t="e">
        <f>INDEX('Validation List'!$H:$H,MATCH(RAW!E129,'Validation List'!$F:$F,0))</f>
        <v>#N/A</v>
      </c>
      <c r="G129" s="90" t="e">
        <f>VLOOKUP(F129,ML!C113:D711,2,FALSE)</f>
        <v>#N/A</v>
      </c>
      <c r="H129" s="90" t="e">
        <f>VLOOKUP(F129,ML!C113:E711,3,FALSE)</f>
        <v>#N/A</v>
      </c>
      <c r="M129" s="56"/>
      <c r="N129" s="57">
        <v>0</v>
      </c>
      <c r="O129" s="57">
        <v>0</v>
      </c>
      <c r="P129" s="57">
        <v>0</v>
      </c>
      <c r="Q129" s="57">
        <v>0</v>
      </c>
      <c r="R129" s="57">
        <v>0</v>
      </c>
      <c r="S129" s="57">
        <v>0</v>
      </c>
      <c r="T129" s="57">
        <v>0</v>
      </c>
      <c r="U129" s="57">
        <v>0</v>
      </c>
      <c r="V129" s="57">
        <v>0</v>
      </c>
      <c r="W129" s="57">
        <v>0</v>
      </c>
      <c r="X129" s="57">
        <v>0</v>
      </c>
      <c r="Y129" s="57">
        <v>0</v>
      </c>
      <c r="Z129" s="57">
        <v>0</v>
      </c>
      <c r="AA129" s="57">
        <v>0</v>
      </c>
      <c r="AB129" s="57">
        <v>0</v>
      </c>
      <c r="AC129" s="57">
        <v>0</v>
      </c>
      <c r="AD129" s="57">
        <v>0</v>
      </c>
      <c r="AE129" s="57">
        <v>0</v>
      </c>
      <c r="AF129" s="57">
        <v>0</v>
      </c>
      <c r="AG129" s="57">
        <v>0</v>
      </c>
      <c r="AH129" s="57">
        <v>0</v>
      </c>
      <c r="AI129" s="57">
        <v>0</v>
      </c>
      <c r="AJ129" s="57">
        <v>0</v>
      </c>
      <c r="AK129" s="57">
        <v>0</v>
      </c>
      <c r="AL129" s="57">
        <v>0</v>
      </c>
      <c r="AM129" s="57">
        <v>0</v>
      </c>
      <c r="AN129" s="57">
        <v>0</v>
      </c>
      <c r="AO129" s="57">
        <v>0</v>
      </c>
      <c r="AP129" s="57">
        <v>0</v>
      </c>
      <c r="AQ129" s="57">
        <v>0</v>
      </c>
      <c r="AR129" s="57">
        <v>0</v>
      </c>
      <c r="AS129" s="57">
        <v>0</v>
      </c>
      <c r="AT129" s="57">
        <v>0</v>
      </c>
      <c r="AU129" s="57">
        <v>0</v>
      </c>
      <c r="AV129" s="57">
        <v>0</v>
      </c>
      <c r="AW129" s="57">
        <v>0</v>
      </c>
      <c r="AX129" s="57">
        <v>0</v>
      </c>
      <c r="AY129" s="57">
        <v>0</v>
      </c>
      <c r="AZ129" s="57">
        <v>0</v>
      </c>
      <c r="BA129" s="57">
        <v>0</v>
      </c>
      <c r="BB129" s="57">
        <v>0</v>
      </c>
      <c r="BC129" s="57">
        <v>0</v>
      </c>
      <c r="BD129" s="57">
        <v>0</v>
      </c>
      <c r="BE129" s="57">
        <v>0</v>
      </c>
      <c r="BF129" s="57">
        <v>0</v>
      </c>
      <c r="BG129" s="57">
        <v>0</v>
      </c>
      <c r="BH129" s="57">
        <v>0</v>
      </c>
      <c r="BI129" s="57">
        <v>0</v>
      </c>
      <c r="BJ129" s="57">
        <v>0</v>
      </c>
      <c r="BK129" s="57">
        <v>0</v>
      </c>
      <c r="BL129" s="57">
        <v>0</v>
      </c>
      <c r="BM129" s="57">
        <v>0</v>
      </c>
      <c r="BN129" s="57">
        <v>0</v>
      </c>
      <c r="BO129" s="57">
        <v>0</v>
      </c>
      <c r="BP129" s="57">
        <v>0</v>
      </c>
      <c r="BQ129" s="57">
        <v>0</v>
      </c>
      <c r="BR129" s="57">
        <v>0</v>
      </c>
      <c r="BS129" s="57">
        <v>0</v>
      </c>
      <c r="BT129" s="57">
        <v>0</v>
      </c>
      <c r="BU129" s="57">
        <v>0</v>
      </c>
      <c r="BV129" s="57">
        <v>0</v>
      </c>
      <c r="BW129" s="57">
        <v>0</v>
      </c>
      <c r="BX129" s="57">
        <v>0</v>
      </c>
      <c r="BY129" s="57">
        <v>0</v>
      </c>
      <c r="BZ129" s="57">
        <v>0</v>
      </c>
      <c r="CA129" s="57">
        <v>0</v>
      </c>
      <c r="CB129" s="57">
        <v>0</v>
      </c>
      <c r="CC129" s="57">
        <v>0</v>
      </c>
      <c r="CD129" s="57">
        <v>0</v>
      </c>
      <c r="CE129" s="57">
        <v>0</v>
      </c>
      <c r="CF129" s="57">
        <v>0</v>
      </c>
      <c r="CG129" s="57">
        <v>0</v>
      </c>
      <c r="CH129" s="57">
        <v>0</v>
      </c>
      <c r="CI129" s="57">
        <v>0</v>
      </c>
      <c r="CJ129" s="57">
        <v>0</v>
      </c>
      <c r="CK129" s="57">
        <v>0</v>
      </c>
      <c r="CL129" s="57">
        <v>0</v>
      </c>
      <c r="CM129" s="57">
        <v>0</v>
      </c>
      <c r="CN129" s="57">
        <v>0</v>
      </c>
      <c r="CO129" s="57">
        <v>0</v>
      </c>
      <c r="CP129" s="57">
        <v>0</v>
      </c>
      <c r="CQ129" s="57">
        <v>0</v>
      </c>
      <c r="CR129" s="57">
        <v>0</v>
      </c>
      <c r="CS129" s="57">
        <v>0</v>
      </c>
      <c r="CT129" s="57">
        <v>0</v>
      </c>
      <c r="CU129" s="57">
        <v>0</v>
      </c>
      <c r="CV129" s="57">
        <v>0</v>
      </c>
      <c r="CW129" s="57">
        <v>0</v>
      </c>
      <c r="CX129" s="57">
        <v>0</v>
      </c>
      <c r="CY129" s="57">
        <v>0</v>
      </c>
      <c r="CZ129" s="57">
        <v>0</v>
      </c>
      <c r="DA129" s="57">
        <v>0</v>
      </c>
      <c r="DB129" s="57">
        <v>0</v>
      </c>
      <c r="DC129" s="57">
        <v>0</v>
      </c>
      <c r="DD129" s="57">
        <v>0</v>
      </c>
      <c r="DE129" s="57">
        <v>0</v>
      </c>
      <c r="DF129" s="57">
        <v>0</v>
      </c>
      <c r="DG129" s="137">
        <v>0</v>
      </c>
      <c r="DH129" s="137">
        <v>0</v>
      </c>
      <c r="DI129" s="137">
        <v>0</v>
      </c>
      <c r="DJ129" s="137">
        <v>0</v>
      </c>
      <c r="DK129" s="137">
        <v>0</v>
      </c>
      <c r="DL129" s="137">
        <v>0</v>
      </c>
      <c r="DM129" s="137">
        <v>0</v>
      </c>
      <c r="DN129" s="137">
        <v>0</v>
      </c>
      <c r="DO129" s="137">
        <v>0</v>
      </c>
      <c r="DP129" s="137">
        <v>0</v>
      </c>
      <c r="DQ129" s="137">
        <v>0</v>
      </c>
      <c r="DR129" s="137">
        <v>0</v>
      </c>
      <c r="DS129" s="137">
        <v>0</v>
      </c>
      <c r="DT129" s="137">
        <v>0</v>
      </c>
      <c r="DU129" s="137">
        <v>0</v>
      </c>
      <c r="DV129" s="137">
        <v>0</v>
      </c>
      <c r="DW129" s="137">
        <v>0</v>
      </c>
      <c r="DX129" s="137">
        <v>0</v>
      </c>
      <c r="DY129" s="137">
        <v>0</v>
      </c>
      <c r="DZ129" s="137">
        <v>0</v>
      </c>
      <c r="EA129" s="137">
        <v>0</v>
      </c>
    </row>
    <row r="130" spans="1:131" x14ac:dyDescent="0.35">
      <c r="A130" s="90" t="e">
        <f>VLOOKUP(E130,'Validation List'!F131:G526,2,FALSE)</f>
        <v>#N/A</v>
      </c>
      <c r="B130" s="90" t="e">
        <f>INDEX('NEW HIRE ROSTER'!$G:$G,MATCH(RAW!F130,'NEW HIRE ROSTER'!$A:$A,0))</f>
        <v>#N/A</v>
      </c>
      <c r="C130" s="90" t="e">
        <f>INDEX('NEW HIRE ROSTER'!$F:$F,MATCH(RAW!F130,'NEW HIRE ROSTER'!$A:$A,0))</f>
        <v>#N/A</v>
      </c>
      <c r="D130" s="90" t="e">
        <f>INDEX('Validation List'!$H:$H,MATCH(RAW!E130,'Validation List'!$F:$F,0))</f>
        <v>#N/A</v>
      </c>
      <c r="G130" s="90" t="e">
        <f>VLOOKUP(F130,ML!C114:D712,2,FALSE)</f>
        <v>#N/A</v>
      </c>
      <c r="H130" s="90" t="e">
        <f>VLOOKUP(F130,ML!C114:E712,3,FALSE)</f>
        <v>#N/A</v>
      </c>
      <c r="M130" s="56"/>
      <c r="N130" s="57">
        <v>0</v>
      </c>
      <c r="O130" s="57">
        <v>0</v>
      </c>
      <c r="P130" s="57">
        <v>0</v>
      </c>
      <c r="Q130" s="57">
        <v>0</v>
      </c>
      <c r="R130" s="57">
        <v>0</v>
      </c>
      <c r="S130" s="57">
        <v>0</v>
      </c>
      <c r="T130" s="57">
        <v>0</v>
      </c>
      <c r="U130" s="57">
        <v>0</v>
      </c>
      <c r="V130" s="57">
        <v>0</v>
      </c>
      <c r="W130" s="57">
        <v>0</v>
      </c>
      <c r="X130" s="57">
        <v>0</v>
      </c>
      <c r="Y130" s="57">
        <v>0</v>
      </c>
      <c r="Z130" s="57">
        <v>0</v>
      </c>
      <c r="AA130" s="57">
        <v>0</v>
      </c>
      <c r="AB130" s="57">
        <v>0</v>
      </c>
      <c r="AC130" s="57">
        <v>0</v>
      </c>
      <c r="AD130" s="57">
        <v>0</v>
      </c>
      <c r="AE130" s="57">
        <v>0</v>
      </c>
      <c r="AF130" s="57">
        <v>0</v>
      </c>
      <c r="AG130" s="57">
        <v>0</v>
      </c>
      <c r="AH130" s="57">
        <v>0</v>
      </c>
      <c r="AI130" s="57">
        <v>0</v>
      </c>
      <c r="AJ130" s="57">
        <v>0</v>
      </c>
      <c r="AK130" s="57">
        <v>0</v>
      </c>
      <c r="AL130" s="57">
        <v>0</v>
      </c>
      <c r="AM130" s="57">
        <v>0</v>
      </c>
      <c r="AN130" s="57">
        <v>0</v>
      </c>
      <c r="AO130" s="57">
        <v>0</v>
      </c>
      <c r="AP130" s="57">
        <v>0</v>
      </c>
      <c r="AQ130" s="57">
        <v>0</v>
      </c>
      <c r="AR130" s="57">
        <v>0</v>
      </c>
      <c r="AS130" s="57">
        <v>0</v>
      </c>
      <c r="AT130" s="57">
        <v>0</v>
      </c>
      <c r="AU130" s="57">
        <v>0</v>
      </c>
      <c r="AV130" s="57">
        <v>0</v>
      </c>
      <c r="AW130" s="57">
        <v>0</v>
      </c>
      <c r="AX130" s="57">
        <v>0</v>
      </c>
      <c r="AY130" s="57">
        <v>0</v>
      </c>
      <c r="AZ130" s="57">
        <v>0</v>
      </c>
      <c r="BA130" s="57">
        <v>0</v>
      </c>
      <c r="BB130" s="57">
        <v>0</v>
      </c>
      <c r="BC130" s="57">
        <v>0</v>
      </c>
      <c r="BD130" s="57">
        <v>0</v>
      </c>
      <c r="BE130" s="57">
        <v>0</v>
      </c>
      <c r="BF130" s="57">
        <v>0</v>
      </c>
      <c r="BG130" s="57">
        <v>0</v>
      </c>
      <c r="BH130" s="57">
        <v>0</v>
      </c>
      <c r="BI130" s="57">
        <v>0</v>
      </c>
      <c r="BJ130" s="57">
        <v>0</v>
      </c>
      <c r="BK130" s="57">
        <v>0</v>
      </c>
      <c r="BL130" s="57">
        <v>0</v>
      </c>
      <c r="BM130" s="57">
        <v>0</v>
      </c>
      <c r="BN130" s="57">
        <v>0</v>
      </c>
      <c r="BO130" s="57">
        <v>0</v>
      </c>
      <c r="BP130" s="57">
        <v>0</v>
      </c>
      <c r="BQ130" s="57">
        <v>0</v>
      </c>
      <c r="BR130" s="57">
        <v>0</v>
      </c>
      <c r="BS130" s="57">
        <v>0</v>
      </c>
      <c r="BT130" s="57">
        <v>0</v>
      </c>
      <c r="BU130" s="57">
        <v>0</v>
      </c>
      <c r="BV130" s="57">
        <v>0</v>
      </c>
      <c r="BW130" s="57">
        <v>0</v>
      </c>
      <c r="BX130" s="57">
        <v>0</v>
      </c>
      <c r="BY130" s="57">
        <v>0</v>
      </c>
      <c r="BZ130" s="57">
        <v>0</v>
      </c>
      <c r="CA130" s="57">
        <v>0</v>
      </c>
      <c r="CB130" s="57">
        <v>0</v>
      </c>
      <c r="CC130" s="57">
        <v>0</v>
      </c>
      <c r="CD130" s="57">
        <v>0</v>
      </c>
      <c r="CE130" s="57">
        <v>0</v>
      </c>
      <c r="CF130" s="57">
        <v>0</v>
      </c>
      <c r="CG130" s="57">
        <v>0</v>
      </c>
      <c r="CH130" s="57">
        <v>0</v>
      </c>
      <c r="CI130" s="57">
        <v>0</v>
      </c>
      <c r="CJ130" s="57">
        <v>0</v>
      </c>
      <c r="CK130" s="57">
        <v>0</v>
      </c>
      <c r="CL130" s="57">
        <v>0</v>
      </c>
      <c r="CM130" s="57">
        <v>0</v>
      </c>
      <c r="CN130" s="57">
        <v>0</v>
      </c>
      <c r="CO130" s="57">
        <v>0</v>
      </c>
      <c r="CP130" s="57">
        <v>0</v>
      </c>
      <c r="CQ130" s="57">
        <v>0</v>
      </c>
      <c r="CR130" s="57">
        <v>0</v>
      </c>
      <c r="CS130" s="57">
        <v>0</v>
      </c>
      <c r="CT130" s="57">
        <v>0</v>
      </c>
      <c r="CU130" s="57">
        <v>0</v>
      </c>
      <c r="CV130" s="57">
        <v>0</v>
      </c>
      <c r="CW130" s="57">
        <v>0</v>
      </c>
      <c r="CX130" s="57">
        <v>0</v>
      </c>
      <c r="CY130" s="57">
        <v>0</v>
      </c>
      <c r="CZ130" s="57">
        <v>0</v>
      </c>
      <c r="DA130" s="57">
        <v>0</v>
      </c>
      <c r="DB130" s="57">
        <v>0</v>
      </c>
      <c r="DC130" s="57">
        <v>0</v>
      </c>
      <c r="DD130" s="57">
        <v>0</v>
      </c>
      <c r="DE130" s="57">
        <v>0</v>
      </c>
      <c r="DF130" s="57">
        <v>0</v>
      </c>
      <c r="DG130" s="137">
        <v>0</v>
      </c>
      <c r="DH130" s="137">
        <v>0</v>
      </c>
      <c r="DI130" s="137">
        <v>0</v>
      </c>
      <c r="DJ130" s="137">
        <v>0</v>
      </c>
      <c r="DK130" s="137">
        <v>0</v>
      </c>
      <c r="DL130" s="137">
        <v>0</v>
      </c>
      <c r="DM130" s="137">
        <v>0</v>
      </c>
      <c r="DN130" s="137">
        <v>0</v>
      </c>
      <c r="DO130" s="137">
        <v>0</v>
      </c>
      <c r="DP130" s="137">
        <v>0</v>
      </c>
      <c r="DQ130" s="137">
        <v>0</v>
      </c>
      <c r="DR130" s="137">
        <v>0</v>
      </c>
      <c r="DS130" s="137">
        <v>0</v>
      </c>
      <c r="DT130" s="137">
        <v>0</v>
      </c>
      <c r="DU130" s="137">
        <v>0</v>
      </c>
      <c r="DV130" s="137">
        <v>0</v>
      </c>
      <c r="DW130" s="137">
        <v>0</v>
      </c>
      <c r="DX130" s="137">
        <v>0</v>
      </c>
      <c r="DY130" s="137">
        <v>0</v>
      </c>
      <c r="DZ130" s="137">
        <v>0</v>
      </c>
      <c r="EA130" s="137">
        <v>0</v>
      </c>
    </row>
    <row r="131" spans="1:131" x14ac:dyDescent="0.35">
      <c r="A131" s="90" t="e">
        <f>VLOOKUP(E131,'Validation List'!F132:G527,2,FALSE)</f>
        <v>#N/A</v>
      </c>
      <c r="B131" s="90" t="e">
        <f>INDEX('NEW HIRE ROSTER'!$G:$G,MATCH(RAW!F131,'NEW HIRE ROSTER'!$A:$A,0))</f>
        <v>#N/A</v>
      </c>
      <c r="C131" s="90" t="e">
        <f>INDEX('NEW HIRE ROSTER'!$F:$F,MATCH(RAW!F131,'NEW HIRE ROSTER'!$A:$A,0))</f>
        <v>#N/A</v>
      </c>
      <c r="D131" s="90" t="e">
        <f>INDEX('Validation List'!$H:$H,MATCH(RAW!E131,'Validation List'!$F:$F,0))</f>
        <v>#N/A</v>
      </c>
      <c r="G131" s="90" t="e">
        <f>VLOOKUP(F131,ML!C115:D713,2,FALSE)</f>
        <v>#N/A</v>
      </c>
      <c r="H131" s="90" t="e">
        <f>VLOOKUP(F131,ML!C115:E713,3,FALSE)</f>
        <v>#N/A</v>
      </c>
      <c r="M131" s="56"/>
      <c r="N131" s="57">
        <v>0</v>
      </c>
      <c r="O131" s="57">
        <v>0</v>
      </c>
      <c r="P131" s="57">
        <v>0</v>
      </c>
      <c r="Q131" s="57">
        <v>0</v>
      </c>
      <c r="R131" s="57">
        <v>0</v>
      </c>
      <c r="S131" s="57">
        <v>0</v>
      </c>
      <c r="T131" s="57">
        <v>0</v>
      </c>
      <c r="U131" s="57">
        <v>0</v>
      </c>
      <c r="V131" s="57">
        <v>0</v>
      </c>
      <c r="W131" s="57">
        <v>0</v>
      </c>
      <c r="X131" s="57">
        <v>0</v>
      </c>
      <c r="Y131" s="57">
        <v>0</v>
      </c>
      <c r="Z131" s="57">
        <v>0</v>
      </c>
      <c r="AA131" s="57">
        <v>0</v>
      </c>
      <c r="AB131" s="57">
        <v>0</v>
      </c>
      <c r="AC131" s="57">
        <v>0</v>
      </c>
      <c r="AD131" s="57">
        <v>0</v>
      </c>
      <c r="AE131" s="57">
        <v>0</v>
      </c>
      <c r="AF131" s="57">
        <v>0</v>
      </c>
      <c r="AG131" s="57">
        <v>0</v>
      </c>
      <c r="AH131" s="57">
        <v>0</v>
      </c>
      <c r="AI131" s="57">
        <v>0</v>
      </c>
      <c r="AJ131" s="57">
        <v>0</v>
      </c>
      <c r="AK131" s="57">
        <v>0</v>
      </c>
      <c r="AL131" s="57">
        <v>0</v>
      </c>
      <c r="AM131" s="57">
        <v>0</v>
      </c>
      <c r="AN131" s="57">
        <v>0</v>
      </c>
      <c r="AO131" s="57">
        <v>0</v>
      </c>
      <c r="AP131" s="57">
        <v>0</v>
      </c>
      <c r="AQ131" s="57">
        <v>0</v>
      </c>
      <c r="AR131" s="57">
        <v>0</v>
      </c>
      <c r="AS131" s="57">
        <v>0</v>
      </c>
      <c r="AT131" s="57">
        <v>0</v>
      </c>
      <c r="AU131" s="57">
        <v>0</v>
      </c>
      <c r="AV131" s="57">
        <v>0</v>
      </c>
      <c r="AW131" s="57">
        <v>0</v>
      </c>
      <c r="AX131" s="57">
        <v>0</v>
      </c>
      <c r="AY131" s="57">
        <v>0</v>
      </c>
      <c r="AZ131" s="57">
        <v>0</v>
      </c>
      <c r="BA131" s="57">
        <v>0</v>
      </c>
      <c r="BB131" s="57">
        <v>0</v>
      </c>
      <c r="BC131" s="57">
        <v>0</v>
      </c>
      <c r="BD131" s="57">
        <v>0</v>
      </c>
      <c r="BE131" s="57">
        <v>0</v>
      </c>
      <c r="BF131" s="57">
        <v>0</v>
      </c>
      <c r="BG131" s="57">
        <v>0</v>
      </c>
      <c r="BH131" s="57">
        <v>0</v>
      </c>
      <c r="BI131" s="57">
        <v>0</v>
      </c>
      <c r="BJ131" s="57">
        <v>0</v>
      </c>
      <c r="BK131" s="57">
        <v>0</v>
      </c>
      <c r="BL131" s="57">
        <v>0</v>
      </c>
      <c r="BM131" s="57">
        <v>0</v>
      </c>
      <c r="BN131" s="57">
        <v>0</v>
      </c>
      <c r="BO131" s="57">
        <v>0</v>
      </c>
      <c r="BP131" s="57">
        <v>0</v>
      </c>
      <c r="BQ131" s="57">
        <v>0</v>
      </c>
      <c r="BR131" s="57">
        <v>0</v>
      </c>
      <c r="BS131" s="57">
        <v>0</v>
      </c>
      <c r="BT131" s="57">
        <v>0</v>
      </c>
      <c r="BU131" s="57">
        <v>0</v>
      </c>
      <c r="BV131" s="57">
        <v>0</v>
      </c>
      <c r="BW131" s="57">
        <v>0</v>
      </c>
      <c r="BX131" s="57">
        <v>0</v>
      </c>
      <c r="BY131" s="57">
        <v>0</v>
      </c>
      <c r="BZ131" s="57">
        <v>0</v>
      </c>
      <c r="CA131" s="57">
        <v>0</v>
      </c>
      <c r="CB131" s="57">
        <v>0</v>
      </c>
      <c r="CC131" s="57">
        <v>0</v>
      </c>
      <c r="CD131" s="57">
        <v>0</v>
      </c>
      <c r="CE131" s="57">
        <v>0</v>
      </c>
      <c r="CF131" s="57">
        <v>0</v>
      </c>
      <c r="CG131" s="57">
        <v>0</v>
      </c>
      <c r="CH131" s="57">
        <v>0</v>
      </c>
      <c r="CI131" s="57">
        <v>0</v>
      </c>
      <c r="CJ131" s="57">
        <v>0</v>
      </c>
      <c r="CK131" s="57">
        <v>0</v>
      </c>
      <c r="CL131" s="57">
        <v>0</v>
      </c>
      <c r="CM131" s="57">
        <v>0</v>
      </c>
      <c r="CN131" s="57">
        <v>0</v>
      </c>
      <c r="CO131" s="57">
        <v>0</v>
      </c>
      <c r="CP131" s="57">
        <v>0</v>
      </c>
      <c r="CQ131" s="57">
        <v>0</v>
      </c>
      <c r="CR131" s="57">
        <v>0</v>
      </c>
      <c r="CS131" s="57">
        <v>0</v>
      </c>
      <c r="CT131" s="57">
        <v>0</v>
      </c>
      <c r="CU131" s="57">
        <v>0</v>
      </c>
      <c r="CV131" s="57">
        <v>0</v>
      </c>
      <c r="CW131" s="57">
        <v>0</v>
      </c>
      <c r="CX131" s="57">
        <v>0</v>
      </c>
      <c r="CY131" s="57">
        <v>0</v>
      </c>
      <c r="CZ131" s="57">
        <v>0</v>
      </c>
      <c r="DA131" s="57">
        <v>0</v>
      </c>
      <c r="DB131" s="57">
        <v>0</v>
      </c>
      <c r="DC131" s="57">
        <v>0</v>
      </c>
      <c r="DD131" s="57">
        <v>0</v>
      </c>
      <c r="DE131" s="57">
        <v>0</v>
      </c>
      <c r="DF131" s="57">
        <v>0</v>
      </c>
      <c r="DG131" s="137">
        <v>0</v>
      </c>
      <c r="DH131" s="137">
        <v>0</v>
      </c>
      <c r="DI131" s="137">
        <v>0</v>
      </c>
      <c r="DJ131" s="137">
        <v>0</v>
      </c>
      <c r="DK131" s="137">
        <v>0</v>
      </c>
      <c r="DL131" s="137">
        <v>0</v>
      </c>
      <c r="DM131" s="137">
        <v>0</v>
      </c>
      <c r="DN131" s="137">
        <v>0</v>
      </c>
      <c r="DO131" s="137">
        <v>0</v>
      </c>
      <c r="DP131" s="137">
        <v>0</v>
      </c>
      <c r="DQ131" s="137">
        <v>0</v>
      </c>
      <c r="DR131" s="137">
        <v>0</v>
      </c>
      <c r="DS131" s="137">
        <v>0</v>
      </c>
      <c r="DT131" s="137">
        <v>0</v>
      </c>
      <c r="DU131" s="137">
        <v>0</v>
      </c>
      <c r="DV131" s="137">
        <v>0</v>
      </c>
      <c r="DW131" s="137">
        <v>0</v>
      </c>
      <c r="DX131" s="137">
        <v>0</v>
      </c>
      <c r="DY131" s="137">
        <v>0</v>
      </c>
      <c r="DZ131" s="137">
        <v>0</v>
      </c>
      <c r="EA131" s="137">
        <v>0</v>
      </c>
    </row>
    <row r="132" spans="1:131" x14ac:dyDescent="0.35">
      <c r="A132" s="90" t="e">
        <f>VLOOKUP(E132,'Validation List'!F133:G528,2,FALSE)</f>
        <v>#N/A</v>
      </c>
      <c r="B132" s="90" t="e">
        <f>INDEX('NEW HIRE ROSTER'!$G:$G,MATCH(RAW!F132,'NEW HIRE ROSTER'!$A:$A,0))</f>
        <v>#N/A</v>
      </c>
      <c r="C132" s="90" t="e">
        <f>INDEX('NEW HIRE ROSTER'!$F:$F,MATCH(RAW!F132,'NEW HIRE ROSTER'!$A:$A,0))</f>
        <v>#N/A</v>
      </c>
      <c r="D132" s="90" t="e">
        <f>INDEX('Validation List'!$H:$H,MATCH(RAW!E132,'Validation List'!$F:$F,0))</f>
        <v>#N/A</v>
      </c>
      <c r="G132" s="90" t="e">
        <f>VLOOKUP(F132,ML!C116:D714,2,FALSE)</f>
        <v>#N/A</v>
      </c>
      <c r="H132" s="90" t="e">
        <f>VLOOKUP(F132,ML!C116:E714,3,FALSE)</f>
        <v>#N/A</v>
      </c>
      <c r="M132" s="56"/>
      <c r="N132" s="57">
        <v>0</v>
      </c>
      <c r="O132" s="57">
        <v>0</v>
      </c>
      <c r="P132" s="57">
        <v>0</v>
      </c>
      <c r="Q132" s="57">
        <v>0</v>
      </c>
      <c r="R132" s="57">
        <v>0</v>
      </c>
      <c r="S132" s="57">
        <v>0</v>
      </c>
      <c r="T132" s="57">
        <v>0</v>
      </c>
      <c r="U132" s="57">
        <v>0</v>
      </c>
      <c r="V132" s="57">
        <v>0</v>
      </c>
      <c r="W132" s="57">
        <v>0</v>
      </c>
      <c r="X132" s="57">
        <v>0</v>
      </c>
      <c r="Y132" s="57">
        <v>0</v>
      </c>
      <c r="Z132" s="57">
        <v>0</v>
      </c>
      <c r="AA132" s="57">
        <v>0</v>
      </c>
      <c r="AB132" s="57">
        <v>0</v>
      </c>
      <c r="AC132" s="57">
        <v>0</v>
      </c>
      <c r="AD132" s="57">
        <v>0</v>
      </c>
      <c r="AE132" s="57">
        <v>0</v>
      </c>
      <c r="AF132" s="57">
        <v>0</v>
      </c>
      <c r="AG132" s="57">
        <v>0</v>
      </c>
      <c r="AH132" s="57">
        <v>0</v>
      </c>
      <c r="AI132" s="57">
        <v>0</v>
      </c>
      <c r="AJ132" s="57">
        <v>0</v>
      </c>
      <c r="AK132" s="57">
        <v>0</v>
      </c>
      <c r="AL132" s="57">
        <v>0</v>
      </c>
      <c r="AM132" s="57">
        <v>0</v>
      </c>
      <c r="AN132" s="57">
        <v>0</v>
      </c>
      <c r="AO132" s="57">
        <v>0</v>
      </c>
      <c r="AP132" s="57">
        <v>0</v>
      </c>
      <c r="AQ132" s="57">
        <v>0</v>
      </c>
      <c r="AR132" s="57">
        <v>0</v>
      </c>
      <c r="AS132" s="57">
        <v>0</v>
      </c>
      <c r="AT132" s="57">
        <v>0</v>
      </c>
      <c r="AU132" s="57">
        <v>0</v>
      </c>
      <c r="AV132" s="57">
        <v>0</v>
      </c>
      <c r="AW132" s="57">
        <v>0</v>
      </c>
      <c r="AX132" s="57">
        <v>0</v>
      </c>
      <c r="AY132" s="57">
        <v>0</v>
      </c>
      <c r="AZ132" s="57">
        <v>0</v>
      </c>
      <c r="BA132" s="57">
        <v>0</v>
      </c>
      <c r="BB132" s="57">
        <v>0</v>
      </c>
      <c r="BC132" s="57">
        <v>0</v>
      </c>
      <c r="BD132" s="57">
        <v>0</v>
      </c>
      <c r="BE132" s="57">
        <v>0</v>
      </c>
      <c r="BF132" s="57">
        <v>0</v>
      </c>
      <c r="BG132" s="57">
        <v>0</v>
      </c>
      <c r="BH132" s="57">
        <v>0</v>
      </c>
      <c r="BI132" s="57">
        <v>0</v>
      </c>
      <c r="BJ132" s="57">
        <v>0</v>
      </c>
      <c r="BK132" s="57">
        <v>0</v>
      </c>
      <c r="BL132" s="57">
        <v>0</v>
      </c>
      <c r="BM132" s="57">
        <v>0</v>
      </c>
      <c r="BN132" s="57">
        <v>0</v>
      </c>
      <c r="BO132" s="57">
        <v>0</v>
      </c>
      <c r="BP132" s="57">
        <v>0</v>
      </c>
      <c r="BQ132" s="57">
        <v>0</v>
      </c>
      <c r="BR132" s="57">
        <v>0</v>
      </c>
      <c r="BS132" s="57">
        <v>0</v>
      </c>
      <c r="BT132" s="57">
        <v>0</v>
      </c>
      <c r="BU132" s="57">
        <v>0</v>
      </c>
      <c r="BV132" s="57">
        <v>0</v>
      </c>
      <c r="BW132" s="57">
        <v>0</v>
      </c>
      <c r="BX132" s="57">
        <v>0</v>
      </c>
      <c r="BY132" s="57">
        <v>0</v>
      </c>
      <c r="BZ132" s="57">
        <v>0</v>
      </c>
      <c r="CA132" s="57">
        <v>0</v>
      </c>
      <c r="CB132" s="57">
        <v>0</v>
      </c>
      <c r="CC132" s="57">
        <v>0</v>
      </c>
      <c r="CD132" s="57">
        <v>0</v>
      </c>
      <c r="CE132" s="57">
        <v>0</v>
      </c>
      <c r="CF132" s="57">
        <v>0</v>
      </c>
      <c r="CG132" s="57">
        <v>0</v>
      </c>
      <c r="CH132" s="57">
        <v>0</v>
      </c>
      <c r="CI132" s="57">
        <v>0</v>
      </c>
      <c r="CJ132" s="57">
        <v>0</v>
      </c>
      <c r="CK132" s="57">
        <v>0</v>
      </c>
      <c r="CL132" s="57">
        <v>0</v>
      </c>
      <c r="CM132" s="57">
        <v>0</v>
      </c>
      <c r="CN132" s="57">
        <v>0</v>
      </c>
      <c r="CO132" s="57">
        <v>0</v>
      </c>
      <c r="CP132" s="57">
        <v>0</v>
      </c>
      <c r="CQ132" s="57">
        <v>0</v>
      </c>
      <c r="CR132" s="57">
        <v>0</v>
      </c>
      <c r="CS132" s="57">
        <v>0</v>
      </c>
      <c r="CT132" s="57">
        <v>0</v>
      </c>
      <c r="CU132" s="57">
        <v>0</v>
      </c>
      <c r="CV132" s="57">
        <v>0</v>
      </c>
      <c r="CW132" s="57">
        <v>0</v>
      </c>
      <c r="CX132" s="57">
        <v>0</v>
      </c>
      <c r="CY132" s="57">
        <v>0</v>
      </c>
      <c r="CZ132" s="57">
        <v>0</v>
      </c>
      <c r="DA132" s="57">
        <v>0</v>
      </c>
      <c r="DB132" s="57">
        <v>0</v>
      </c>
      <c r="DC132" s="57">
        <v>0</v>
      </c>
      <c r="DD132" s="57">
        <v>0</v>
      </c>
      <c r="DE132" s="57">
        <v>0</v>
      </c>
      <c r="DF132" s="57">
        <v>0</v>
      </c>
      <c r="DG132" s="137">
        <v>0</v>
      </c>
      <c r="DH132" s="137">
        <v>0</v>
      </c>
      <c r="DI132" s="137">
        <v>0</v>
      </c>
      <c r="DJ132" s="137">
        <v>0</v>
      </c>
      <c r="DK132" s="137">
        <v>0</v>
      </c>
      <c r="DL132" s="137">
        <v>0</v>
      </c>
      <c r="DM132" s="137">
        <v>0</v>
      </c>
      <c r="DN132" s="137">
        <v>0</v>
      </c>
      <c r="DO132" s="137">
        <v>0</v>
      </c>
      <c r="DP132" s="137">
        <v>0</v>
      </c>
      <c r="DQ132" s="137">
        <v>0</v>
      </c>
      <c r="DR132" s="137">
        <v>0</v>
      </c>
      <c r="DS132" s="137">
        <v>0</v>
      </c>
      <c r="DT132" s="137">
        <v>0</v>
      </c>
      <c r="DU132" s="137">
        <v>0</v>
      </c>
      <c r="DV132" s="137">
        <v>0</v>
      </c>
      <c r="DW132" s="137">
        <v>0</v>
      </c>
      <c r="DX132" s="137">
        <v>0</v>
      </c>
      <c r="DY132" s="137">
        <v>0</v>
      </c>
      <c r="DZ132" s="137">
        <v>0</v>
      </c>
      <c r="EA132" s="137">
        <v>0</v>
      </c>
    </row>
    <row r="133" spans="1:131" x14ac:dyDescent="0.35">
      <c r="A133" s="90" t="e">
        <f>VLOOKUP(E133,'Validation List'!F134:G529,2,FALSE)</f>
        <v>#N/A</v>
      </c>
      <c r="B133" s="90" t="e">
        <f>INDEX('NEW HIRE ROSTER'!$G:$G,MATCH(RAW!F133,'NEW HIRE ROSTER'!$A:$A,0))</f>
        <v>#N/A</v>
      </c>
      <c r="C133" s="90" t="e">
        <f>INDEX('NEW HIRE ROSTER'!$F:$F,MATCH(RAW!F133,'NEW HIRE ROSTER'!$A:$A,0))</f>
        <v>#N/A</v>
      </c>
      <c r="D133" s="90" t="e">
        <f>INDEX('Validation List'!$H:$H,MATCH(RAW!E133,'Validation List'!$F:$F,0))</f>
        <v>#N/A</v>
      </c>
      <c r="G133" s="90" t="e">
        <f>VLOOKUP(F133,ML!C117:D715,2,FALSE)</f>
        <v>#N/A</v>
      </c>
      <c r="H133" s="90" t="e">
        <f>VLOOKUP(F133,ML!C117:E715,3,FALSE)</f>
        <v>#N/A</v>
      </c>
      <c r="M133" s="56"/>
      <c r="N133" s="57">
        <v>0</v>
      </c>
      <c r="O133" s="57">
        <v>0</v>
      </c>
      <c r="P133" s="57">
        <v>0</v>
      </c>
      <c r="Q133" s="57">
        <v>0</v>
      </c>
      <c r="R133" s="57">
        <v>0</v>
      </c>
      <c r="S133" s="57">
        <v>0</v>
      </c>
      <c r="T133" s="57">
        <v>0</v>
      </c>
      <c r="U133" s="57">
        <v>0</v>
      </c>
      <c r="V133" s="57">
        <v>0</v>
      </c>
      <c r="W133" s="57">
        <v>0</v>
      </c>
      <c r="X133" s="57">
        <v>0</v>
      </c>
      <c r="Y133" s="57">
        <v>0</v>
      </c>
      <c r="Z133" s="57">
        <v>0</v>
      </c>
      <c r="AA133" s="57">
        <v>0</v>
      </c>
      <c r="AB133" s="57">
        <v>0</v>
      </c>
      <c r="AC133" s="57">
        <v>0</v>
      </c>
      <c r="AD133" s="57">
        <v>0</v>
      </c>
      <c r="AE133" s="57">
        <v>0</v>
      </c>
      <c r="AF133" s="57">
        <v>0</v>
      </c>
      <c r="AG133" s="57">
        <v>0</v>
      </c>
      <c r="AH133" s="57">
        <v>0</v>
      </c>
      <c r="AI133" s="57">
        <v>0</v>
      </c>
      <c r="AJ133" s="57">
        <v>0</v>
      </c>
      <c r="AK133" s="57">
        <v>0</v>
      </c>
      <c r="AL133" s="57">
        <v>0</v>
      </c>
      <c r="AM133" s="57">
        <v>0</v>
      </c>
      <c r="AN133" s="57">
        <v>0</v>
      </c>
      <c r="AO133" s="57">
        <v>0</v>
      </c>
      <c r="AP133" s="57">
        <v>0</v>
      </c>
      <c r="AQ133" s="57">
        <v>0</v>
      </c>
      <c r="AR133" s="57">
        <v>0</v>
      </c>
      <c r="AS133" s="57">
        <v>0</v>
      </c>
      <c r="AT133" s="57">
        <v>0</v>
      </c>
      <c r="AU133" s="57">
        <v>0</v>
      </c>
      <c r="AV133" s="57">
        <v>0</v>
      </c>
      <c r="AW133" s="57">
        <v>0</v>
      </c>
      <c r="AX133" s="57">
        <v>0</v>
      </c>
      <c r="AY133" s="57">
        <v>0</v>
      </c>
      <c r="AZ133" s="57">
        <v>0</v>
      </c>
      <c r="BA133" s="57">
        <v>0</v>
      </c>
      <c r="BB133" s="57">
        <v>0</v>
      </c>
      <c r="BC133" s="57">
        <v>0</v>
      </c>
      <c r="BD133" s="57">
        <v>0</v>
      </c>
      <c r="BE133" s="57">
        <v>0</v>
      </c>
      <c r="BF133" s="57">
        <v>0</v>
      </c>
      <c r="BG133" s="57">
        <v>0</v>
      </c>
      <c r="BH133" s="57">
        <v>0</v>
      </c>
      <c r="BI133" s="57">
        <v>0</v>
      </c>
      <c r="BJ133" s="57">
        <v>0</v>
      </c>
      <c r="BK133" s="57">
        <v>0</v>
      </c>
      <c r="BL133" s="57">
        <v>0</v>
      </c>
      <c r="BM133" s="57">
        <v>0</v>
      </c>
      <c r="BN133" s="57">
        <v>0</v>
      </c>
      <c r="BO133" s="57">
        <v>0</v>
      </c>
      <c r="BP133" s="57">
        <v>0</v>
      </c>
      <c r="BQ133" s="57">
        <v>0</v>
      </c>
      <c r="BR133" s="57">
        <v>0</v>
      </c>
      <c r="BS133" s="57">
        <v>0</v>
      </c>
      <c r="BT133" s="57">
        <v>0</v>
      </c>
      <c r="BU133" s="57">
        <v>0</v>
      </c>
      <c r="BV133" s="57">
        <v>0</v>
      </c>
      <c r="BW133" s="57">
        <v>0</v>
      </c>
      <c r="BX133" s="57">
        <v>0</v>
      </c>
      <c r="BY133" s="57">
        <v>0</v>
      </c>
      <c r="BZ133" s="57">
        <v>0</v>
      </c>
      <c r="CA133" s="57">
        <v>0</v>
      </c>
      <c r="CB133" s="57">
        <v>0</v>
      </c>
      <c r="CC133" s="57">
        <v>0</v>
      </c>
      <c r="CD133" s="57">
        <v>0</v>
      </c>
      <c r="CE133" s="57">
        <v>0</v>
      </c>
      <c r="CF133" s="57">
        <v>0</v>
      </c>
      <c r="CG133" s="57">
        <v>0</v>
      </c>
      <c r="CH133" s="57">
        <v>0</v>
      </c>
      <c r="CI133" s="57">
        <v>0</v>
      </c>
      <c r="CJ133" s="57">
        <v>0</v>
      </c>
      <c r="CK133" s="57">
        <v>0</v>
      </c>
      <c r="CL133" s="57">
        <v>0</v>
      </c>
      <c r="CM133" s="57">
        <v>0</v>
      </c>
      <c r="CN133" s="57">
        <v>0</v>
      </c>
      <c r="CO133" s="57">
        <v>0</v>
      </c>
      <c r="CP133" s="57">
        <v>0</v>
      </c>
      <c r="CQ133" s="57">
        <v>0</v>
      </c>
      <c r="CR133" s="57">
        <v>0</v>
      </c>
      <c r="CS133" s="57">
        <v>0</v>
      </c>
      <c r="CT133" s="57">
        <v>0</v>
      </c>
      <c r="CU133" s="57">
        <v>0</v>
      </c>
      <c r="CV133" s="57">
        <v>0</v>
      </c>
      <c r="CW133" s="57">
        <v>0</v>
      </c>
      <c r="CX133" s="57">
        <v>0</v>
      </c>
      <c r="CY133" s="57">
        <v>0</v>
      </c>
      <c r="CZ133" s="57">
        <v>0</v>
      </c>
      <c r="DA133" s="57">
        <v>0</v>
      </c>
      <c r="DB133" s="57">
        <v>0</v>
      </c>
      <c r="DC133" s="57">
        <v>0</v>
      </c>
      <c r="DD133" s="57">
        <v>0</v>
      </c>
      <c r="DE133" s="57">
        <v>0</v>
      </c>
      <c r="DF133" s="57">
        <v>0</v>
      </c>
      <c r="DG133" s="137">
        <v>0</v>
      </c>
      <c r="DH133" s="137">
        <v>0</v>
      </c>
      <c r="DI133" s="137">
        <v>0</v>
      </c>
      <c r="DJ133" s="137">
        <v>0</v>
      </c>
      <c r="DK133" s="137">
        <v>0</v>
      </c>
      <c r="DL133" s="137">
        <v>0</v>
      </c>
      <c r="DM133" s="137">
        <v>0</v>
      </c>
      <c r="DN133" s="137">
        <v>0</v>
      </c>
      <c r="DO133" s="137">
        <v>0</v>
      </c>
      <c r="DP133" s="137">
        <v>0</v>
      </c>
      <c r="DQ133" s="137">
        <v>0</v>
      </c>
      <c r="DR133" s="137">
        <v>0</v>
      </c>
      <c r="DS133" s="137">
        <v>0</v>
      </c>
      <c r="DT133" s="137">
        <v>0</v>
      </c>
      <c r="DU133" s="137">
        <v>0</v>
      </c>
      <c r="DV133" s="137">
        <v>0</v>
      </c>
      <c r="DW133" s="137">
        <v>0</v>
      </c>
      <c r="DX133" s="137">
        <v>0</v>
      </c>
      <c r="DY133" s="137">
        <v>0</v>
      </c>
      <c r="DZ133" s="137">
        <v>0</v>
      </c>
      <c r="EA133" s="137">
        <v>0</v>
      </c>
    </row>
    <row r="134" spans="1:131" x14ac:dyDescent="0.35">
      <c r="A134" s="90" t="e">
        <f>VLOOKUP(E134,'Validation List'!F135:G530,2,FALSE)</f>
        <v>#N/A</v>
      </c>
      <c r="B134" s="90" t="e">
        <f>INDEX('NEW HIRE ROSTER'!$G:$G,MATCH(RAW!F134,'NEW HIRE ROSTER'!$A:$A,0))</f>
        <v>#N/A</v>
      </c>
      <c r="C134" s="90" t="e">
        <f>INDEX('NEW HIRE ROSTER'!$F:$F,MATCH(RAW!F134,'NEW HIRE ROSTER'!$A:$A,0))</f>
        <v>#N/A</v>
      </c>
      <c r="D134" s="90" t="e">
        <f>INDEX('Validation List'!$H:$H,MATCH(RAW!E134,'Validation List'!$F:$F,0))</f>
        <v>#N/A</v>
      </c>
      <c r="G134" s="90" t="e">
        <f>VLOOKUP(F134,ML!C118:D716,2,FALSE)</f>
        <v>#N/A</v>
      </c>
      <c r="H134" s="90" t="e">
        <f>VLOOKUP(F134,ML!C118:E716,3,FALSE)</f>
        <v>#N/A</v>
      </c>
      <c r="M134" s="56"/>
      <c r="N134" s="57">
        <v>0</v>
      </c>
      <c r="O134" s="57">
        <v>0</v>
      </c>
      <c r="P134" s="57">
        <v>0</v>
      </c>
      <c r="Q134" s="57">
        <v>0</v>
      </c>
      <c r="R134" s="57">
        <v>0</v>
      </c>
      <c r="S134" s="57">
        <v>0</v>
      </c>
      <c r="T134" s="57">
        <v>0</v>
      </c>
      <c r="U134" s="57">
        <v>0</v>
      </c>
      <c r="V134" s="57">
        <v>0</v>
      </c>
      <c r="W134" s="57">
        <v>0</v>
      </c>
      <c r="X134" s="57">
        <v>0</v>
      </c>
      <c r="Y134" s="57">
        <v>0</v>
      </c>
      <c r="Z134" s="57">
        <v>0</v>
      </c>
      <c r="AA134" s="57">
        <v>0</v>
      </c>
      <c r="AB134" s="57">
        <v>0</v>
      </c>
      <c r="AC134" s="57">
        <v>0</v>
      </c>
      <c r="AD134" s="57">
        <v>0</v>
      </c>
      <c r="AE134" s="57">
        <v>0</v>
      </c>
      <c r="AF134" s="57">
        <v>0</v>
      </c>
      <c r="AG134" s="57">
        <v>0</v>
      </c>
      <c r="AH134" s="57">
        <v>0</v>
      </c>
      <c r="AI134" s="57">
        <v>0</v>
      </c>
      <c r="AJ134" s="57">
        <v>0</v>
      </c>
      <c r="AK134" s="57">
        <v>0</v>
      </c>
      <c r="AL134" s="57">
        <v>0</v>
      </c>
      <c r="AM134" s="57">
        <v>0</v>
      </c>
      <c r="AN134" s="57">
        <v>0</v>
      </c>
      <c r="AO134" s="57">
        <v>0</v>
      </c>
      <c r="AP134" s="57">
        <v>0</v>
      </c>
      <c r="AQ134" s="57">
        <v>0</v>
      </c>
      <c r="AR134" s="57">
        <v>0</v>
      </c>
      <c r="AS134" s="57">
        <v>0</v>
      </c>
      <c r="AT134" s="57">
        <v>0</v>
      </c>
      <c r="AU134" s="57">
        <v>0</v>
      </c>
      <c r="AV134" s="57">
        <v>0</v>
      </c>
      <c r="AW134" s="57">
        <v>0</v>
      </c>
      <c r="AX134" s="57">
        <v>0</v>
      </c>
      <c r="AY134" s="57">
        <v>0</v>
      </c>
      <c r="AZ134" s="57">
        <v>0</v>
      </c>
      <c r="BA134" s="57">
        <v>0</v>
      </c>
      <c r="BB134" s="57">
        <v>0</v>
      </c>
      <c r="BC134" s="57">
        <v>0</v>
      </c>
      <c r="BD134" s="57">
        <v>0</v>
      </c>
      <c r="BE134" s="57">
        <v>0</v>
      </c>
      <c r="BF134" s="57">
        <v>0</v>
      </c>
      <c r="BG134" s="57">
        <v>0</v>
      </c>
      <c r="BH134" s="57">
        <v>0</v>
      </c>
      <c r="BI134" s="57">
        <v>0</v>
      </c>
      <c r="BJ134" s="57">
        <v>0</v>
      </c>
      <c r="BK134" s="57">
        <v>0</v>
      </c>
      <c r="BL134" s="57">
        <v>0</v>
      </c>
      <c r="BM134" s="57">
        <v>0</v>
      </c>
      <c r="BN134" s="57">
        <v>0</v>
      </c>
      <c r="BO134" s="57">
        <v>0</v>
      </c>
      <c r="BP134" s="57">
        <v>0</v>
      </c>
      <c r="BQ134" s="57">
        <v>0</v>
      </c>
      <c r="BR134" s="57">
        <v>0</v>
      </c>
      <c r="BS134" s="57">
        <v>0</v>
      </c>
      <c r="BT134" s="57">
        <v>0</v>
      </c>
      <c r="BU134" s="57">
        <v>0</v>
      </c>
      <c r="BV134" s="57">
        <v>0</v>
      </c>
      <c r="BW134" s="57">
        <v>0</v>
      </c>
      <c r="BX134" s="57">
        <v>0</v>
      </c>
      <c r="BY134" s="57">
        <v>0</v>
      </c>
      <c r="BZ134" s="57">
        <v>0</v>
      </c>
      <c r="CA134" s="57">
        <v>0</v>
      </c>
      <c r="CB134" s="57">
        <v>0</v>
      </c>
      <c r="CC134" s="57">
        <v>0</v>
      </c>
      <c r="CD134" s="57">
        <v>0</v>
      </c>
      <c r="CE134" s="57">
        <v>0</v>
      </c>
      <c r="CF134" s="57">
        <v>0</v>
      </c>
      <c r="CG134" s="57">
        <v>0</v>
      </c>
      <c r="CH134" s="57">
        <v>0</v>
      </c>
      <c r="CI134" s="57">
        <v>0</v>
      </c>
      <c r="CJ134" s="57">
        <v>0</v>
      </c>
      <c r="CK134" s="57">
        <v>0</v>
      </c>
      <c r="CL134" s="57">
        <v>0</v>
      </c>
      <c r="CM134" s="57">
        <v>0</v>
      </c>
      <c r="CN134" s="57">
        <v>0</v>
      </c>
      <c r="CO134" s="57">
        <v>0</v>
      </c>
      <c r="CP134" s="57">
        <v>0</v>
      </c>
      <c r="CQ134" s="57">
        <v>0</v>
      </c>
      <c r="CR134" s="57">
        <v>0</v>
      </c>
      <c r="CS134" s="57">
        <v>0</v>
      </c>
      <c r="CT134" s="57">
        <v>0</v>
      </c>
      <c r="CU134" s="57">
        <v>0</v>
      </c>
      <c r="CV134" s="57">
        <v>0</v>
      </c>
      <c r="CW134" s="57">
        <v>0</v>
      </c>
      <c r="CX134" s="57">
        <v>0</v>
      </c>
      <c r="CY134" s="57">
        <v>0</v>
      </c>
      <c r="CZ134" s="57">
        <v>0</v>
      </c>
      <c r="DA134" s="57">
        <v>0</v>
      </c>
      <c r="DB134" s="57">
        <v>0</v>
      </c>
      <c r="DC134" s="57">
        <v>0</v>
      </c>
      <c r="DD134" s="57">
        <v>0</v>
      </c>
      <c r="DE134" s="57">
        <v>0</v>
      </c>
      <c r="DF134" s="57">
        <v>0</v>
      </c>
      <c r="DG134" s="137">
        <v>0</v>
      </c>
      <c r="DH134" s="137">
        <v>0</v>
      </c>
      <c r="DI134" s="137">
        <v>0</v>
      </c>
      <c r="DJ134" s="137">
        <v>0</v>
      </c>
      <c r="DK134" s="137">
        <v>0</v>
      </c>
      <c r="DL134" s="137">
        <v>0</v>
      </c>
      <c r="DM134" s="137">
        <v>0</v>
      </c>
      <c r="DN134" s="137">
        <v>0</v>
      </c>
      <c r="DO134" s="137">
        <v>0</v>
      </c>
      <c r="DP134" s="137">
        <v>0</v>
      </c>
      <c r="DQ134" s="137">
        <v>0</v>
      </c>
      <c r="DR134" s="137">
        <v>0</v>
      </c>
      <c r="DS134" s="137">
        <v>0</v>
      </c>
      <c r="DT134" s="137">
        <v>0</v>
      </c>
      <c r="DU134" s="137">
        <v>0</v>
      </c>
      <c r="DV134" s="137">
        <v>0</v>
      </c>
      <c r="DW134" s="137">
        <v>0</v>
      </c>
      <c r="DX134" s="137">
        <v>0</v>
      </c>
      <c r="DY134" s="137">
        <v>0</v>
      </c>
      <c r="DZ134" s="137">
        <v>0</v>
      </c>
      <c r="EA134" s="137">
        <v>0</v>
      </c>
    </row>
    <row r="135" spans="1:131" x14ac:dyDescent="0.35">
      <c r="A135" s="90" t="e">
        <f>VLOOKUP(E135,'Validation List'!F136:G531,2,FALSE)</f>
        <v>#N/A</v>
      </c>
      <c r="B135" s="90" t="e">
        <f>INDEX('NEW HIRE ROSTER'!$G:$G,MATCH(RAW!F135,'NEW HIRE ROSTER'!$A:$A,0))</f>
        <v>#N/A</v>
      </c>
      <c r="C135" s="90" t="e">
        <f>INDEX('NEW HIRE ROSTER'!$F:$F,MATCH(RAW!F135,'NEW HIRE ROSTER'!$A:$A,0))</f>
        <v>#N/A</v>
      </c>
      <c r="D135" s="90" t="e">
        <f>INDEX('Validation List'!$H:$H,MATCH(RAW!E135,'Validation List'!$F:$F,0))</f>
        <v>#N/A</v>
      </c>
      <c r="G135" s="90" t="e">
        <f>VLOOKUP(F135,ML!C119:D717,2,FALSE)</f>
        <v>#N/A</v>
      </c>
      <c r="H135" s="90" t="e">
        <f>VLOOKUP(F135,ML!C119:E717,3,FALSE)</f>
        <v>#N/A</v>
      </c>
      <c r="M135" s="56"/>
      <c r="N135" s="57">
        <v>0</v>
      </c>
      <c r="O135" s="57">
        <v>0</v>
      </c>
      <c r="P135" s="57">
        <v>0</v>
      </c>
      <c r="Q135" s="57">
        <v>0</v>
      </c>
      <c r="R135" s="57">
        <v>0</v>
      </c>
      <c r="S135" s="57">
        <v>0</v>
      </c>
      <c r="T135" s="57">
        <v>0</v>
      </c>
      <c r="U135" s="57">
        <v>0</v>
      </c>
      <c r="V135" s="57">
        <v>0</v>
      </c>
      <c r="W135" s="57">
        <v>0</v>
      </c>
      <c r="X135" s="57">
        <v>0</v>
      </c>
      <c r="Y135" s="57">
        <v>0</v>
      </c>
      <c r="Z135" s="57">
        <v>0</v>
      </c>
      <c r="AA135" s="57">
        <v>0</v>
      </c>
      <c r="AB135" s="57">
        <v>0</v>
      </c>
      <c r="AC135" s="57">
        <v>0</v>
      </c>
      <c r="AD135" s="57">
        <v>0</v>
      </c>
      <c r="AE135" s="57">
        <v>0</v>
      </c>
      <c r="AF135" s="57">
        <v>0</v>
      </c>
      <c r="AG135" s="57">
        <v>0</v>
      </c>
      <c r="AH135" s="57">
        <v>0</v>
      </c>
      <c r="AI135" s="57">
        <v>0</v>
      </c>
      <c r="AJ135" s="57">
        <v>0</v>
      </c>
      <c r="AK135" s="57">
        <v>0</v>
      </c>
      <c r="AL135" s="57">
        <v>0</v>
      </c>
      <c r="AM135" s="57">
        <v>0</v>
      </c>
      <c r="AN135" s="57">
        <v>0</v>
      </c>
      <c r="AO135" s="57">
        <v>0</v>
      </c>
      <c r="AP135" s="57">
        <v>0</v>
      </c>
      <c r="AQ135" s="57">
        <v>0</v>
      </c>
      <c r="AR135" s="57">
        <v>0</v>
      </c>
      <c r="AS135" s="57">
        <v>0</v>
      </c>
      <c r="AT135" s="57">
        <v>0</v>
      </c>
      <c r="AU135" s="57">
        <v>0</v>
      </c>
      <c r="AV135" s="57">
        <v>0</v>
      </c>
      <c r="AW135" s="57">
        <v>0</v>
      </c>
      <c r="AX135" s="57">
        <v>0</v>
      </c>
      <c r="AY135" s="57">
        <v>0</v>
      </c>
      <c r="AZ135" s="57">
        <v>0</v>
      </c>
      <c r="BA135" s="57">
        <v>0</v>
      </c>
      <c r="BB135" s="57">
        <v>0</v>
      </c>
      <c r="BC135" s="57">
        <v>0</v>
      </c>
      <c r="BD135" s="57">
        <v>0</v>
      </c>
      <c r="BE135" s="57">
        <v>0</v>
      </c>
      <c r="BF135" s="57">
        <v>0</v>
      </c>
      <c r="BG135" s="57">
        <v>0</v>
      </c>
      <c r="BH135" s="57">
        <v>0</v>
      </c>
      <c r="BI135" s="57">
        <v>0</v>
      </c>
      <c r="BJ135" s="57">
        <v>0</v>
      </c>
      <c r="BK135" s="57">
        <v>0</v>
      </c>
      <c r="BL135" s="57">
        <v>0</v>
      </c>
      <c r="BM135" s="57">
        <v>0</v>
      </c>
      <c r="BN135" s="57">
        <v>0</v>
      </c>
      <c r="BO135" s="57">
        <v>0</v>
      </c>
      <c r="BP135" s="57">
        <v>0</v>
      </c>
      <c r="BQ135" s="57">
        <v>0</v>
      </c>
      <c r="BR135" s="57">
        <v>0</v>
      </c>
      <c r="BS135" s="57">
        <v>0</v>
      </c>
      <c r="BT135" s="57">
        <v>0</v>
      </c>
      <c r="BU135" s="57">
        <v>0</v>
      </c>
      <c r="BV135" s="57">
        <v>0</v>
      </c>
      <c r="BW135" s="57">
        <v>0</v>
      </c>
      <c r="BX135" s="57">
        <v>0</v>
      </c>
      <c r="BY135" s="57">
        <v>0</v>
      </c>
      <c r="BZ135" s="57">
        <v>0</v>
      </c>
      <c r="CA135" s="57">
        <v>0</v>
      </c>
      <c r="CB135" s="57">
        <v>0</v>
      </c>
      <c r="CC135" s="57">
        <v>0</v>
      </c>
      <c r="CD135" s="57">
        <v>0</v>
      </c>
      <c r="CE135" s="57">
        <v>0</v>
      </c>
      <c r="CF135" s="57">
        <v>0</v>
      </c>
      <c r="CG135" s="57">
        <v>0</v>
      </c>
      <c r="CH135" s="57">
        <v>0</v>
      </c>
      <c r="CI135" s="57">
        <v>0</v>
      </c>
      <c r="CJ135" s="57">
        <v>0</v>
      </c>
      <c r="CK135" s="57">
        <v>0</v>
      </c>
      <c r="CL135" s="57">
        <v>0</v>
      </c>
      <c r="CM135" s="57">
        <v>0</v>
      </c>
      <c r="CN135" s="57">
        <v>0</v>
      </c>
      <c r="CO135" s="57">
        <v>0</v>
      </c>
      <c r="CP135" s="57">
        <v>0</v>
      </c>
      <c r="CQ135" s="57">
        <v>0</v>
      </c>
      <c r="CR135" s="57">
        <v>0</v>
      </c>
      <c r="CS135" s="57">
        <v>0</v>
      </c>
      <c r="CT135" s="57">
        <v>0</v>
      </c>
      <c r="CU135" s="57">
        <v>0</v>
      </c>
      <c r="CV135" s="57">
        <v>0</v>
      </c>
      <c r="CW135" s="57">
        <v>0</v>
      </c>
      <c r="CX135" s="57">
        <v>0</v>
      </c>
      <c r="CY135" s="57">
        <v>0</v>
      </c>
      <c r="CZ135" s="57">
        <v>0</v>
      </c>
      <c r="DA135" s="57">
        <v>0</v>
      </c>
      <c r="DB135" s="57">
        <v>0</v>
      </c>
      <c r="DC135" s="57">
        <v>0</v>
      </c>
      <c r="DD135" s="57">
        <v>0</v>
      </c>
      <c r="DE135" s="57">
        <v>0</v>
      </c>
      <c r="DF135" s="57">
        <v>0</v>
      </c>
      <c r="DG135" s="137">
        <v>0</v>
      </c>
      <c r="DH135" s="137">
        <v>0</v>
      </c>
      <c r="DI135" s="137">
        <v>0</v>
      </c>
      <c r="DJ135" s="137">
        <v>0</v>
      </c>
      <c r="DK135" s="137">
        <v>0</v>
      </c>
      <c r="DL135" s="137">
        <v>0</v>
      </c>
      <c r="DM135" s="137">
        <v>0</v>
      </c>
      <c r="DN135" s="137">
        <v>0</v>
      </c>
      <c r="DO135" s="137">
        <v>0</v>
      </c>
      <c r="DP135" s="137">
        <v>0</v>
      </c>
      <c r="DQ135" s="137">
        <v>0</v>
      </c>
      <c r="DR135" s="137">
        <v>0</v>
      </c>
      <c r="DS135" s="137">
        <v>0</v>
      </c>
      <c r="DT135" s="137">
        <v>0</v>
      </c>
      <c r="DU135" s="137">
        <v>0</v>
      </c>
      <c r="DV135" s="137">
        <v>0</v>
      </c>
      <c r="DW135" s="137">
        <v>0</v>
      </c>
      <c r="DX135" s="137">
        <v>0</v>
      </c>
      <c r="DY135" s="137">
        <v>0</v>
      </c>
      <c r="DZ135" s="137">
        <v>0</v>
      </c>
      <c r="EA135" s="137">
        <v>0</v>
      </c>
    </row>
    <row r="136" spans="1:131" x14ac:dyDescent="0.35">
      <c r="A136" s="90" t="e">
        <f>VLOOKUP(E136,'Validation List'!F137:G532,2,FALSE)</f>
        <v>#N/A</v>
      </c>
      <c r="B136" s="90" t="e">
        <f>INDEX('NEW HIRE ROSTER'!$G:$G,MATCH(RAW!F136,'NEW HIRE ROSTER'!$A:$A,0))</f>
        <v>#N/A</v>
      </c>
      <c r="C136" s="90" t="e">
        <f>INDEX('NEW HIRE ROSTER'!$F:$F,MATCH(RAW!F136,'NEW HIRE ROSTER'!$A:$A,0))</f>
        <v>#N/A</v>
      </c>
      <c r="D136" s="90" t="e">
        <f>INDEX('Validation List'!$H:$H,MATCH(RAW!E136,'Validation List'!$F:$F,0))</f>
        <v>#N/A</v>
      </c>
      <c r="G136" s="90" t="e">
        <f>VLOOKUP(F136,ML!C120:D718,2,FALSE)</f>
        <v>#N/A</v>
      </c>
      <c r="H136" s="90" t="e">
        <f>VLOOKUP(F136,ML!C120:E718,3,FALSE)</f>
        <v>#N/A</v>
      </c>
      <c r="M136" s="56"/>
      <c r="N136" s="57">
        <v>0</v>
      </c>
      <c r="O136" s="57">
        <v>0</v>
      </c>
      <c r="P136" s="57">
        <v>0</v>
      </c>
      <c r="Q136" s="57">
        <v>0</v>
      </c>
      <c r="R136" s="57">
        <v>0</v>
      </c>
      <c r="S136" s="57">
        <v>0</v>
      </c>
      <c r="T136" s="57">
        <v>0</v>
      </c>
      <c r="U136" s="57">
        <v>0</v>
      </c>
      <c r="V136" s="57">
        <v>0</v>
      </c>
      <c r="W136" s="57">
        <v>0</v>
      </c>
      <c r="X136" s="57">
        <v>0</v>
      </c>
      <c r="Y136" s="57">
        <v>0</v>
      </c>
      <c r="Z136" s="57">
        <v>0</v>
      </c>
      <c r="AA136" s="57">
        <v>0</v>
      </c>
      <c r="AB136" s="57">
        <v>0</v>
      </c>
      <c r="AC136" s="57">
        <v>0</v>
      </c>
      <c r="AD136" s="57">
        <v>0</v>
      </c>
      <c r="AE136" s="57">
        <v>0</v>
      </c>
      <c r="AF136" s="57">
        <v>0</v>
      </c>
      <c r="AG136" s="57">
        <v>0</v>
      </c>
      <c r="AH136" s="57">
        <v>0</v>
      </c>
      <c r="AI136" s="57">
        <v>0</v>
      </c>
      <c r="AJ136" s="57">
        <v>0</v>
      </c>
      <c r="AK136" s="57">
        <v>0</v>
      </c>
      <c r="AL136" s="57">
        <v>0</v>
      </c>
      <c r="AM136" s="57">
        <v>0</v>
      </c>
      <c r="AN136" s="57">
        <v>0</v>
      </c>
      <c r="AO136" s="57">
        <v>0</v>
      </c>
      <c r="AP136" s="57">
        <v>0</v>
      </c>
      <c r="AQ136" s="57">
        <v>0</v>
      </c>
      <c r="AR136" s="57">
        <v>0</v>
      </c>
      <c r="AS136" s="57">
        <v>0</v>
      </c>
      <c r="AT136" s="57">
        <v>0</v>
      </c>
      <c r="AU136" s="57">
        <v>0</v>
      </c>
      <c r="AV136" s="57">
        <v>0</v>
      </c>
      <c r="AW136" s="57">
        <v>0</v>
      </c>
      <c r="AX136" s="57">
        <v>0</v>
      </c>
      <c r="AY136" s="57">
        <v>0</v>
      </c>
      <c r="AZ136" s="57">
        <v>0</v>
      </c>
      <c r="BA136" s="57">
        <v>0</v>
      </c>
      <c r="BB136" s="57">
        <v>0</v>
      </c>
      <c r="BC136" s="57">
        <v>0</v>
      </c>
      <c r="BD136" s="57">
        <v>0</v>
      </c>
      <c r="BE136" s="57">
        <v>0</v>
      </c>
      <c r="BF136" s="57">
        <v>0</v>
      </c>
      <c r="BG136" s="57">
        <v>0</v>
      </c>
      <c r="BH136" s="57">
        <v>0</v>
      </c>
      <c r="BI136" s="57">
        <v>0</v>
      </c>
      <c r="BJ136" s="57">
        <v>0</v>
      </c>
      <c r="BK136" s="57">
        <v>0</v>
      </c>
      <c r="BL136" s="57">
        <v>0</v>
      </c>
      <c r="BM136" s="57">
        <v>0</v>
      </c>
      <c r="BN136" s="57">
        <v>0</v>
      </c>
      <c r="BO136" s="57">
        <v>0</v>
      </c>
      <c r="BP136" s="57">
        <v>0</v>
      </c>
      <c r="BQ136" s="57">
        <v>0</v>
      </c>
      <c r="BR136" s="57">
        <v>0</v>
      </c>
      <c r="BS136" s="57">
        <v>0</v>
      </c>
      <c r="BT136" s="57">
        <v>0</v>
      </c>
      <c r="BU136" s="57">
        <v>0</v>
      </c>
      <c r="BV136" s="57">
        <v>0</v>
      </c>
      <c r="BW136" s="57">
        <v>0</v>
      </c>
      <c r="BX136" s="57">
        <v>0</v>
      </c>
      <c r="BY136" s="57">
        <v>0</v>
      </c>
      <c r="BZ136" s="57">
        <v>0</v>
      </c>
      <c r="CA136" s="57">
        <v>0</v>
      </c>
      <c r="CB136" s="57">
        <v>0</v>
      </c>
      <c r="CC136" s="57">
        <v>0</v>
      </c>
      <c r="CD136" s="57">
        <v>0</v>
      </c>
      <c r="CE136" s="57">
        <v>0</v>
      </c>
      <c r="CF136" s="57">
        <v>0</v>
      </c>
      <c r="CG136" s="57">
        <v>0</v>
      </c>
      <c r="CH136" s="57">
        <v>0</v>
      </c>
      <c r="CI136" s="57">
        <v>0</v>
      </c>
      <c r="CJ136" s="57">
        <v>0</v>
      </c>
      <c r="CK136" s="57">
        <v>0</v>
      </c>
      <c r="CL136" s="57">
        <v>0</v>
      </c>
      <c r="CM136" s="57">
        <v>0</v>
      </c>
      <c r="CN136" s="57">
        <v>0</v>
      </c>
      <c r="CO136" s="57">
        <v>0</v>
      </c>
      <c r="CP136" s="57">
        <v>0</v>
      </c>
      <c r="CQ136" s="57">
        <v>0</v>
      </c>
      <c r="CR136" s="57">
        <v>0</v>
      </c>
      <c r="CS136" s="57">
        <v>0</v>
      </c>
      <c r="CT136" s="57">
        <v>0</v>
      </c>
      <c r="CU136" s="57">
        <v>0</v>
      </c>
      <c r="CV136" s="57">
        <v>0</v>
      </c>
      <c r="CW136" s="57">
        <v>0</v>
      </c>
      <c r="CX136" s="57">
        <v>0</v>
      </c>
      <c r="CY136" s="57">
        <v>0</v>
      </c>
      <c r="CZ136" s="57">
        <v>0</v>
      </c>
      <c r="DA136" s="57">
        <v>0</v>
      </c>
      <c r="DB136" s="57">
        <v>0</v>
      </c>
      <c r="DC136" s="57">
        <v>0</v>
      </c>
      <c r="DD136" s="57">
        <v>0</v>
      </c>
      <c r="DE136" s="57">
        <v>0</v>
      </c>
      <c r="DF136" s="57">
        <v>0</v>
      </c>
      <c r="DG136" s="137">
        <v>0</v>
      </c>
      <c r="DH136" s="137">
        <v>0</v>
      </c>
      <c r="DI136" s="137">
        <v>0</v>
      </c>
      <c r="DJ136" s="137">
        <v>0</v>
      </c>
      <c r="DK136" s="137">
        <v>0</v>
      </c>
      <c r="DL136" s="137">
        <v>0</v>
      </c>
      <c r="DM136" s="137">
        <v>0</v>
      </c>
      <c r="DN136" s="137">
        <v>0</v>
      </c>
      <c r="DO136" s="137">
        <v>0</v>
      </c>
      <c r="DP136" s="137">
        <v>0</v>
      </c>
      <c r="DQ136" s="137">
        <v>0</v>
      </c>
      <c r="DR136" s="137">
        <v>0</v>
      </c>
      <c r="DS136" s="137">
        <v>0</v>
      </c>
      <c r="DT136" s="137">
        <v>0</v>
      </c>
      <c r="DU136" s="137">
        <v>0</v>
      </c>
      <c r="DV136" s="137">
        <v>0</v>
      </c>
      <c r="DW136" s="137">
        <v>0</v>
      </c>
      <c r="DX136" s="137">
        <v>0</v>
      </c>
      <c r="DY136" s="137">
        <v>0</v>
      </c>
      <c r="DZ136" s="137">
        <v>0</v>
      </c>
      <c r="EA136" s="137">
        <v>0</v>
      </c>
    </row>
    <row r="137" spans="1:131" x14ac:dyDescent="0.35">
      <c r="A137" s="90" t="e">
        <f>VLOOKUP(E137,'Validation List'!F138:G533,2,FALSE)</f>
        <v>#N/A</v>
      </c>
      <c r="B137" s="90" t="e">
        <f>INDEX('NEW HIRE ROSTER'!$G:$G,MATCH(RAW!F137,'NEW HIRE ROSTER'!$A:$A,0))</f>
        <v>#N/A</v>
      </c>
      <c r="C137" s="90" t="e">
        <f>INDEX('NEW HIRE ROSTER'!$F:$F,MATCH(RAW!F137,'NEW HIRE ROSTER'!$A:$A,0))</f>
        <v>#N/A</v>
      </c>
      <c r="D137" s="90" t="e">
        <f>INDEX('Validation List'!$H:$H,MATCH(RAW!E137,'Validation List'!$F:$F,0))</f>
        <v>#N/A</v>
      </c>
      <c r="G137" s="90" t="e">
        <f>VLOOKUP(F137,ML!C121:D719,2,FALSE)</f>
        <v>#N/A</v>
      </c>
      <c r="H137" s="90" t="e">
        <f>VLOOKUP(F137,ML!C121:E719,3,FALSE)</f>
        <v>#N/A</v>
      </c>
      <c r="M137" s="56"/>
      <c r="N137" s="57">
        <v>0</v>
      </c>
      <c r="O137" s="57">
        <v>0</v>
      </c>
      <c r="P137" s="57">
        <v>0</v>
      </c>
      <c r="Q137" s="57">
        <v>0</v>
      </c>
      <c r="R137" s="57">
        <v>0</v>
      </c>
      <c r="S137" s="57">
        <v>0</v>
      </c>
      <c r="T137" s="57">
        <v>0</v>
      </c>
      <c r="U137" s="57">
        <v>0</v>
      </c>
      <c r="V137" s="57">
        <v>0</v>
      </c>
      <c r="W137" s="57">
        <v>0</v>
      </c>
      <c r="X137" s="57">
        <v>0</v>
      </c>
      <c r="Y137" s="57">
        <v>0</v>
      </c>
      <c r="Z137" s="57">
        <v>0</v>
      </c>
      <c r="AA137" s="57">
        <v>0</v>
      </c>
      <c r="AB137" s="57">
        <v>0</v>
      </c>
      <c r="AC137" s="57">
        <v>0</v>
      </c>
      <c r="AD137" s="57">
        <v>0</v>
      </c>
      <c r="AE137" s="57">
        <v>0</v>
      </c>
      <c r="AF137" s="57">
        <v>0</v>
      </c>
      <c r="AG137" s="57">
        <v>0</v>
      </c>
      <c r="AH137" s="57">
        <v>0</v>
      </c>
      <c r="AI137" s="57">
        <v>0</v>
      </c>
      <c r="AJ137" s="57">
        <v>0</v>
      </c>
      <c r="AK137" s="57">
        <v>0</v>
      </c>
      <c r="AL137" s="57">
        <v>0</v>
      </c>
      <c r="AM137" s="57">
        <v>0</v>
      </c>
      <c r="AN137" s="57">
        <v>0</v>
      </c>
      <c r="AO137" s="57">
        <v>0</v>
      </c>
      <c r="AP137" s="57">
        <v>0</v>
      </c>
      <c r="AQ137" s="57">
        <v>0</v>
      </c>
      <c r="AR137" s="57">
        <v>0</v>
      </c>
      <c r="AS137" s="57">
        <v>0</v>
      </c>
      <c r="AT137" s="57">
        <v>0</v>
      </c>
      <c r="AU137" s="57">
        <v>0</v>
      </c>
      <c r="AV137" s="57">
        <v>0</v>
      </c>
      <c r="AW137" s="57">
        <v>0</v>
      </c>
      <c r="AX137" s="57">
        <v>0</v>
      </c>
      <c r="AY137" s="57">
        <v>0</v>
      </c>
      <c r="AZ137" s="57">
        <v>0</v>
      </c>
      <c r="BA137" s="57">
        <v>0</v>
      </c>
      <c r="BB137" s="57">
        <v>0</v>
      </c>
      <c r="BC137" s="57">
        <v>0</v>
      </c>
      <c r="BD137" s="57">
        <v>0</v>
      </c>
      <c r="BE137" s="57">
        <v>0</v>
      </c>
      <c r="BF137" s="57">
        <v>0</v>
      </c>
      <c r="BG137" s="57">
        <v>0</v>
      </c>
      <c r="BH137" s="57">
        <v>0</v>
      </c>
      <c r="BI137" s="57">
        <v>0</v>
      </c>
      <c r="BJ137" s="57">
        <v>0</v>
      </c>
      <c r="BK137" s="57">
        <v>0</v>
      </c>
      <c r="BL137" s="57">
        <v>0</v>
      </c>
      <c r="BM137" s="57">
        <v>0</v>
      </c>
      <c r="BN137" s="57">
        <v>0</v>
      </c>
      <c r="BO137" s="57">
        <v>0</v>
      </c>
      <c r="BP137" s="57">
        <v>0</v>
      </c>
      <c r="BQ137" s="57">
        <v>0</v>
      </c>
      <c r="BR137" s="57">
        <v>0</v>
      </c>
      <c r="BS137" s="57">
        <v>0</v>
      </c>
      <c r="BT137" s="57">
        <v>0</v>
      </c>
      <c r="BU137" s="57">
        <v>0</v>
      </c>
      <c r="BV137" s="57">
        <v>0</v>
      </c>
      <c r="BW137" s="57">
        <v>0</v>
      </c>
      <c r="BX137" s="57">
        <v>0</v>
      </c>
      <c r="BY137" s="57">
        <v>0</v>
      </c>
      <c r="BZ137" s="57">
        <v>0</v>
      </c>
      <c r="CA137" s="57">
        <v>0</v>
      </c>
      <c r="CB137" s="57">
        <v>0</v>
      </c>
      <c r="CC137" s="57">
        <v>0</v>
      </c>
      <c r="CD137" s="57">
        <v>0</v>
      </c>
      <c r="CE137" s="57">
        <v>0</v>
      </c>
      <c r="CF137" s="57">
        <v>0</v>
      </c>
      <c r="CG137" s="57">
        <v>0</v>
      </c>
      <c r="CH137" s="57">
        <v>0</v>
      </c>
      <c r="CI137" s="57">
        <v>0</v>
      </c>
      <c r="CJ137" s="57">
        <v>0</v>
      </c>
      <c r="CK137" s="57">
        <v>0</v>
      </c>
      <c r="CL137" s="57">
        <v>0</v>
      </c>
      <c r="CM137" s="57">
        <v>0</v>
      </c>
      <c r="CN137" s="57">
        <v>0</v>
      </c>
      <c r="CO137" s="57">
        <v>0</v>
      </c>
      <c r="CP137" s="57">
        <v>0</v>
      </c>
      <c r="CQ137" s="57">
        <v>0</v>
      </c>
      <c r="CR137" s="57">
        <v>0</v>
      </c>
      <c r="CS137" s="57">
        <v>0</v>
      </c>
      <c r="CT137" s="57">
        <v>0</v>
      </c>
      <c r="CU137" s="57">
        <v>0</v>
      </c>
      <c r="CV137" s="57">
        <v>0</v>
      </c>
      <c r="CW137" s="57">
        <v>0</v>
      </c>
      <c r="CX137" s="57">
        <v>0</v>
      </c>
      <c r="CY137" s="57">
        <v>0</v>
      </c>
      <c r="CZ137" s="57">
        <v>0</v>
      </c>
      <c r="DA137" s="57">
        <v>0</v>
      </c>
      <c r="DB137" s="57">
        <v>0</v>
      </c>
      <c r="DC137" s="57">
        <v>0</v>
      </c>
      <c r="DD137" s="57">
        <v>0</v>
      </c>
      <c r="DE137" s="57">
        <v>0</v>
      </c>
      <c r="DF137" s="57">
        <v>0</v>
      </c>
      <c r="DG137" s="137">
        <v>0</v>
      </c>
      <c r="DH137" s="137">
        <v>0</v>
      </c>
      <c r="DI137" s="137">
        <v>0</v>
      </c>
      <c r="DJ137" s="137">
        <v>0</v>
      </c>
      <c r="DK137" s="137">
        <v>0</v>
      </c>
      <c r="DL137" s="137">
        <v>0</v>
      </c>
      <c r="DM137" s="137">
        <v>0</v>
      </c>
      <c r="DN137" s="137">
        <v>0</v>
      </c>
      <c r="DO137" s="137">
        <v>0</v>
      </c>
      <c r="DP137" s="137">
        <v>0</v>
      </c>
      <c r="DQ137" s="137">
        <v>0</v>
      </c>
      <c r="DR137" s="137">
        <v>0</v>
      </c>
      <c r="DS137" s="137">
        <v>0</v>
      </c>
      <c r="DT137" s="137">
        <v>0</v>
      </c>
      <c r="DU137" s="137">
        <v>0</v>
      </c>
      <c r="DV137" s="137">
        <v>0</v>
      </c>
      <c r="DW137" s="137">
        <v>0</v>
      </c>
      <c r="DX137" s="137">
        <v>0</v>
      </c>
      <c r="DY137" s="137">
        <v>0</v>
      </c>
      <c r="DZ137" s="137">
        <v>0</v>
      </c>
      <c r="EA137" s="137">
        <v>0</v>
      </c>
    </row>
    <row r="138" spans="1:131" x14ac:dyDescent="0.35">
      <c r="A138" s="90" t="e">
        <f>VLOOKUP(E138,'Validation List'!F139:G534,2,FALSE)</f>
        <v>#N/A</v>
      </c>
      <c r="B138" s="90" t="e">
        <f>INDEX('NEW HIRE ROSTER'!$G:$G,MATCH(RAW!F138,'NEW HIRE ROSTER'!$A:$A,0))</f>
        <v>#N/A</v>
      </c>
      <c r="C138" s="90" t="e">
        <f>INDEX('NEW HIRE ROSTER'!$F:$F,MATCH(RAW!F138,'NEW HIRE ROSTER'!$A:$A,0))</f>
        <v>#N/A</v>
      </c>
      <c r="D138" s="90" t="e">
        <f>INDEX('Validation List'!$H:$H,MATCH(RAW!E138,'Validation List'!$F:$F,0))</f>
        <v>#N/A</v>
      </c>
      <c r="G138" s="90" t="e">
        <f>VLOOKUP(F138,ML!C122:D720,2,FALSE)</f>
        <v>#N/A</v>
      </c>
      <c r="H138" s="90" t="e">
        <f>VLOOKUP(F138,ML!C122:E720,3,FALSE)</f>
        <v>#N/A</v>
      </c>
      <c r="M138" s="56"/>
      <c r="N138" s="57">
        <v>0</v>
      </c>
      <c r="O138" s="57">
        <v>0</v>
      </c>
      <c r="P138" s="57">
        <v>0</v>
      </c>
      <c r="Q138" s="57">
        <v>0</v>
      </c>
      <c r="R138" s="57">
        <v>0</v>
      </c>
      <c r="S138" s="57">
        <v>0</v>
      </c>
      <c r="T138" s="57">
        <v>0</v>
      </c>
      <c r="U138" s="57">
        <v>0</v>
      </c>
      <c r="V138" s="57">
        <v>0</v>
      </c>
      <c r="W138" s="57">
        <v>0</v>
      </c>
      <c r="X138" s="57">
        <v>0</v>
      </c>
      <c r="Y138" s="57">
        <v>0</v>
      </c>
      <c r="Z138" s="57">
        <v>0</v>
      </c>
      <c r="AA138" s="57">
        <v>0</v>
      </c>
      <c r="AB138" s="57">
        <v>0</v>
      </c>
      <c r="AC138" s="57">
        <v>0</v>
      </c>
      <c r="AD138" s="57">
        <v>0</v>
      </c>
      <c r="AE138" s="57">
        <v>0</v>
      </c>
      <c r="AF138" s="57">
        <v>0</v>
      </c>
      <c r="AG138" s="57">
        <v>0</v>
      </c>
      <c r="AH138" s="57">
        <v>0</v>
      </c>
      <c r="AI138" s="57">
        <v>0</v>
      </c>
      <c r="AJ138" s="57">
        <v>0</v>
      </c>
      <c r="AK138" s="57">
        <v>0</v>
      </c>
      <c r="AL138" s="57">
        <v>0</v>
      </c>
      <c r="AM138" s="57">
        <v>0</v>
      </c>
      <c r="AN138" s="57">
        <v>0</v>
      </c>
      <c r="AO138" s="57">
        <v>0</v>
      </c>
      <c r="AP138" s="57">
        <v>0</v>
      </c>
      <c r="AQ138" s="57">
        <v>0</v>
      </c>
      <c r="AR138" s="57">
        <v>0</v>
      </c>
      <c r="AS138" s="57">
        <v>0</v>
      </c>
      <c r="AT138" s="57">
        <v>0</v>
      </c>
      <c r="AU138" s="57">
        <v>0</v>
      </c>
      <c r="AV138" s="57">
        <v>0</v>
      </c>
      <c r="AW138" s="57">
        <v>0</v>
      </c>
      <c r="AX138" s="57">
        <v>0</v>
      </c>
      <c r="AY138" s="57">
        <v>0</v>
      </c>
      <c r="AZ138" s="57">
        <v>0</v>
      </c>
      <c r="BA138" s="57">
        <v>0</v>
      </c>
      <c r="BB138" s="57">
        <v>0</v>
      </c>
      <c r="BC138" s="57">
        <v>0</v>
      </c>
      <c r="BD138" s="57">
        <v>0</v>
      </c>
      <c r="BE138" s="57">
        <v>0</v>
      </c>
      <c r="BF138" s="57">
        <v>0</v>
      </c>
      <c r="BG138" s="57">
        <v>0</v>
      </c>
      <c r="BH138" s="57">
        <v>0</v>
      </c>
      <c r="BI138" s="57">
        <v>0</v>
      </c>
      <c r="BJ138" s="57">
        <v>0</v>
      </c>
      <c r="BK138" s="57">
        <v>0</v>
      </c>
      <c r="BL138" s="57">
        <v>0</v>
      </c>
      <c r="BM138" s="57">
        <v>0</v>
      </c>
      <c r="BN138" s="57">
        <v>0</v>
      </c>
      <c r="BO138" s="57">
        <v>0</v>
      </c>
      <c r="BP138" s="57">
        <v>0</v>
      </c>
      <c r="BQ138" s="57">
        <v>0</v>
      </c>
      <c r="BR138" s="57">
        <v>0</v>
      </c>
      <c r="BS138" s="57">
        <v>0</v>
      </c>
      <c r="BT138" s="57">
        <v>0</v>
      </c>
      <c r="BU138" s="57">
        <v>0</v>
      </c>
      <c r="BV138" s="57">
        <v>0</v>
      </c>
      <c r="BW138" s="57">
        <v>0</v>
      </c>
      <c r="BX138" s="57">
        <v>0</v>
      </c>
      <c r="BY138" s="57">
        <v>0</v>
      </c>
      <c r="BZ138" s="57">
        <v>0</v>
      </c>
      <c r="CA138" s="57">
        <v>0</v>
      </c>
      <c r="CB138" s="57">
        <v>0</v>
      </c>
      <c r="CC138" s="57">
        <v>0</v>
      </c>
      <c r="CD138" s="57">
        <v>0</v>
      </c>
      <c r="CE138" s="57">
        <v>0</v>
      </c>
      <c r="CF138" s="57">
        <v>0</v>
      </c>
      <c r="CG138" s="57">
        <v>0</v>
      </c>
      <c r="CH138" s="57">
        <v>0</v>
      </c>
      <c r="CI138" s="57">
        <v>0</v>
      </c>
      <c r="CJ138" s="57">
        <v>0</v>
      </c>
      <c r="CK138" s="57">
        <v>0</v>
      </c>
      <c r="CL138" s="57">
        <v>0</v>
      </c>
      <c r="CM138" s="57">
        <v>0</v>
      </c>
      <c r="CN138" s="57">
        <v>0</v>
      </c>
      <c r="CO138" s="57">
        <v>0</v>
      </c>
      <c r="CP138" s="57">
        <v>0</v>
      </c>
      <c r="CQ138" s="57">
        <v>0</v>
      </c>
      <c r="CR138" s="57">
        <v>0</v>
      </c>
      <c r="CS138" s="57">
        <v>0</v>
      </c>
      <c r="CT138" s="57">
        <v>0</v>
      </c>
      <c r="CU138" s="57">
        <v>0</v>
      </c>
      <c r="CV138" s="57">
        <v>0</v>
      </c>
      <c r="CW138" s="57">
        <v>0</v>
      </c>
      <c r="CX138" s="57">
        <v>0</v>
      </c>
      <c r="CY138" s="57">
        <v>0</v>
      </c>
      <c r="CZ138" s="57">
        <v>0</v>
      </c>
      <c r="DA138" s="57">
        <v>0</v>
      </c>
      <c r="DB138" s="57">
        <v>0</v>
      </c>
      <c r="DC138" s="57">
        <v>0</v>
      </c>
      <c r="DD138" s="57">
        <v>0</v>
      </c>
      <c r="DE138" s="57">
        <v>0</v>
      </c>
      <c r="DF138" s="57">
        <v>0</v>
      </c>
      <c r="DG138" s="137">
        <v>0</v>
      </c>
      <c r="DH138" s="137">
        <v>0</v>
      </c>
      <c r="DI138" s="137">
        <v>0</v>
      </c>
      <c r="DJ138" s="137">
        <v>0</v>
      </c>
      <c r="DK138" s="137">
        <v>0</v>
      </c>
      <c r="DL138" s="137">
        <v>0</v>
      </c>
      <c r="DM138" s="137">
        <v>0</v>
      </c>
      <c r="DN138" s="137">
        <v>0</v>
      </c>
      <c r="DO138" s="137">
        <v>0</v>
      </c>
      <c r="DP138" s="137">
        <v>0</v>
      </c>
      <c r="DQ138" s="137">
        <v>0</v>
      </c>
      <c r="DR138" s="137">
        <v>0</v>
      </c>
      <c r="DS138" s="137">
        <v>0</v>
      </c>
      <c r="DT138" s="137">
        <v>0</v>
      </c>
      <c r="DU138" s="137">
        <v>0</v>
      </c>
      <c r="DV138" s="137">
        <v>0</v>
      </c>
      <c r="DW138" s="137">
        <v>0</v>
      </c>
      <c r="DX138" s="137">
        <v>0</v>
      </c>
      <c r="DY138" s="137">
        <v>0</v>
      </c>
      <c r="DZ138" s="137">
        <v>0</v>
      </c>
      <c r="EA138" s="137">
        <v>0</v>
      </c>
    </row>
    <row r="139" spans="1:131" x14ac:dyDescent="0.35">
      <c r="A139" s="90" t="e">
        <f>VLOOKUP(E139,'Validation List'!F140:G535,2,FALSE)</f>
        <v>#N/A</v>
      </c>
      <c r="B139" s="90" t="e">
        <f>INDEX('NEW HIRE ROSTER'!$G:$G,MATCH(RAW!F139,'NEW HIRE ROSTER'!$A:$A,0))</f>
        <v>#N/A</v>
      </c>
      <c r="C139" s="90" t="e">
        <f>INDEX('NEW HIRE ROSTER'!$F:$F,MATCH(RAW!F139,'NEW HIRE ROSTER'!$A:$A,0))</f>
        <v>#N/A</v>
      </c>
      <c r="D139" s="90" t="e">
        <f>INDEX('Validation List'!$H:$H,MATCH(RAW!E139,'Validation List'!$F:$F,0))</f>
        <v>#N/A</v>
      </c>
      <c r="G139" s="90" t="e">
        <f>VLOOKUP(F139,ML!C123:D721,2,FALSE)</f>
        <v>#N/A</v>
      </c>
      <c r="H139" s="90" t="e">
        <f>VLOOKUP(F139,ML!C123:E721,3,FALSE)</f>
        <v>#N/A</v>
      </c>
      <c r="M139" s="56"/>
      <c r="N139" s="57">
        <v>0</v>
      </c>
      <c r="O139" s="57">
        <v>0</v>
      </c>
      <c r="P139" s="57">
        <v>0</v>
      </c>
      <c r="Q139" s="57">
        <v>0</v>
      </c>
      <c r="R139" s="57">
        <v>0</v>
      </c>
      <c r="S139" s="57">
        <v>0</v>
      </c>
      <c r="T139" s="57">
        <v>0</v>
      </c>
      <c r="U139" s="57">
        <v>0</v>
      </c>
      <c r="V139" s="57">
        <v>0</v>
      </c>
      <c r="W139" s="57">
        <v>0</v>
      </c>
      <c r="X139" s="57">
        <v>0</v>
      </c>
      <c r="Y139" s="57">
        <v>0</v>
      </c>
      <c r="Z139" s="57">
        <v>0</v>
      </c>
      <c r="AA139" s="57">
        <v>0</v>
      </c>
      <c r="AB139" s="57">
        <v>0</v>
      </c>
      <c r="AC139" s="57">
        <v>0</v>
      </c>
      <c r="AD139" s="57">
        <v>0</v>
      </c>
      <c r="AE139" s="57">
        <v>0</v>
      </c>
      <c r="AF139" s="57">
        <v>0</v>
      </c>
      <c r="AG139" s="57">
        <v>0</v>
      </c>
      <c r="AH139" s="57">
        <v>0</v>
      </c>
      <c r="AI139" s="57">
        <v>0</v>
      </c>
      <c r="AJ139" s="57">
        <v>0</v>
      </c>
      <c r="AK139" s="57">
        <v>0</v>
      </c>
      <c r="AL139" s="57">
        <v>0</v>
      </c>
      <c r="AM139" s="57">
        <v>0</v>
      </c>
      <c r="AN139" s="57">
        <v>0</v>
      </c>
      <c r="AO139" s="57">
        <v>0</v>
      </c>
      <c r="AP139" s="57">
        <v>0</v>
      </c>
      <c r="AQ139" s="57">
        <v>0</v>
      </c>
      <c r="AR139" s="57">
        <v>0</v>
      </c>
      <c r="AS139" s="57">
        <v>0</v>
      </c>
      <c r="AT139" s="57">
        <v>0</v>
      </c>
      <c r="AU139" s="57">
        <v>0</v>
      </c>
      <c r="AV139" s="57">
        <v>0</v>
      </c>
      <c r="AW139" s="57">
        <v>0</v>
      </c>
      <c r="AX139" s="57">
        <v>0</v>
      </c>
      <c r="AY139" s="57">
        <v>0</v>
      </c>
      <c r="AZ139" s="57">
        <v>0</v>
      </c>
      <c r="BA139" s="57">
        <v>0</v>
      </c>
      <c r="BB139" s="57">
        <v>0</v>
      </c>
      <c r="BC139" s="57">
        <v>0</v>
      </c>
      <c r="BD139" s="57">
        <v>0</v>
      </c>
      <c r="BE139" s="57">
        <v>0</v>
      </c>
      <c r="BF139" s="57">
        <v>0</v>
      </c>
      <c r="BG139" s="57">
        <v>0</v>
      </c>
      <c r="BH139" s="57">
        <v>0</v>
      </c>
      <c r="BI139" s="57">
        <v>0</v>
      </c>
      <c r="BJ139" s="57">
        <v>0</v>
      </c>
      <c r="BK139" s="57">
        <v>0</v>
      </c>
      <c r="BL139" s="57">
        <v>0</v>
      </c>
      <c r="BM139" s="57">
        <v>0</v>
      </c>
      <c r="BN139" s="57">
        <v>0</v>
      </c>
      <c r="BO139" s="57">
        <v>0</v>
      </c>
      <c r="BP139" s="57">
        <v>0</v>
      </c>
      <c r="BQ139" s="57">
        <v>0</v>
      </c>
      <c r="BR139" s="57">
        <v>0</v>
      </c>
      <c r="BS139" s="57">
        <v>0</v>
      </c>
      <c r="BT139" s="57">
        <v>0</v>
      </c>
      <c r="BU139" s="57">
        <v>0</v>
      </c>
      <c r="BV139" s="57">
        <v>0</v>
      </c>
      <c r="BW139" s="57">
        <v>0</v>
      </c>
      <c r="BX139" s="57">
        <v>0</v>
      </c>
      <c r="BY139" s="57">
        <v>0</v>
      </c>
      <c r="BZ139" s="57">
        <v>0</v>
      </c>
      <c r="CA139" s="57">
        <v>0</v>
      </c>
      <c r="CB139" s="57">
        <v>0</v>
      </c>
      <c r="CC139" s="57">
        <v>0</v>
      </c>
      <c r="CD139" s="57">
        <v>0</v>
      </c>
      <c r="CE139" s="57">
        <v>0</v>
      </c>
      <c r="CF139" s="57">
        <v>0</v>
      </c>
      <c r="CG139" s="57">
        <v>0</v>
      </c>
      <c r="CH139" s="57">
        <v>0</v>
      </c>
      <c r="CI139" s="57">
        <v>0</v>
      </c>
      <c r="CJ139" s="57">
        <v>0</v>
      </c>
      <c r="CK139" s="57">
        <v>0</v>
      </c>
      <c r="CL139" s="57">
        <v>0</v>
      </c>
      <c r="CM139" s="57">
        <v>0</v>
      </c>
      <c r="CN139" s="57">
        <v>0</v>
      </c>
      <c r="CO139" s="57">
        <v>0</v>
      </c>
      <c r="CP139" s="57">
        <v>0</v>
      </c>
      <c r="CQ139" s="57">
        <v>0</v>
      </c>
      <c r="CR139" s="57">
        <v>0</v>
      </c>
      <c r="CS139" s="57">
        <v>0</v>
      </c>
      <c r="CT139" s="57">
        <v>0</v>
      </c>
      <c r="CU139" s="57">
        <v>0</v>
      </c>
      <c r="CV139" s="57">
        <v>0</v>
      </c>
      <c r="CW139" s="57">
        <v>0</v>
      </c>
      <c r="CX139" s="57">
        <v>0</v>
      </c>
      <c r="CY139" s="57">
        <v>0</v>
      </c>
      <c r="CZ139" s="57">
        <v>0</v>
      </c>
      <c r="DA139" s="57">
        <v>0</v>
      </c>
      <c r="DB139" s="57">
        <v>0</v>
      </c>
      <c r="DC139" s="57">
        <v>0</v>
      </c>
      <c r="DD139" s="57">
        <v>0</v>
      </c>
      <c r="DE139" s="57">
        <v>0</v>
      </c>
      <c r="DF139" s="57">
        <v>0</v>
      </c>
      <c r="DG139" s="137">
        <v>0</v>
      </c>
      <c r="DH139" s="137">
        <v>0</v>
      </c>
      <c r="DI139" s="137">
        <v>0</v>
      </c>
      <c r="DJ139" s="137">
        <v>0</v>
      </c>
      <c r="DK139" s="137">
        <v>0</v>
      </c>
      <c r="DL139" s="137">
        <v>0</v>
      </c>
      <c r="DM139" s="137">
        <v>0</v>
      </c>
      <c r="DN139" s="137">
        <v>0</v>
      </c>
      <c r="DO139" s="137">
        <v>0</v>
      </c>
      <c r="DP139" s="137">
        <v>0</v>
      </c>
      <c r="DQ139" s="137">
        <v>0</v>
      </c>
      <c r="DR139" s="137">
        <v>0</v>
      </c>
      <c r="DS139" s="137">
        <v>0</v>
      </c>
      <c r="DT139" s="137">
        <v>0</v>
      </c>
      <c r="DU139" s="137">
        <v>0</v>
      </c>
      <c r="DV139" s="137">
        <v>0</v>
      </c>
      <c r="DW139" s="137">
        <v>0</v>
      </c>
      <c r="DX139" s="137">
        <v>0</v>
      </c>
      <c r="DY139" s="137">
        <v>0</v>
      </c>
      <c r="DZ139" s="137">
        <v>0</v>
      </c>
      <c r="EA139" s="137">
        <v>0</v>
      </c>
    </row>
    <row r="140" spans="1:131" x14ac:dyDescent="0.35">
      <c r="A140" s="90" t="e">
        <f>VLOOKUP(E140,'Validation List'!F141:G536,2,FALSE)</f>
        <v>#N/A</v>
      </c>
      <c r="B140" s="90" t="e">
        <f>INDEX('NEW HIRE ROSTER'!$G:$G,MATCH(RAW!F140,'NEW HIRE ROSTER'!$A:$A,0))</f>
        <v>#N/A</v>
      </c>
      <c r="C140" s="90" t="e">
        <f>INDEX('NEW HIRE ROSTER'!$F:$F,MATCH(RAW!F140,'NEW HIRE ROSTER'!$A:$A,0))</f>
        <v>#N/A</v>
      </c>
      <c r="D140" s="90" t="e">
        <f>INDEX('Validation List'!$H:$H,MATCH(RAW!E140,'Validation List'!$F:$F,0))</f>
        <v>#N/A</v>
      </c>
      <c r="G140" s="90" t="e">
        <f>VLOOKUP(F140,ML!C124:D722,2,FALSE)</f>
        <v>#N/A</v>
      </c>
      <c r="H140" s="90" t="e">
        <f>VLOOKUP(F140,ML!C124:E722,3,FALSE)</f>
        <v>#N/A</v>
      </c>
      <c r="M140" s="56"/>
      <c r="N140" s="57">
        <v>0</v>
      </c>
      <c r="O140" s="57">
        <v>0</v>
      </c>
      <c r="P140" s="57">
        <v>0</v>
      </c>
      <c r="Q140" s="57">
        <v>0</v>
      </c>
      <c r="R140" s="57">
        <v>0</v>
      </c>
      <c r="S140" s="57">
        <v>0</v>
      </c>
      <c r="T140" s="57">
        <v>0</v>
      </c>
      <c r="U140" s="57">
        <v>0</v>
      </c>
      <c r="V140" s="57">
        <v>0</v>
      </c>
      <c r="W140" s="57">
        <v>0</v>
      </c>
      <c r="X140" s="57">
        <v>0</v>
      </c>
      <c r="Y140" s="57">
        <v>0</v>
      </c>
      <c r="Z140" s="57">
        <v>0</v>
      </c>
      <c r="AA140" s="57">
        <v>0</v>
      </c>
      <c r="AB140" s="57">
        <v>0</v>
      </c>
      <c r="AC140" s="57">
        <v>0</v>
      </c>
      <c r="AD140" s="57">
        <v>0</v>
      </c>
      <c r="AE140" s="57">
        <v>0</v>
      </c>
      <c r="AF140" s="57">
        <v>0</v>
      </c>
      <c r="AG140" s="57">
        <v>0</v>
      </c>
      <c r="AH140" s="57">
        <v>0</v>
      </c>
      <c r="AI140" s="57">
        <v>0</v>
      </c>
      <c r="AJ140" s="57">
        <v>0</v>
      </c>
      <c r="AK140" s="57">
        <v>0</v>
      </c>
      <c r="AL140" s="57">
        <v>0</v>
      </c>
      <c r="AM140" s="57">
        <v>0</v>
      </c>
      <c r="AN140" s="57">
        <v>0</v>
      </c>
      <c r="AO140" s="57">
        <v>0</v>
      </c>
      <c r="AP140" s="57">
        <v>0</v>
      </c>
      <c r="AQ140" s="57">
        <v>0</v>
      </c>
      <c r="AR140" s="57">
        <v>0</v>
      </c>
      <c r="AS140" s="57">
        <v>0</v>
      </c>
      <c r="AT140" s="57">
        <v>0</v>
      </c>
      <c r="AU140" s="57">
        <v>0</v>
      </c>
      <c r="AV140" s="57">
        <v>0</v>
      </c>
      <c r="AW140" s="57">
        <v>0</v>
      </c>
      <c r="AX140" s="57">
        <v>0</v>
      </c>
      <c r="AY140" s="57">
        <v>0</v>
      </c>
      <c r="AZ140" s="57">
        <v>0</v>
      </c>
      <c r="BA140" s="57">
        <v>0</v>
      </c>
      <c r="BB140" s="57">
        <v>0</v>
      </c>
      <c r="BC140" s="57">
        <v>0</v>
      </c>
      <c r="BD140" s="57">
        <v>0</v>
      </c>
      <c r="BE140" s="57">
        <v>0</v>
      </c>
      <c r="BF140" s="57">
        <v>0</v>
      </c>
      <c r="BG140" s="57">
        <v>0</v>
      </c>
      <c r="BH140" s="57">
        <v>0</v>
      </c>
      <c r="BI140" s="57">
        <v>0</v>
      </c>
      <c r="BJ140" s="57">
        <v>0</v>
      </c>
      <c r="BK140" s="57">
        <v>0</v>
      </c>
      <c r="BL140" s="57">
        <v>0</v>
      </c>
      <c r="BM140" s="57">
        <v>0</v>
      </c>
      <c r="BN140" s="57">
        <v>0</v>
      </c>
      <c r="BO140" s="57">
        <v>0</v>
      </c>
      <c r="BP140" s="57">
        <v>0</v>
      </c>
      <c r="BQ140" s="57">
        <v>0</v>
      </c>
      <c r="BR140" s="57">
        <v>0</v>
      </c>
      <c r="BS140" s="57">
        <v>0</v>
      </c>
      <c r="BT140" s="57">
        <v>0</v>
      </c>
      <c r="BU140" s="57">
        <v>0</v>
      </c>
      <c r="BV140" s="57">
        <v>0</v>
      </c>
      <c r="BW140" s="57">
        <v>0</v>
      </c>
      <c r="BX140" s="57">
        <v>0</v>
      </c>
      <c r="BY140" s="57">
        <v>0</v>
      </c>
      <c r="BZ140" s="57">
        <v>0</v>
      </c>
      <c r="CA140" s="57">
        <v>0</v>
      </c>
      <c r="CB140" s="57">
        <v>0</v>
      </c>
      <c r="CC140" s="57">
        <v>0</v>
      </c>
      <c r="CD140" s="57">
        <v>0</v>
      </c>
      <c r="CE140" s="57">
        <v>0</v>
      </c>
      <c r="CF140" s="57">
        <v>0</v>
      </c>
      <c r="CG140" s="57">
        <v>0</v>
      </c>
      <c r="CH140" s="57">
        <v>0</v>
      </c>
      <c r="CI140" s="57">
        <v>0</v>
      </c>
      <c r="CJ140" s="57">
        <v>0</v>
      </c>
      <c r="CK140" s="57">
        <v>0</v>
      </c>
      <c r="CL140" s="57">
        <v>0</v>
      </c>
      <c r="CM140" s="57">
        <v>0</v>
      </c>
      <c r="CN140" s="57">
        <v>0</v>
      </c>
      <c r="CO140" s="57">
        <v>0</v>
      </c>
      <c r="CP140" s="57">
        <v>0</v>
      </c>
      <c r="CQ140" s="57">
        <v>0</v>
      </c>
      <c r="CR140" s="57">
        <v>0</v>
      </c>
      <c r="CS140" s="57">
        <v>0</v>
      </c>
      <c r="CT140" s="57">
        <v>0</v>
      </c>
      <c r="CU140" s="57">
        <v>0</v>
      </c>
      <c r="CV140" s="57">
        <v>0</v>
      </c>
      <c r="CW140" s="57">
        <v>0</v>
      </c>
      <c r="CX140" s="57">
        <v>0</v>
      </c>
      <c r="CY140" s="57">
        <v>0</v>
      </c>
      <c r="CZ140" s="57">
        <v>0</v>
      </c>
      <c r="DA140" s="57">
        <v>0</v>
      </c>
      <c r="DB140" s="57">
        <v>0</v>
      </c>
      <c r="DC140" s="57">
        <v>0</v>
      </c>
      <c r="DD140" s="57">
        <v>0</v>
      </c>
      <c r="DE140" s="57">
        <v>0</v>
      </c>
      <c r="DF140" s="57">
        <v>0</v>
      </c>
      <c r="DG140" s="137">
        <v>0</v>
      </c>
      <c r="DH140" s="137">
        <v>0</v>
      </c>
      <c r="DI140" s="137">
        <v>0</v>
      </c>
      <c r="DJ140" s="137">
        <v>0</v>
      </c>
      <c r="DK140" s="137">
        <v>0</v>
      </c>
      <c r="DL140" s="137">
        <v>0</v>
      </c>
      <c r="DM140" s="137">
        <v>0</v>
      </c>
      <c r="DN140" s="137">
        <v>0</v>
      </c>
      <c r="DO140" s="137">
        <v>0</v>
      </c>
      <c r="DP140" s="137">
        <v>0</v>
      </c>
      <c r="DQ140" s="137">
        <v>0</v>
      </c>
      <c r="DR140" s="137">
        <v>0</v>
      </c>
      <c r="DS140" s="137">
        <v>0</v>
      </c>
      <c r="DT140" s="137">
        <v>0</v>
      </c>
      <c r="DU140" s="137">
        <v>0</v>
      </c>
      <c r="DV140" s="137">
        <v>0</v>
      </c>
      <c r="DW140" s="137">
        <v>0</v>
      </c>
      <c r="DX140" s="137">
        <v>0</v>
      </c>
      <c r="DY140" s="137">
        <v>0</v>
      </c>
      <c r="DZ140" s="137">
        <v>0</v>
      </c>
      <c r="EA140" s="137">
        <v>0</v>
      </c>
    </row>
    <row r="141" spans="1:131" x14ac:dyDescent="0.35">
      <c r="A141" s="90" t="e">
        <f>VLOOKUP(E141,'Validation List'!F142:G537,2,FALSE)</f>
        <v>#N/A</v>
      </c>
      <c r="B141" s="90" t="e">
        <f>INDEX('NEW HIRE ROSTER'!$G:$G,MATCH(RAW!F141,'NEW HIRE ROSTER'!$A:$A,0))</f>
        <v>#N/A</v>
      </c>
      <c r="C141" s="90" t="e">
        <f>INDEX('NEW HIRE ROSTER'!$F:$F,MATCH(RAW!F141,'NEW HIRE ROSTER'!$A:$A,0))</f>
        <v>#N/A</v>
      </c>
      <c r="D141" s="90" t="e">
        <f>INDEX('Validation List'!$H:$H,MATCH(RAW!E141,'Validation List'!$F:$F,0))</f>
        <v>#N/A</v>
      </c>
      <c r="G141" s="90" t="e">
        <f>VLOOKUP(F141,ML!C125:D723,2,FALSE)</f>
        <v>#N/A</v>
      </c>
      <c r="H141" s="90" t="e">
        <f>VLOOKUP(F141,ML!C125:E723,3,FALSE)</f>
        <v>#N/A</v>
      </c>
      <c r="M141" s="56"/>
      <c r="N141" s="57">
        <v>0</v>
      </c>
      <c r="O141" s="57">
        <v>0</v>
      </c>
      <c r="P141" s="57">
        <v>0</v>
      </c>
      <c r="Q141" s="57">
        <v>0</v>
      </c>
      <c r="R141" s="57">
        <v>0</v>
      </c>
      <c r="S141" s="57">
        <v>0</v>
      </c>
      <c r="T141" s="57">
        <v>0</v>
      </c>
      <c r="U141" s="57">
        <v>0</v>
      </c>
      <c r="V141" s="57">
        <v>0</v>
      </c>
      <c r="W141" s="57">
        <v>0</v>
      </c>
      <c r="X141" s="57">
        <v>0</v>
      </c>
      <c r="Y141" s="57">
        <v>0</v>
      </c>
      <c r="Z141" s="57">
        <v>0</v>
      </c>
      <c r="AA141" s="57">
        <v>0</v>
      </c>
      <c r="AB141" s="57">
        <v>0</v>
      </c>
      <c r="AC141" s="57">
        <v>0</v>
      </c>
      <c r="AD141" s="57">
        <v>0</v>
      </c>
      <c r="AE141" s="57">
        <v>0</v>
      </c>
      <c r="AF141" s="57">
        <v>0</v>
      </c>
      <c r="AG141" s="57">
        <v>0</v>
      </c>
      <c r="AH141" s="57">
        <v>0</v>
      </c>
      <c r="AI141" s="57">
        <v>0</v>
      </c>
      <c r="AJ141" s="57">
        <v>0</v>
      </c>
      <c r="AK141" s="57">
        <v>0</v>
      </c>
      <c r="AL141" s="57">
        <v>0</v>
      </c>
      <c r="AM141" s="57">
        <v>0</v>
      </c>
      <c r="AN141" s="57">
        <v>0</v>
      </c>
      <c r="AO141" s="57">
        <v>0</v>
      </c>
      <c r="AP141" s="57">
        <v>0</v>
      </c>
      <c r="AQ141" s="57">
        <v>0</v>
      </c>
      <c r="AR141" s="57">
        <v>0</v>
      </c>
      <c r="AS141" s="57">
        <v>0</v>
      </c>
      <c r="AT141" s="57">
        <v>0</v>
      </c>
      <c r="AU141" s="57">
        <v>0</v>
      </c>
      <c r="AV141" s="57">
        <v>0</v>
      </c>
      <c r="AW141" s="57">
        <v>0</v>
      </c>
      <c r="AX141" s="57">
        <v>0</v>
      </c>
      <c r="AY141" s="57">
        <v>0</v>
      </c>
      <c r="AZ141" s="57">
        <v>0</v>
      </c>
      <c r="BA141" s="57">
        <v>0</v>
      </c>
      <c r="BB141" s="57">
        <v>0</v>
      </c>
      <c r="BC141" s="57">
        <v>0</v>
      </c>
      <c r="BD141" s="57">
        <v>0</v>
      </c>
      <c r="BE141" s="57">
        <v>0</v>
      </c>
      <c r="BF141" s="57">
        <v>0</v>
      </c>
      <c r="BG141" s="57">
        <v>0</v>
      </c>
      <c r="BH141" s="57">
        <v>0</v>
      </c>
      <c r="BI141" s="57">
        <v>0</v>
      </c>
      <c r="BJ141" s="57">
        <v>0</v>
      </c>
      <c r="BK141" s="57">
        <v>0</v>
      </c>
      <c r="BL141" s="57">
        <v>0</v>
      </c>
      <c r="BM141" s="57">
        <v>0</v>
      </c>
      <c r="BN141" s="57">
        <v>0</v>
      </c>
      <c r="BO141" s="57">
        <v>0</v>
      </c>
      <c r="BP141" s="57">
        <v>0</v>
      </c>
      <c r="BQ141" s="57">
        <v>0</v>
      </c>
      <c r="BR141" s="57">
        <v>0</v>
      </c>
      <c r="BS141" s="57">
        <v>0</v>
      </c>
      <c r="BT141" s="57">
        <v>0</v>
      </c>
      <c r="BU141" s="57">
        <v>0</v>
      </c>
      <c r="BV141" s="57">
        <v>0</v>
      </c>
      <c r="BW141" s="57">
        <v>0</v>
      </c>
      <c r="BX141" s="57">
        <v>0</v>
      </c>
      <c r="BY141" s="57">
        <v>0</v>
      </c>
      <c r="BZ141" s="57">
        <v>0</v>
      </c>
      <c r="CA141" s="57">
        <v>0</v>
      </c>
      <c r="CB141" s="57">
        <v>0</v>
      </c>
      <c r="CC141" s="57">
        <v>0</v>
      </c>
      <c r="CD141" s="57">
        <v>0</v>
      </c>
      <c r="CE141" s="57">
        <v>0</v>
      </c>
      <c r="CF141" s="57">
        <v>0</v>
      </c>
      <c r="CG141" s="57">
        <v>0</v>
      </c>
      <c r="CH141" s="57">
        <v>0</v>
      </c>
      <c r="CI141" s="57">
        <v>0</v>
      </c>
      <c r="CJ141" s="57">
        <v>0</v>
      </c>
      <c r="CK141" s="57">
        <v>0</v>
      </c>
      <c r="CL141" s="57">
        <v>0</v>
      </c>
      <c r="CM141" s="57">
        <v>0</v>
      </c>
      <c r="CN141" s="57">
        <v>0</v>
      </c>
      <c r="CO141" s="57">
        <v>0</v>
      </c>
      <c r="CP141" s="57">
        <v>0</v>
      </c>
      <c r="CQ141" s="57">
        <v>0</v>
      </c>
      <c r="CR141" s="57">
        <v>0</v>
      </c>
      <c r="CS141" s="57">
        <v>0</v>
      </c>
      <c r="CT141" s="57">
        <v>0</v>
      </c>
      <c r="CU141" s="57">
        <v>0</v>
      </c>
      <c r="CV141" s="57">
        <v>0</v>
      </c>
      <c r="CW141" s="57">
        <v>0</v>
      </c>
      <c r="CX141" s="57">
        <v>0</v>
      </c>
      <c r="CY141" s="57">
        <v>0</v>
      </c>
      <c r="CZ141" s="57">
        <v>0</v>
      </c>
      <c r="DA141" s="57">
        <v>0</v>
      </c>
      <c r="DB141" s="57">
        <v>0</v>
      </c>
      <c r="DC141" s="57">
        <v>0</v>
      </c>
      <c r="DD141" s="57">
        <v>0</v>
      </c>
      <c r="DE141" s="57">
        <v>0</v>
      </c>
      <c r="DF141" s="57">
        <v>0</v>
      </c>
      <c r="DG141" s="137">
        <v>0</v>
      </c>
      <c r="DH141" s="137">
        <v>0</v>
      </c>
      <c r="DI141" s="137">
        <v>0</v>
      </c>
      <c r="DJ141" s="137">
        <v>0</v>
      </c>
      <c r="DK141" s="137">
        <v>0</v>
      </c>
      <c r="DL141" s="137">
        <v>0</v>
      </c>
      <c r="DM141" s="137">
        <v>0</v>
      </c>
      <c r="DN141" s="137">
        <v>0</v>
      </c>
      <c r="DO141" s="137">
        <v>0</v>
      </c>
      <c r="DP141" s="137">
        <v>0</v>
      </c>
      <c r="DQ141" s="137">
        <v>0</v>
      </c>
      <c r="DR141" s="137">
        <v>0</v>
      </c>
      <c r="DS141" s="137">
        <v>0</v>
      </c>
      <c r="DT141" s="137">
        <v>0</v>
      </c>
      <c r="DU141" s="137">
        <v>0</v>
      </c>
      <c r="DV141" s="137">
        <v>0</v>
      </c>
      <c r="DW141" s="137">
        <v>0</v>
      </c>
      <c r="DX141" s="137">
        <v>0</v>
      </c>
      <c r="DY141" s="137">
        <v>0</v>
      </c>
      <c r="DZ141" s="137">
        <v>0</v>
      </c>
      <c r="EA141" s="137">
        <v>0</v>
      </c>
    </row>
    <row r="142" spans="1:131" x14ac:dyDescent="0.35">
      <c r="A142" s="90" t="e">
        <f>VLOOKUP(E142,'Validation List'!F143:G538,2,FALSE)</f>
        <v>#N/A</v>
      </c>
      <c r="B142" s="90" t="e">
        <f>INDEX('NEW HIRE ROSTER'!$G:$G,MATCH(RAW!F142,'NEW HIRE ROSTER'!$A:$A,0))</f>
        <v>#N/A</v>
      </c>
      <c r="C142" s="90" t="e">
        <f>INDEX('NEW HIRE ROSTER'!$F:$F,MATCH(RAW!F142,'NEW HIRE ROSTER'!$A:$A,0))</f>
        <v>#N/A</v>
      </c>
      <c r="D142" s="90" t="e">
        <f>INDEX('Validation List'!$H:$H,MATCH(RAW!E142,'Validation List'!$F:$F,0))</f>
        <v>#N/A</v>
      </c>
      <c r="G142" s="90" t="e">
        <f>VLOOKUP(F142,ML!C126:D724,2,FALSE)</f>
        <v>#N/A</v>
      </c>
      <c r="H142" s="90" t="e">
        <f>VLOOKUP(F142,ML!C126:E724,3,FALSE)</f>
        <v>#N/A</v>
      </c>
      <c r="M142" s="56"/>
      <c r="N142" s="57">
        <v>0</v>
      </c>
      <c r="O142" s="57">
        <v>0</v>
      </c>
      <c r="P142" s="57">
        <v>0</v>
      </c>
      <c r="Q142" s="57">
        <v>0</v>
      </c>
      <c r="R142" s="57">
        <v>0</v>
      </c>
      <c r="S142" s="57">
        <v>0</v>
      </c>
      <c r="T142" s="57">
        <v>0</v>
      </c>
      <c r="U142" s="57">
        <v>0</v>
      </c>
      <c r="V142" s="57">
        <v>0</v>
      </c>
      <c r="W142" s="57">
        <v>0</v>
      </c>
      <c r="X142" s="57">
        <v>0</v>
      </c>
      <c r="Y142" s="57">
        <v>0</v>
      </c>
      <c r="Z142" s="57">
        <v>0</v>
      </c>
      <c r="AA142" s="57">
        <v>0</v>
      </c>
      <c r="AB142" s="57">
        <v>0</v>
      </c>
      <c r="AC142" s="57">
        <v>0</v>
      </c>
      <c r="AD142" s="57">
        <v>0</v>
      </c>
      <c r="AE142" s="57">
        <v>0</v>
      </c>
      <c r="AF142" s="57">
        <v>0</v>
      </c>
      <c r="AG142" s="57">
        <v>0</v>
      </c>
      <c r="AH142" s="57">
        <v>0</v>
      </c>
      <c r="AI142" s="57">
        <v>0</v>
      </c>
      <c r="AJ142" s="57">
        <v>0</v>
      </c>
      <c r="AK142" s="57">
        <v>0</v>
      </c>
      <c r="AL142" s="57">
        <v>0</v>
      </c>
      <c r="AM142" s="57">
        <v>0</v>
      </c>
      <c r="AN142" s="57">
        <v>0</v>
      </c>
      <c r="AO142" s="57">
        <v>0</v>
      </c>
      <c r="AP142" s="57">
        <v>0</v>
      </c>
      <c r="AQ142" s="57">
        <v>0</v>
      </c>
      <c r="AR142" s="57">
        <v>0</v>
      </c>
      <c r="AS142" s="57">
        <v>0</v>
      </c>
      <c r="AT142" s="57">
        <v>0</v>
      </c>
      <c r="AU142" s="57">
        <v>0</v>
      </c>
      <c r="AV142" s="57">
        <v>0</v>
      </c>
      <c r="AW142" s="57">
        <v>0</v>
      </c>
      <c r="AX142" s="57">
        <v>0</v>
      </c>
      <c r="AY142" s="57">
        <v>0</v>
      </c>
      <c r="AZ142" s="57">
        <v>0</v>
      </c>
      <c r="BA142" s="57">
        <v>0</v>
      </c>
      <c r="BB142" s="57">
        <v>0</v>
      </c>
      <c r="BC142" s="57">
        <v>0</v>
      </c>
      <c r="BD142" s="57">
        <v>0</v>
      </c>
      <c r="BE142" s="57">
        <v>0</v>
      </c>
      <c r="BF142" s="57">
        <v>0</v>
      </c>
      <c r="BG142" s="57">
        <v>0</v>
      </c>
      <c r="BH142" s="57">
        <v>0</v>
      </c>
      <c r="BI142" s="57">
        <v>0</v>
      </c>
      <c r="BJ142" s="57">
        <v>0</v>
      </c>
      <c r="BK142" s="57">
        <v>0</v>
      </c>
      <c r="BL142" s="57">
        <v>0</v>
      </c>
      <c r="BM142" s="57">
        <v>0</v>
      </c>
      <c r="BN142" s="57">
        <v>0</v>
      </c>
      <c r="BO142" s="57">
        <v>0</v>
      </c>
      <c r="BP142" s="57">
        <v>0</v>
      </c>
      <c r="BQ142" s="57">
        <v>0</v>
      </c>
      <c r="BR142" s="57">
        <v>0</v>
      </c>
      <c r="BS142" s="57">
        <v>0</v>
      </c>
      <c r="BT142" s="57">
        <v>0</v>
      </c>
      <c r="BU142" s="57">
        <v>0</v>
      </c>
      <c r="BV142" s="57">
        <v>0</v>
      </c>
      <c r="BW142" s="57">
        <v>0</v>
      </c>
      <c r="BX142" s="57">
        <v>0</v>
      </c>
      <c r="BY142" s="57">
        <v>0</v>
      </c>
      <c r="BZ142" s="57">
        <v>0</v>
      </c>
      <c r="CA142" s="57">
        <v>0</v>
      </c>
      <c r="CB142" s="57">
        <v>0</v>
      </c>
      <c r="CC142" s="57">
        <v>0</v>
      </c>
      <c r="CD142" s="57">
        <v>0</v>
      </c>
      <c r="CE142" s="57">
        <v>0</v>
      </c>
      <c r="CF142" s="57">
        <v>0</v>
      </c>
      <c r="CG142" s="57">
        <v>0</v>
      </c>
      <c r="CH142" s="57">
        <v>0</v>
      </c>
      <c r="CI142" s="57">
        <v>0</v>
      </c>
      <c r="CJ142" s="57">
        <v>0</v>
      </c>
      <c r="CK142" s="57">
        <v>0</v>
      </c>
      <c r="CL142" s="57">
        <v>0</v>
      </c>
      <c r="CM142" s="57">
        <v>0</v>
      </c>
      <c r="CN142" s="57">
        <v>0</v>
      </c>
      <c r="CO142" s="57">
        <v>0</v>
      </c>
      <c r="CP142" s="57">
        <v>0</v>
      </c>
      <c r="CQ142" s="57">
        <v>0</v>
      </c>
      <c r="CR142" s="57">
        <v>0</v>
      </c>
      <c r="CS142" s="57">
        <v>0</v>
      </c>
      <c r="CT142" s="57">
        <v>0</v>
      </c>
      <c r="CU142" s="57">
        <v>0</v>
      </c>
      <c r="CV142" s="57">
        <v>0</v>
      </c>
      <c r="CW142" s="57">
        <v>0</v>
      </c>
      <c r="CX142" s="57">
        <v>0</v>
      </c>
      <c r="CY142" s="57">
        <v>0</v>
      </c>
      <c r="CZ142" s="57">
        <v>0</v>
      </c>
      <c r="DA142" s="57">
        <v>0</v>
      </c>
      <c r="DB142" s="57">
        <v>0</v>
      </c>
      <c r="DC142" s="57">
        <v>0</v>
      </c>
      <c r="DD142" s="57">
        <v>0</v>
      </c>
      <c r="DE142" s="57">
        <v>0</v>
      </c>
      <c r="DF142" s="57">
        <v>0</v>
      </c>
      <c r="DG142" s="137">
        <v>0</v>
      </c>
      <c r="DH142" s="137">
        <v>0</v>
      </c>
      <c r="DI142" s="137">
        <v>0</v>
      </c>
      <c r="DJ142" s="137">
        <v>0</v>
      </c>
      <c r="DK142" s="137">
        <v>0</v>
      </c>
      <c r="DL142" s="137">
        <v>0</v>
      </c>
      <c r="DM142" s="137">
        <v>0</v>
      </c>
      <c r="DN142" s="137">
        <v>0</v>
      </c>
      <c r="DO142" s="137">
        <v>0</v>
      </c>
      <c r="DP142" s="137">
        <v>0</v>
      </c>
      <c r="DQ142" s="137">
        <v>0</v>
      </c>
      <c r="DR142" s="137">
        <v>0</v>
      </c>
      <c r="DS142" s="137">
        <v>0</v>
      </c>
      <c r="DT142" s="137">
        <v>0</v>
      </c>
      <c r="DU142" s="137">
        <v>0</v>
      </c>
      <c r="DV142" s="137">
        <v>0</v>
      </c>
      <c r="DW142" s="137">
        <v>0</v>
      </c>
      <c r="DX142" s="137">
        <v>0</v>
      </c>
      <c r="DY142" s="137">
        <v>0</v>
      </c>
      <c r="DZ142" s="137">
        <v>0</v>
      </c>
      <c r="EA142" s="137">
        <v>0</v>
      </c>
    </row>
    <row r="143" spans="1:131" x14ac:dyDescent="0.35">
      <c r="A143" s="90" t="e">
        <f>VLOOKUP(E143,'Validation List'!F144:G539,2,FALSE)</f>
        <v>#N/A</v>
      </c>
      <c r="B143" s="90" t="e">
        <f>INDEX('NEW HIRE ROSTER'!$G:$G,MATCH(RAW!F143,'NEW HIRE ROSTER'!$A:$A,0))</f>
        <v>#N/A</v>
      </c>
      <c r="C143" s="90" t="e">
        <f>INDEX('NEW HIRE ROSTER'!$F:$F,MATCH(RAW!F143,'NEW HIRE ROSTER'!$A:$A,0))</f>
        <v>#N/A</v>
      </c>
      <c r="D143" s="90" t="e">
        <f>INDEX('Validation List'!$H:$H,MATCH(RAW!E143,'Validation List'!$F:$F,0))</f>
        <v>#N/A</v>
      </c>
      <c r="G143" s="90" t="e">
        <f>VLOOKUP(F143,ML!C127:D725,2,FALSE)</f>
        <v>#N/A</v>
      </c>
      <c r="H143" s="90" t="e">
        <f>VLOOKUP(F143,ML!C127:E725,3,FALSE)</f>
        <v>#N/A</v>
      </c>
      <c r="M143" s="56"/>
      <c r="N143" s="57">
        <v>0</v>
      </c>
      <c r="O143" s="57">
        <v>0</v>
      </c>
      <c r="P143" s="57">
        <v>0</v>
      </c>
      <c r="Q143" s="57">
        <v>0</v>
      </c>
      <c r="R143" s="57">
        <v>0</v>
      </c>
      <c r="S143" s="57">
        <v>0</v>
      </c>
      <c r="T143" s="57">
        <v>0</v>
      </c>
      <c r="U143" s="57">
        <v>0</v>
      </c>
      <c r="V143" s="57">
        <v>0</v>
      </c>
      <c r="W143" s="57">
        <v>0</v>
      </c>
      <c r="X143" s="57">
        <v>0</v>
      </c>
      <c r="Y143" s="57">
        <v>0</v>
      </c>
      <c r="Z143" s="57">
        <v>0</v>
      </c>
      <c r="AA143" s="57">
        <v>0</v>
      </c>
      <c r="AB143" s="57">
        <v>0</v>
      </c>
      <c r="AC143" s="57">
        <v>0</v>
      </c>
      <c r="AD143" s="57">
        <v>0</v>
      </c>
      <c r="AE143" s="57">
        <v>0</v>
      </c>
      <c r="AF143" s="57">
        <v>0</v>
      </c>
      <c r="AG143" s="57">
        <v>0</v>
      </c>
      <c r="AH143" s="57">
        <v>0</v>
      </c>
      <c r="AI143" s="57">
        <v>0</v>
      </c>
      <c r="AJ143" s="57">
        <v>0</v>
      </c>
      <c r="AK143" s="57">
        <v>0</v>
      </c>
      <c r="AL143" s="57">
        <v>0</v>
      </c>
      <c r="AM143" s="57">
        <v>0</v>
      </c>
      <c r="AN143" s="57">
        <v>0</v>
      </c>
      <c r="AO143" s="57">
        <v>0</v>
      </c>
      <c r="AP143" s="57">
        <v>0</v>
      </c>
      <c r="AQ143" s="57">
        <v>0</v>
      </c>
      <c r="AR143" s="57">
        <v>0</v>
      </c>
      <c r="AS143" s="57">
        <v>0</v>
      </c>
      <c r="AT143" s="57">
        <v>0</v>
      </c>
      <c r="AU143" s="57">
        <v>0</v>
      </c>
      <c r="AV143" s="57">
        <v>0</v>
      </c>
      <c r="AW143" s="57">
        <v>0</v>
      </c>
      <c r="AX143" s="57">
        <v>0</v>
      </c>
      <c r="AY143" s="57">
        <v>0</v>
      </c>
      <c r="AZ143" s="57">
        <v>0</v>
      </c>
      <c r="BA143" s="57">
        <v>0</v>
      </c>
      <c r="BB143" s="57">
        <v>0</v>
      </c>
      <c r="BC143" s="57">
        <v>0</v>
      </c>
      <c r="BD143" s="57">
        <v>0</v>
      </c>
      <c r="BE143" s="57">
        <v>0</v>
      </c>
      <c r="BF143" s="57">
        <v>0</v>
      </c>
      <c r="BG143" s="57">
        <v>0</v>
      </c>
      <c r="BH143" s="57">
        <v>0</v>
      </c>
      <c r="BI143" s="57">
        <v>0</v>
      </c>
      <c r="BJ143" s="57">
        <v>0</v>
      </c>
      <c r="BK143" s="57">
        <v>0</v>
      </c>
      <c r="BL143" s="57">
        <v>0</v>
      </c>
      <c r="BM143" s="57">
        <v>0</v>
      </c>
      <c r="BN143" s="57">
        <v>0</v>
      </c>
      <c r="BO143" s="57">
        <v>0</v>
      </c>
      <c r="BP143" s="57">
        <v>0</v>
      </c>
      <c r="BQ143" s="57">
        <v>0</v>
      </c>
      <c r="BR143" s="57">
        <v>0</v>
      </c>
      <c r="BS143" s="57">
        <v>0</v>
      </c>
      <c r="BT143" s="57">
        <v>0</v>
      </c>
      <c r="BU143" s="57">
        <v>0</v>
      </c>
      <c r="BV143" s="57">
        <v>0</v>
      </c>
      <c r="BW143" s="57">
        <v>0</v>
      </c>
      <c r="BX143" s="57">
        <v>0</v>
      </c>
      <c r="BY143" s="57">
        <v>0</v>
      </c>
      <c r="BZ143" s="57">
        <v>0</v>
      </c>
      <c r="CA143" s="57">
        <v>0</v>
      </c>
      <c r="CB143" s="57">
        <v>0</v>
      </c>
      <c r="CC143" s="57">
        <v>0</v>
      </c>
      <c r="CD143" s="57">
        <v>0</v>
      </c>
      <c r="CE143" s="57">
        <v>0</v>
      </c>
      <c r="CF143" s="57">
        <v>0</v>
      </c>
      <c r="CG143" s="57">
        <v>0</v>
      </c>
      <c r="CH143" s="57">
        <v>0</v>
      </c>
      <c r="CI143" s="57">
        <v>0</v>
      </c>
      <c r="CJ143" s="57">
        <v>0</v>
      </c>
      <c r="CK143" s="57">
        <v>0</v>
      </c>
      <c r="CL143" s="57">
        <v>0</v>
      </c>
      <c r="CM143" s="57">
        <v>0</v>
      </c>
      <c r="CN143" s="57">
        <v>0</v>
      </c>
      <c r="CO143" s="57">
        <v>0</v>
      </c>
      <c r="CP143" s="57">
        <v>0</v>
      </c>
      <c r="CQ143" s="57">
        <v>0</v>
      </c>
      <c r="CR143" s="57">
        <v>0</v>
      </c>
      <c r="CS143" s="57">
        <v>0</v>
      </c>
      <c r="CT143" s="57">
        <v>0</v>
      </c>
      <c r="CU143" s="57">
        <v>0</v>
      </c>
      <c r="CV143" s="57">
        <v>0</v>
      </c>
      <c r="CW143" s="57">
        <v>0</v>
      </c>
      <c r="CX143" s="57">
        <v>0</v>
      </c>
      <c r="CY143" s="57">
        <v>0</v>
      </c>
      <c r="CZ143" s="57">
        <v>0</v>
      </c>
      <c r="DA143" s="57">
        <v>0</v>
      </c>
      <c r="DB143" s="57">
        <v>0</v>
      </c>
      <c r="DC143" s="57">
        <v>0</v>
      </c>
      <c r="DD143" s="57">
        <v>0</v>
      </c>
      <c r="DE143" s="57">
        <v>0</v>
      </c>
      <c r="DF143" s="57">
        <v>0</v>
      </c>
      <c r="DG143" s="137">
        <v>0</v>
      </c>
      <c r="DH143" s="137">
        <v>0</v>
      </c>
      <c r="DI143" s="137">
        <v>0</v>
      </c>
      <c r="DJ143" s="137">
        <v>0</v>
      </c>
      <c r="DK143" s="137">
        <v>0</v>
      </c>
      <c r="DL143" s="137">
        <v>0</v>
      </c>
      <c r="DM143" s="137">
        <v>0</v>
      </c>
      <c r="DN143" s="137">
        <v>0</v>
      </c>
      <c r="DO143" s="137">
        <v>0</v>
      </c>
      <c r="DP143" s="137">
        <v>0</v>
      </c>
      <c r="DQ143" s="137">
        <v>0</v>
      </c>
      <c r="DR143" s="137">
        <v>0</v>
      </c>
      <c r="DS143" s="137">
        <v>0</v>
      </c>
      <c r="DT143" s="137">
        <v>0</v>
      </c>
      <c r="DU143" s="137">
        <v>0</v>
      </c>
      <c r="DV143" s="137">
        <v>0</v>
      </c>
      <c r="DW143" s="137">
        <v>0</v>
      </c>
      <c r="DX143" s="137">
        <v>0</v>
      </c>
      <c r="DY143" s="137">
        <v>0</v>
      </c>
      <c r="DZ143" s="137">
        <v>0</v>
      </c>
      <c r="EA143" s="137">
        <v>0</v>
      </c>
    </row>
    <row r="144" spans="1:131" x14ac:dyDescent="0.35">
      <c r="A144" s="90" t="e">
        <f>VLOOKUP(E144,'Validation List'!F145:G540,2,FALSE)</f>
        <v>#N/A</v>
      </c>
      <c r="B144" s="90" t="e">
        <f>INDEX('NEW HIRE ROSTER'!$G:$G,MATCH(RAW!F144,'NEW HIRE ROSTER'!$A:$A,0))</f>
        <v>#N/A</v>
      </c>
      <c r="C144" s="90" t="e">
        <f>INDEX('NEW HIRE ROSTER'!$F:$F,MATCH(RAW!F144,'NEW HIRE ROSTER'!$A:$A,0))</f>
        <v>#N/A</v>
      </c>
      <c r="D144" s="90" t="e">
        <f>INDEX('Validation List'!$H:$H,MATCH(RAW!E144,'Validation List'!$F:$F,0))</f>
        <v>#N/A</v>
      </c>
      <c r="G144" s="90" t="e">
        <f>VLOOKUP(F144,ML!C128:D726,2,FALSE)</f>
        <v>#N/A</v>
      </c>
      <c r="H144" s="90" t="e">
        <f>VLOOKUP(F144,ML!C128:E726,3,FALSE)</f>
        <v>#N/A</v>
      </c>
      <c r="M144" s="56"/>
      <c r="N144" s="57">
        <v>0</v>
      </c>
      <c r="O144" s="57">
        <v>0</v>
      </c>
      <c r="P144" s="57">
        <v>0</v>
      </c>
      <c r="Q144" s="57">
        <v>0</v>
      </c>
      <c r="R144" s="57">
        <v>0</v>
      </c>
      <c r="S144" s="57">
        <v>0</v>
      </c>
      <c r="T144" s="57">
        <v>0</v>
      </c>
      <c r="U144" s="57">
        <v>0</v>
      </c>
      <c r="V144" s="57">
        <v>0</v>
      </c>
      <c r="W144" s="57">
        <v>0</v>
      </c>
      <c r="X144" s="57">
        <v>0</v>
      </c>
      <c r="Y144" s="57">
        <v>0</v>
      </c>
      <c r="Z144" s="57">
        <v>0</v>
      </c>
      <c r="AA144" s="57">
        <v>0</v>
      </c>
      <c r="AB144" s="57">
        <v>0</v>
      </c>
      <c r="AC144" s="57">
        <v>0</v>
      </c>
      <c r="AD144" s="57">
        <v>0</v>
      </c>
      <c r="AE144" s="57">
        <v>0</v>
      </c>
      <c r="AF144" s="57">
        <v>0</v>
      </c>
      <c r="AG144" s="57">
        <v>0</v>
      </c>
      <c r="AH144" s="57">
        <v>0</v>
      </c>
      <c r="AI144" s="57">
        <v>0</v>
      </c>
      <c r="AJ144" s="57">
        <v>0</v>
      </c>
      <c r="AK144" s="57">
        <v>0</v>
      </c>
      <c r="AL144" s="57">
        <v>0</v>
      </c>
      <c r="AM144" s="57">
        <v>0</v>
      </c>
      <c r="AN144" s="57">
        <v>0</v>
      </c>
      <c r="AO144" s="57">
        <v>0</v>
      </c>
      <c r="AP144" s="57">
        <v>0</v>
      </c>
      <c r="AQ144" s="57">
        <v>0</v>
      </c>
      <c r="AR144" s="57">
        <v>0</v>
      </c>
      <c r="AS144" s="57">
        <v>0</v>
      </c>
      <c r="AT144" s="57">
        <v>0</v>
      </c>
      <c r="AU144" s="57">
        <v>0</v>
      </c>
      <c r="AV144" s="57">
        <v>0</v>
      </c>
      <c r="AW144" s="57">
        <v>0</v>
      </c>
      <c r="AX144" s="57">
        <v>0</v>
      </c>
      <c r="AY144" s="57">
        <v>0</v>
      </c>
      <c r="AZ144" s="57">
        <v>0</v>
      </c>
      <c r="BA144" s="57">
        <v>0</v>
      </c>
      <c r="BB144" s="57">
        <v>0</v>
      </c>
      <c r="BC144" s="57">
        <v>0</v>
      </c>
      <c r="BD144" s="57">
        <v>0</v>
      </c>
      <c r="BE144" s="57">
        <v>0</v>
      </c>
      <c r="BF144" s="57">
        <v>0</v>
      </c>
      <c r="BG144" s="57">
        <v>0</v>
      </c>
      <c r="BH144" s="57">
        <v>0</v>
      </c>
      <c r="BI144" s="57">
        <v>0</v>
      </c>
      <c r="BJ144" s="57">
        <v>0</v>
      </c>
      <c r="BK144" s="57">
        <v>0</v>
      </c>
      <c r="BL144" s="57">
        <v>0</v>
      </c>
      <c r="BM144" s="57">
        <v>0</v>
      </c>
      <c r="BN144" s="57">
        <v>0</v>
      </c>
      <c r="BO144" s="57">
        <v>0</v>
      </c>
      <c r="BP144" s="57">
        <v>0</v>
      </c>
      <c r="BQ144" s="57">
        <v>0</v>
      </c>
      <c r="BR144" s="57">
        <v>0</v>
      </c>
      <c r="BS144" s="57">
        <v>0</v>
      </c>
      <c r="BT144" s="57">
        <v>0</v>
      </c>
      <c r="BU144" s="57">
        <v>0</v>
      </c>
      <c r="BV144" s="57">
        <v>0</v>
      </c>
      <c r="BW144" s="57">
        <v>0</v>
      </c>
      <c r="BX144" s="57">
        <v>0</v>
      </c>
      <c r="BY144" s="57">
        <v>0</v>
      </c>
      <c r="BZ144" s="57">
        <v>0</v>
      </c>
      <c r="CA144" s="57">
        <v>0</v>
      </c>
      <c r="CB144" s="57">
        <v>0</v>
      </c>
      <c r="CC144" s="57">
        <v>0</v>
      </c>
      <c r="CD144" s="57">
        <v>0</v>
      </c>
      <c r="CE144" s="57">
        <v>0</v>
      </c>
      <c r="CF144" s="57">
        <v>0</v>
      </c>
      <c r="CG144" s="57">
        <v>0</v>
      </c>
      <c r="CH144" s="57">
        <v>0</v>
      </c>
      <c r="CI144" s="57">
        <v>0</v>
      </c>
      <c r="CJ144" s="57">
        <v>0</v>
      </c>
      <c r="CK144" s="57">
        <v>0</v>
      </c>
      <c r="CL144" s="57">
        <v>0</v>
      </c>
      <c r="CM144" s="57">
        <v>0</v>
      </c>
      <c r="CN144" s="57">
        <v>0</v>
      </c>
      <c r="CO144" s="57">
        <v>0</v>
      </c>
      <c r="CP144" s="57">
        <v>0</v>
      </c>
      <c r="CQ144" s="57">
        <v>0</v>
      </c>
      <c r="CR144" s="57">
        <v>0</v>
      </c>
      <c r="CS144" s="57">
        <v>0</v>
      </c>
      <c r="CT144" s="57">
        <v>0</v>
      </c>
      <c r="CU144" s="57">
        <v>0</v>
      </c>
      <c r="CV144" s="57">
        <v>0</v>
      </c>
      <c r="CW144" s="57">
        <v>0</v>
      </c>
      <c r="CX144" s="57">
        <v>0</v>
      </c>
      <c r="CY144" s="57">
        <v>0</v>
      </c>
      <c r="CZ144" s="57">
        <v>0</v>
      </c>
      <c r="DA144" s="57">
        <v>0</v>
      </c>
      <c r="DB144" s="57">
        <v>0</v>
      </c>
      <c r="DC144" s="57">
        <v>0</v>
      </c>
      <c r="DD144" s="57">
        <v>0</v>
      </c>
      <c r="DE144" s="57">
        <v>0</v>
      </c>
      <c r="DF144" s="57">
        <v>0</v>
      </c>
      <c r="DG144" s="137">
        <v>0</v>
      </c>
      <c r="DH144" s="137">
        <v>0</v>
      </c>
      <c r="DI144" s="137">
        <v>0</v>
      </c>
      <c r="DJ144" s="137">
        <v>0</v>
      </c>
      <c r="DK144" s="137">
        <v>0</v>
      </c>
      <c r="DL144" s="137">
        <v>0</v>
      </c>
      <c r="DM144" s="137">
        <v>0</v>
      </c>
      <c r="DN144" s="137">
        <v>0</v>
      </c>
      <c r="DO144" s="137">
        <v>0</v>
      </c>
      <c r="DP144" s="137">
        <v>0</v>
      </c>
      <c r="DQ144" s="137">
        <v>0</v>
      </c>
      <c r="DR144" s="137">
        <v>0</v>
      </c>
      <c r="DS144" s="137">
        <v>0</v>
      </c>
      <c r="DT144" s="137">
        <v>0</v>
      </c>
      <c r="DU144" s="137">
        <v>0</v>
      </c>
      <c r="DV144" s="137">
        <v>0</v>
      </c>
      <c r="DW144" s="137">
        <v>0</v>
      </c>
      <c r="DX144" s="137">
        <v>0</v>
      </c>
      <c r="DY144" s="137">
        <v>0</v>
      </c>
      <c r="DZ144" s="137">
        <v>0</v>
      </c>
      <c r="EA144" s="137">
        <v>0</v>
      </c>
    </row>
    <row r="145" spans="1:131" x14ac:dyDescent="0.35">
      <c r="A145" s="90" t="e">
        <f>VLOOKUP(E145,'Validation List'!F146:G541,2,FALSE)</f>
        <v>#N/A</v>
      </c>
      <c r="B145" s="90" t="e">
        <f>INDEX('NEW HIRE ROSTER'!$G:$G,MATCH(RAW!F145,'NEW HIRE ROSTER'!$A:$A,0))</f>
        <v>#N/A</v>
      </c>
      <c r="C145" s="90" t="e">
        <f>INDEX('NEW HIRE ROSTER'!$F:$F,MATCH(RAW!F145,'NEW HIRE ROSTER'!$A:$A,0))</f>
        <v>#N/A</v>
      </c>
      <c r="D145" s="90" t="e">
        <f>INDEX('Validation List'!$H:$H,MATCH(RAW!E145,'Validation List'!$F:$F,0))</f>
        <v>#N/A</v>
      </c>
      <c r="G145" s="90" t="e">
        <f>VLOOKUP(F145,ML!C129:D727,2,FALSE)</f>
        <v>#N/A</v>
      </c>
      <c r="H145" s="90" t="e">
        <f>VLOOKUP(F145,ML!C129:E727,3,FALSE)</f>
        <v>#N/A</v>
      </c>
      <c r="M145" s="56"/>
      <c r="N145" s="57">
        <v>0</v>
      </c>
      <c r="O145" s="57">
        <v>0</v>
      </c>
      <c r="P145" s="57">
        <v>0</v>
      </c>
      <c r="Q145" s="57">
        <v>0</v>
      </c>
      <c r="R145" s="57">
        <v>0</v>
      </c>
      <c r="S145" s="57">
        <v>0</v>
      </c>
      <c r="T145" s="57">
        <v>0</v>
      </c>
      <c r="U145" s="57">
        <v>0</v>
      </c>
      <c r="V145" s="57">
        <v>0</v>
      </c>
      <c r="W145" s="57">
        <v>0</v>
      </c>
      <c r="X145" s="57">
        <v>0</v>
      </c>
      <c r="Y145" s="57">
        <v>0</v>
      </c>
      <c r="Z145" s="57">
        <v>0</v>
      </c>
      <c r="AA145" s="57">
        <v>0</v>
      </c>
      <c r="AB145" s="57">
        <v>0</v>
      </c>
      <c r="AC145" s="57">
        <v>0</v>
      </c>
      <c r="AD145" s="57">
        <v>0</v>
      </c>
      <c r="AE145" s="57">
        <v>0</v>
      </c>
      <c r="AF145" s="57">
        <v>0</v>
      </c>
      <c r="AG145" s="57">
        <v>0</v>
      </c>
      <c r="AH145" s="57">
        <v>0</v>
      </c>
      <c r="AI145" s="57">
        <v>0</v>
      </c>
      <c r="AJ145" s="57">
        <v>0</v>
      </c>
      <c r="AK145" s="57">
        <v>0</v>
      </c>
      <c r="AL145" s="57">
        <v>0</v>
      </c>
      <c r="AM145" s="57">
        <v>0</v>
      </c>
      <c r="AN145" s="57">
        <v>0</v>
      </c>
      <c r="AO145" s="57">
        <v>0</v>
      </c>
      <c r="AP145" s="57">
        <v>0</v>
      </c>
      <c r="AQ145" s="57">
        <v>0</v>
      </c>
      <c r="AR145" s="57">
        <v>0</v>
      </c>
      <c r="AS145" s="57">
        <v>0</v>
      </c>
      <c r="AT145" s="57">
        <v>0</v>
      </c>
      <c r="AU145" s="57">
        <v>0</v>
      </c>
      <c r="AV145" s="57">
        <v>0</v>
      </c>
      <c r="AW145" s="57">
        <v>0</v>
      </c>
      <c r="AX145" s="57">
        <v>0</v>
      </c>
      <c r="AY145" s="57">
        <v>0</v>
      </c>
      <c r="AZ145" s="57">
        <v>0</v>
      </c>
      <c r="BA145" s="57">
        <v>0</v>
      </c>
      <c r="BB145" s="57">
        <v>0</v>
      </c>
      <c r="BC145" s="57">
        <v>0</v>
      </c>
      <c r="BD145" s="57">
        <v>0</v>
      </c>
      <c r="BE145" s="57">
        <v>0</v>
      </c>
      <c r="BF145" s="57">
        <v>0</v>
      </c>
      <c r="BG145" s="57">
        <v>0</v>
      </c>
      <c r="BH145" s="57">
        <v>0</v>
      </c>
      <c r="BI145" s="57">
        <v>0</v>
      </c>
      <c r="BJ145" s="57">
        <v>0</v>
      </c>
      <c r="BK145" s="57">
        <v>0</v>
      </c>
      <c r="BL145" s="57">
        <v>0</v>
      </c>
      <c r="BM145" s="57">
        <v>0</v>
      </c>
      <c r="BN145" s="57">
        <v>0</v>
      </c>
      <c r="BO145" s="57">
        <v>0</v>
      </c>
      <c r="BP145" s="57">
        <v>0</v>
      </c>
      <c r="BQ145" s="57">
        <v>0</v>
      </c>
      <c r="BR145" s="57">
        <v>0</v>
      </c>
      <c r="BS145" s="57">
        <v>0</v>
      </c>
      <c r="BT145" s="57">
        <v>0</v>
      </c>
      <c r="BU145" s="57">
        <v>0</v>
      </c>
      <c r="BV145" s="57">
        <v>0</v>
      </c>
      <c r="BW145" s="57">
        <v>0</v>
      </c>
      <c r="BX145" s="57">
        <v>0</v>
      </c>
      <c r="BY145" s="57">
        <v>0</v>
      </c>
      <c r="BZ145" s="57">
        <v>0</v>
      </c>
      <c r="CA145" s="57">
        <v>0</v>
      </c>
      <c r="CB145" s="57">
        <v>0</v>
      </c>
      <c r="CC145" s="57">
        <v>0</v>
      </c>
      <c r="CD145" s="57">
        <v>0</v>
      </c>
      <c r="CE145" s="57">
        <v>0</v>
      </c>
      <c r="CF145" s="57">
        <v>0</v>
      </c>
      <c r="CG145" s="57">
        <v>0</v>
      </c>
      <c r="CH145" s="57">
        <v>0</v>
      </c>
      <c r="CI145" s="57">
        <v>0</v>
      </c>
      <c r="CJ145" s="57">
        <v>0</v>
      </c>
      <c r="CK145" s="57">
        <v>0</v>
      </c>
      <c r="CL145" s="57">
        <v>0</v>
      </c>
      <c r="CM145" s="57">
        <v>0</v>
      </c>
      <c r="CN145" s="57">
        <v>0</v>
      </c>
      <c r="CO145" s="57">
        <v>0</v>
      </c>
      <c r="CP145" s="57">
        <v>0</v>
      </c>
      <c r="CQ145" s="57">
        <v>0</v>
      </c>
      <c r="CR145" s="57">
        <v>0</v>
      </c>
      <c r="CS145" s="57">
        <v>0</v>
      </c>
      <c r="CT145" s="57">
        <v>0</v>
      </c>
      <c r="CU145" s="57">
        <v>0</v>
      </c>
      <c r="CV145" s="57">
        <v>0</v>
      </c>
      <c r="CW145" s="57">
        <v>0</v>
      </c>
      <c r="CX145" s="57">
        <v>0</v>
      </c>
      <c r="CY145" s="57">
        <v>0</v>
      </c>
      <c r="CZ145" s="57">
        <v>0</v>
      </c>
      <c r="DA145" s="57">
        <v>0</v>
      </c>
      <c r="DB145" s="57">
        <v>0</v>
      </c>
      <c r="DC145" s="57">
        <v>0</v>
      </c>
      <c r="DD145" s="57">
        <v>0</v>
      </c>
      <c r="DE145" s="57">
        <v>0</v>
      </c>
      <c r="DF145" s="57">
        <v>0</v>
      </c>
      <c r="DG145" s="137">
        <v>0</v>
      </c>
      <c r="DH145" s="137">
        <v>0</v>
      </c>
      <c r="DI145" s="137">
        <v>0</v>
      </c>
      <c r="DJ145" s="137">
        <v>0</v>
      </c>
      <c r="DK145" s="137">
        <v>0</v>
      </c>
      <c r="DL145" s="137">
        <v>0</v>
      </c>
      <c r="DM145" s="137">
        <v>0</v>
      </c>
      <c r="DN145" s="137">
        <v>0</v>
      </c>
      <c r="DO145" s="137">
        <v>0</v>
      </c>
      <c r="DP145" s="137">
        <v>0</v>
      </c>
      <c r="DQ145" s="137">
        <v>0</v>
      </c>
      <c r="DR145" s="137">
        <v>0</v>
      </c>
      <c r="DS145" s="137">
        <v>0</v>
      </c>
      <c r="DT145" s="137">
        <v>0</v>
      </c>
      <c r="DU145" s="137">
        <v>0</v>
      </c>
      <c r="DV145" s="137">
        <v>0</v>
      </c>
      <c r="DW145" s="137">
        <v>0</v>
      </c>
      <c r="DX145" s="137">
        <v>0</v>
      </c>
      <c r="DY145" s="137">
        <v>0</v>
      </c>
      <c r="DZ145" s="137">
        <v>0</v>
      </c>
      <c r="EA145" s="137">
        <v>0</v>
      </c>
    </row>
    <row r="146" spans="1:131" x14ac:dyDescent="0.35">
      <c r="A146" s="90" t="e">
        <f>VLOOKUP(E146,'Validation List'!F147:G542,2,FALSE)</f>
        <v>#N/A</v>
      </c>
      <c r="B146" s="90" t="e">
        <f>INDEX('NEW HIRE ROSTER'!$G:$G,MATCH(RAW!F146,'NEW HIRE ROSTER'!$A:$A,0))</f>
        <v>#N/A</v>
      </c>
      <c r="C146" s="90" t="e">
        <f>INDEX('NEW HIRE ROSTER'!$F:$F,MATCH(RAW!F146,'NEW HIRE ROSTER'!$A:$A,0))</f>
        <v>#N/A</v>
      </c>
      <c r="D146" s="90" t="e">
        <f>INDEX('Validation List'!$H:$H,MATCH(RAW!E146,'Validation List'!$F:$F,0))</f>
        <v>#N/A</v>
      </c>
      <c r="G146" s="90" t="e">
        <f>VLOOKUP(F146,ML!C130:D728,2,FALSE)</f>
        <v>#N/A</v>
      </c>
      <c r="H146" s="90" t="e">
        <f>VLOOKUP(F146,ML!C130:E728,3,FALSE)</f>
        <v>#N/A</v>
      </c>
      <c r="M146" s="56"/>
      <c r="N146" s="57">
        <v>0</v>
      </c>
      <c r="O146" s="57">
        <v>0</v>
      </c>
      <c r="P146" s="57">
        <v>0</v>
      </c>
      <c r="Q146" s="57">
        <v>0</v>
      </c>
      <c r="R146" s="57">
        <v>0</v>
      </c>
      <c r="S146" s="57">
        <v>0</v>
      </c>
      <c r="T146" s="57">
        <v>0</v>
      </c>
      <c r="U146" s="57">
        <v>0</v>
      </c>
      <c r="V146" s="57">
        <v>0</v>
      </c>
      <c r="W146" s="57">
        <v>0</v>
      </c>
      <c r="X146" s="57">
        <v>0</v>
      </c>
      <c r="Y146" s="57">
        <v>0</v>
      </c>
      <c r="Z146" s="57">
        <v>0</v>
      </c>
      <c r="AA146" s="57">
        <v>0</v>
      </c>
      <c r="AB146" s="57">
        <v>0</v>
      </c>
      <c r="AC146" s="57">
        <v>0</v>
      </c>
      <c r="AD146" s="57">
        <v>0</v>
      </c>
      <c r="AE146" s="57">
        <v>0</v>
      </c>
      <c r="AF146" s="57">
        <v>0</v>
      </c>
      <c r="AG146" s="57">
        <v>0</v>
      </c>
      <c r="AH146" s="57">
        <v>0</v>
      </c>
      <c r="AI146" s="57">
        <v>0</v>
      </c>
      <c r="AJ146" s="57">
        <v>0</v>
      </c>
      <c r="AK146" s="57">
        <v>0</v>
      </c>
      <c r="AL146" s="57">
        <v>0</v>
      </c>
      <c r="AM146" s="57">
        <v>0</v>
      </c>
      <c r="AN146" s="57">
        <v>0</v>
      </c>
      <c r="AO146" s="57">
        <v>0</v>
      </c>
      <c r="AP146" s="57">
        <v>0</v>
      </c>
      <c r="AQ146" s="57">
        <v>0</v>
      </c>
      <c r="AR146" s="57">
        <v>0</v>
      </c>
      <c r="AS146" s="57">
        <v>0</v>
      </c>
      <c r="AT146" s="57">
        <v>0</v>
      </c>
      <c r="AU146" s="57">
        <v>0</v>
      </c>
      <c r="AV146" s="57">
        <v>0</v>
      </c>
      <c r="AW146" s="57">
        <v>0</v>
      </c>
      <c r="AX146" s="57">
        <v>0</v>
      </c>
      <c r="AY146" s="57">
        <v>0</v>
      </c>
      <c r="AZ146" s="57">
        <v>0</v>
      </c>
      <c r="BA146" s="57">
        <v>0</v>
      </c>
      <c r="BB146" s="57">
        <v>0</v>
      </c>
      <c r="BC146" s="57">
        <v>0</v>
      </c>
      <c r="BD146" s="57">
        <v>0</v>
      </c>
      <c r="BE146" s="57">
        <v>0</v>
      </c>
      <c r="BF146" s="57">
        <v>0</v>
      </c>
      <c r="BG146" s="57">
        <v>0</v>
      </c>
      <c r="BH146" s="57">
        <v>0</v>
      </c>
      <c r="BI146" s="57">
        <v>0</v>
      </c>
      <c r="BJ146" s="57">
        <v>0</v>
      </c>
      <c r="BK146" s="57">
        <v>0</v>
      </c>
      <c r="BL146" s="57">
        <v>0</v>
      </c>
      <c r="BM146" s="57">
        <v>0</v>
      </c>
      <c r="BN146" s="57">
        <v>0</v>
      </c>
      <c r="BO146" s="57">
        <v>0</v>
      </c>
      <c r="BP146" s="57">
        <v>0</v>
      </c>
      <c r="BQ146" s="57">
        <v>0</v>
      </c>
      <c r="BR146" s="57">
        <v>0</v>
      </c>
      <c r="BS146" s="57">
        <v>0</v>
      </c>
      <c r="BT146" s="57">
        <v>0</v>
      </c>
      <c r="BU146" s="57">
        <v>0</v>
      </c>
      <c r="BV146" s="57">
        <v>0</v>
      </c>
      <c r="BW146" s="57">
        <v>0</v>
      </c>
      <c r="BX146" s="57">
        <v>0</v>
      </c>
      <c r="BY146" s="57">
        <v>0</v>
      </c>
      <c r="BZ146" s="57">
        <v>0</v>
      </c>
      <c r="CA146" s="57">
        <v>0</v>
      </c>
      <c r="CB146" s="57">
        <v>0</v>
      </c>
      <c r="CC146" s="57">
        <v>0</v>
      </c>
      <c r="CD146" s="57">
        <v>0</v>
      </c>
      <c r="CE146" s="57">
        <v>0</v>
      </c>
      <c r="CF146" s="57">
        <v>0</v>
      </c>
      <c r="CG146" s="57">
        <v>0</v>
      </c>
      <c r="CH146" s="57">
        <v>0</v>
      </c>
      <c r="CI146" s="57">
        <v>0</v>
      </c>
      <c r="CJ146" s="57">
        <v>0</v>
      </c>
      <c r="CK146" s="57">
        <v>0</v>
      </c>
      <c r="CL146" s="57">
        <v>0</v>
      </c>
      <c r="CM146" s="57">
        <v>0</v>
      </c>
      <c r="CN146" s="57">
        <v>0</v>
      </c>
      <c r="CO146" s="57">
        <v>0</v>
      </c>
      <c r="CP146" s="57">
        <v>0</v>
      </c>
      <c r="CQ146" s="57">
        <v>0</v>
      </c>
      <c r="CR146" s="57">
        <v>0</v>
      </c>
      <c r="CS146" s="57">
        <v>0</v>
      </c>
      <c r="CT146" s="57">
        <v>0</v>
      </c>
      <c r="CU146" s="57">
        <v>0</v>
      </c>
      <c r="CV146" s="57">
        <v>0</v>
      </c>
      <c r="CW146" s="57">
        <v>0</v>
      </c>
      <c r="CX146" s="57">
        <v>0</v>
      </c>
      <c r="CY146" s="57">
        <v>0</v>
      </c>
      <c r="CZ146" s="57">
        <v>0</v>
      </c>
      <c r="DA146" s="57">
        <v>0</v>
      </c>
      <c r="DB146" s="57">
        <v>0</v>
      </c>
      <c r="DC146" s="57">
        <v>0</v>
      </c>
      <c r="DD146" s="57">
        <v>0</v>
      </c>
      <c r="DE146" s="57">
        <v>0</v>
      </c>
      <c r="DF146" s="57">
        <v>0</v>
      </c>
      <c r="DG146" s="137">
        <v>0</v>
      </c>
      <c r="DH146" s="137">
        <v>0</v>
      </c>
      <c r="DI146" s="137">
        <v>0</v>
      </c>
      <c r="DJ146" s="137">
        <v>0</v>
      </c>
      <c r="DK146" s="137">
        <v>0</v>
      </c>
      <c r="DL146" s="137">
        <v>0</v>
      </c>
      <c r="DM146" s="137">
        <v>0</v>
      </c>
      <c r="DN146" s="137">
        <v>0</v>
      </c>
      <c r="DO146" s="137">
        <v>0</v>
      </c>
      <c r="DP146" s="137">
        <v>0</v>
      </c>
      <c r="DQ146" s="137">
        <v>0</v>
      </c>
      <c r="DR146" s="137">
        <v>0</v>
      </c>
      <c r="DS146" s="137">
        <v>0</v>
      </c>
      <c r="DT146" s="137">
        <v>0</v>
      </c>
      <c r="DU146" s="137">
        <v>0</v>
      </c>
      <c r="DV146" s="137">
        <v>0</v>
      </c>
      <c r="DW146" s="137">
        <v>0</v>
      </c>
      <c r="DX146" s="137">
        <v>0</v>
      </c>
      <c r="DY146" s="137">
        <v>0</v>
      </c>
      <c r="DZ146" s="137">
        <v>0</v>
      </c>
      <c r="EA146" s="137">
        <v>0</v>
      </c>
    </row>
    <row r="147" spans="1:131" x14ac:dyDescent="0.35">
      <c r="A147" s="90" t="e">
        <f>VLOOKUP(E147,'Validation List'!F148:G543,2,FALSE)</f>
        <v>#N/A</v>
      </c>
      <c r="B147" s="90" t="e">
        <f>INDEX('NEW HIRE ROSTER'!$G:$G,MATCH(RAW!F147,'NEW HIRE ROSTER'!$A:$A,0))</f>
        <v>#N/A</v>
      </c>
      <c r="C147" s="90" t="e">
        <f>INDEX('NEW HIRE ROSTER'!$F:$F,MATCH(RAW!F147,'NEW HIRE ROSTER'!$A:$A,0))</f>
        <v>#N/A</v>
      </c>
      <c r="D147" s="90" t="e">
        <f>INDEX('Validation List'!$H:$H,MATCH(RAW!E147,'Validation List'!$F:$F,0))</f>
        <v>#N/A</v>
      </c>
      <c r="G147" s="90" t="e">
        <f>VLOOKUP(F147,ML!C131:D729,2,FALSE)</f>
        <v>#N/A</v>
      </c>
      <c r="H147" s="90" t="e">
        <f>VLOOKUP(F147,ML!C131:E729,3,FALSE)</f>
        <v>#N/A</v>
      </c>
      <c r="M147" s="56"/>
      <c r="N147" s="57">
        <v>0</v>
      </c>
      <c r="O147" s="57">
        <v>0</v>
      </c>
      <c r="P147" s="57">
        <v>0</v>
      </c>
      <c r="Q147" s="57">
        <v>0</v>
      </c>
      <c r="R147" s="57">
        <v>0</v>
      </c>
      <c r="S147" s="57">
        <v>0</v>
      </c>
      <c r="T147" s="57">
        <v>0</v>
      </c>
      <c r="U147" s="57">
        <v>0</v>
      </c>
      <c r="V147" s="57">
        <v>0</v>
      </c>
      <c r="W147" s="57">
        <v>0</v>
      </c>
      <c r="X147" s="57">
        <v>0</v>
      </c>
      <c r="Y147" s="57">
        <v>0</v>
      </c>
      <c r="Z147" s="57">
        <v>0</v>
      </c>
      <c r="AA147" s="57">
        <v>0</v>
      </c>
      <c r="AB147" s="57">
        <v>0</v>
      </c>
      <c r="AC147" s="57">
        <v>0</v>
      </c>
      <c r="AD147" s="57">
        <v>0</v>
      </c>
      <c r="AE147" s="57">
        <v>0</v>
      </c>
      <c r="AF147" s="57">
        <v>0</v>
      </c>
      <c r="AG147" s="57">
        <v>0</v>
      </c>
      <c r="AH147" s="57">
        <v>0</v>
      </c>
      <c r="AI147" s="57">
        <v>0</v>
      </c>
      <c r="AJ147" s="57">
        <v>0</v>
      </c>
      <c r="AK147" s="57">
        <v>0</v>
      </c>
      <c r="AL147" s="57">
        <v>0</v>
      </c>
      <c r="AM147" s="57">
        <v>0</v>
      </c>
      <c r="AN147" s="57">
        <v>0</v>
      </c>
      <c r="AO147" s="57">
        <v>0</v>
      </c>
      <c r="AP147" s="57">
        <v>0</v>
      </c>
      <c r="AQ147" s="57">
        <v>0</v>
      </c>
      <c r="AR147" s="57">
        <v>0</v>
      </c>
      <c r="AS147" s="57">
        <v>0</v>
      </c>
      <c r="AT147" s="57">
        <v>0</v>
      </c>
      <c r="AU147" s="57">
        <v>0</v>
      </c>
      <c r="AV147" s="57">
        <v>0</v>
      </c>
      <c r="AW147" s="57">
        <v>0</v>
      </c>
      <c r="AX147" s="57">
        <v>0</v>
      </c>
      <c r="AY147" s="57">
        <v>0</v>
      </c>
      <c r="AZ147" s="57">
        <v>0</v>
      </c>
      <c r="BA147" s="57">
        <v>0</v>
      </c>
      <c r="BB147" s="57">
        <v>0</v>
      </c>
      <c r="BC147" s="57">
        <v>0</v>
      </c>
      <c r="BD147" s="57">
        <v>0</v>
      </c>
      <c r="BE147" s="57">
        <v>0</v>
      </c>
      <c r="BF147" s="57">
        <v>0</v>
      </c>
      <c r="BG147" s="57">
        <v>0</v>
      </c>
      <c r="BH147" s="57">
        <v>0</v>
      </c>
      <c r="BI147" s="57">
        <v>0</v>
      </c>
      <c r="BJ147" s="57">
        <v>0</v>
      </c>
      <c r="BK147" s="57">
        <v>0</v>
      </c>
      <c r="BL147" s="57">
        <v>0</v>
      </c>
      <c r="BM147" s="57">
        <v>0</v>
      </c>
      <c r="BN147" s="57">
        <v>0</v>
      </c>
      <c r="BO147" s="57">
        <v>0</v>
      </c>
      <c r="BP147" s="57">
        <v>0</v>
      </c>
      <c r="BQ147" s="57">
        <v>0</v>
      </c>
      <c r="BR147" s="57">
        <v>0</v>
      </c>
      <c r="BS147" s="57">
        <v>0</v>
      </c>
      <c r="BT147" s="57">
        <v>0</v>
      </c>
      <c r="BU147" s="57">
        <v>0</v>
      </c>
      <c r="BV147" s="57">
        <v>0</v>
      </c>
      <c r="BW147" s="57">
        <v>0</v>
      </c>
      <c r="BX147" s="57">
        <v>0</v>
      </c>
      <c r="BY147" s="57">
        <v>0</v>
      </c>
      <c r="BZ147" s="57">
        <v>0</v>
      </c>
      <c r="CA147" s="57">
        <v>0</v>
      </c>
      <c r="CB147" s="57">
        <v>0</v>
      </c>
      <c r="CC147" s="57">
        <v>0</v>
      </c>
      <c r="CD147" s="57">
        <v>0</v>
      </c>
      <c r="CE147" s="57">
        <v>0</v>
      </c>
      <c r="CF147" s="57">
        <v>0</v>
      </c>
      <c r="CG147" s="57">
        <v>0</v>
      </c>
      <c r="CH147" s="57">
        <v>0</v>
      </c>
      <c r="CI147" s="57">
        <v>0</v>
      </c>
      <c r="CJ147" s="57">
        <v>0</v>
      </c>
      <c r="CK147" s="57">
        <v>0</v>
      </c>
      <c r="CL147" s="57">
        <v>0</v>
      </c>
      <c r="CM147" s="57">
        <v>0</v>
      </c>
      <c r="CN147" s="57">
        <v>0</v>
      </c>
      <c r="CO147" s="57">
        <v>0</v>
      </c>
      <c r="CP147" s="57">
        <v>0</v>
      </c>
      <c r="CQ147" s="57">
        <v>0</v>
      </c>
      <c r="CR147" s="57">
        <v>0</v>
      </c>
      <c r="CS147" s="57">
        <v>0</v>
      </c>
      <c r="CT147" s="57">
        <v>0</v>
      </c>
      <c r="CU147" s="57">
        <v>0</v>
      </c>
      <c r="CV147" s="57">
        <v>0</v>
      </c>
      <c r="CW147" s="57">
        <v>0</v>
      </c>
      <c r="CX147" s="57">
        <v>0</v>
      </c>
      <c r="CY147" s="57">
        <v>0</v>
      </c>
      <c r="CZ147" s="57">
        <v>0</v>
      </c>
      <c r="DA147" s="57">
        <v>0</v>
      </c>
      <c r="DB147" s="57">
        <v>0</v>
      </c>
      <c r="DC147" s="57">
        <v>0</v>
      </c>
      <c r="DD147" s="57">
        <v>0</v>
      </c>
      <c r="DE147" s="57">
        <v>0</v>
      </c>
      <c r="DF147" s="57">
        <v>0</v>
      </c>
      <c r="DG147" s="137">
        <v>0</v>
      </c>
      <c r="DH147" s="137">
        <v>0</v>
      </c>
      <c r="DI147" s="137">
        <v>0</v>
      </c>
      <c r="DJ147" s="137">
        <v>0</v>
      </c>
      <c r="DK147" s="137">
        <v>0</v>
      </c>
      <c r="DL147" s="137">
        <v>0</v>
      </c>
      <c r="DM147" s="137">
        <v>0</v>
      </c>
      <c r="DN147" s="137">
        <v>0</v>
      </c>
      <c r="DO147" s="137">
        <v>0</v>
      </c>
      <c r="DP147" s="137">
        <v>0</v>
      </c>
      <c r="DQ147" s="137">
        <v>0</v>
      </c>
      <c r="DR147" s="137">
        <v>0</v>
      </c>
      <c r="DS147" s="137">
        <v>0</v>
      </c>
      <c r="DT147" s="137">
        <v>0</v>
      </c>
      <c r="DU147" s="137">
        <v>0</v>
      </c>
      <c r="DV147" s="137">
        <v>0</v>
      </c>
      <c r="DW147" s="137">
        <v>0</v>
      </c>
      <c r="DX147" s="137">
        <v>0</v>
      </c>
      <c r="DY147" s="137">
        <v>0</v>
      </c>
      <c r="DZ147" s="137">
        <v>0</v>
      </c>
      <c r="EA147" s="137">
        <v>0</v>
      </c>
    </row>
    <row r="148" spans="1:131" x14ac:dyDescent="0.35">
      <c r="A148" s="90" t="e">
        <f>VLOOKUP(E148,'Validation List'!F149:G544,2,FALSE)</f>
        <v>#N/A</v>
      </c>
      <c r="B148" s="90" t="e">
        <f>INDEX('NEW HIRE ROSTER'!$G:$G,MATCH(RAW!F148,'NEW HIRE ROSTER'!$A:$A,0))</f>
        <v>#N/A</v>
      </c>
      <c r="C148" s="90" t="e">
        <f>INDEX('NEW HIRE ROSTER'!$F:$F,MATCH(RAW!F148,'NEW HIRE ROSTER'!$A:$A,0))</f>
        <v>#N/A</v>
      </c>
      <c r="D148" s="90" t="e">
        <f>INDEX('Validation List'!$H:$H,MATCH(RAW!E148,'Validation List'!$F:$F,0))</f>
        <v>#N/A</v>
      </c>
      <c r="G148" s="90" t="e">
        <f>VLOOKUP(F148,ML!C132:D730,2,FALSE)</f>
        <v>#N/A</v>
      </c>
      <c r="H148" s="90" t="e">
        <f>VLOOKUP(F148,ML!C132:E730,3,FALSE)</f>
        <v>#N/A</v>
      </c>
      <c r="M148" s="56"/>
      <c r="N148" s="57">
        <v>0</v>
      </c>
      <c r="O148" s="57">
        <v>0</v>
      </c>
      <c r="P148" s="57">
        <v>0</v>
      </c>
      <c r="Q148" s="57">
        <v>0</v>
      </c>
      <c r="R148" s="57">
        <v>0</v>
      </c>
      <c r="S148" s="57">
        <v>0</v>
      </c>
      <c r="T148" s="57">
        <v>0</v>
      </c>
      <c r="U148" s="57">
        <v>0</v>
      </c>
      <c r="V148" s="57">
        <v>0</v>
      </c>
      <c r="W148" s="57">
        <v>0</v>
      </c>
      <c r="X148" s="57">
        <v>0</v>
      </c>
      <c r="Y148" s="57">
        <v>0</v>
      </c>
      <c r="Z148" s="57">
        <v>0</v>
      </c>
      <c r="AA148" s="57">
        <v>0</v>
      </c>
      <c r="AB148" s="57">
        <v>0</v>
      </c>
      <c r="AC148" s="57">
        <v>0</v>
      </c>
      <c r="AD148" s="57">
        <v>0</v>
      </c>
      <c r="AE148" s="57">
        <v>0</v>
      </c>
      <c r="AF148" s="57">
        <v>0</v>
      </c>
      <c r="AG148" s="57">
        <v>0</v>
      </c>
      <c r="AH148" s="57">
        <v>0</v>
      </c>
      <c r="AI148" s="57">
        <v>0</v>
      </c>
      <c r="AJ148" s="57">
        <v>0</v>
      </c>
      <c r="AK148" s="57">
        <v>0</v>
      </c>
      <c r="AL148" s="57">
        <v>0</v>
      </c>
      <c r="AM148" s="57">
        <v>0</v>
      </c>
      <c r="AN148" s="57">
        <v>0</v>
      </c>
      <c r="AO148" s="57">
        <v>0</v>
      </c>
      <c r="AP148" s="57">
        <v>0</v>
      </c>
      <c r="AQ148" s="57">
        <v>0</v>
      </c>
      <c r="AR148" s="57">
        <v>0</v>
      </c>
      <c r="AS148" s="57">
        <v>0</v>
      </c>
      <c r="AT148" s="57">
        <v>0</v>
      </c>
      <c r="AU148" s="57">
        <v>0</v>
      </c>
      <c r="AV148" s="57">
        <v>0</v>
      </c>
      <c r="AW148" s="57">
        <v>0</v>
      </c>
      <c r="AX148" s="57">
        <v>0</v>
      </c>
      <c r="AY148" s="57">
        <v>0</v>
      </c>
      <c r="AZ148" s="57">
        <v>0</v>
      </c>
      <c r="BA148" s="57">
        <v>0</v>
      </c>
      <c r="BB148" s="57">
        <v>0</v>
      </c>
      <c r="BC148" s="57">
        <v>0</v>
      </c>
      <c r="BD148" s="57">
        <v>0</v>
      </c>
      <c r="BE148" s="57">
        <v>0</v>
      </c>
      <c r="BF148" s="57">
        <v>0</v>
      </c>
      <c r="BG148" s="57">
        <v>0</v>
      </c>
      <c r="BH148" s="57">
        <v>0</v>
      </c>
      <c r="BI148" s="57">
        <v>0</v>
      </c>
      <c r="BJ148" s="57">
        <v>0</v>
      </c>
      <c r="BK148" s="57">
        <v>0</v>
      </c>
      <c r="BL148" s="57">
        <v>0</v>
      </c>
      <c r="BM148" s="57">
        <v>0</v>
      </c>
      <c r="BN148" s="57">
        <v>0</v>
      </c>
      <c r="BO148" s="57">
        <v>0</v>
      </c>
      <c r="BP148" s="57">
        <v>0</v>
      </c>
      <c r="BQ148" s="57">
        <v>0</v>
      </c>
      <c r="BR148" s="57">
        <v>0</v>
      </c>
      <c r="BS148" s="57">
        <v>0</v>
      </c>
      <c r="BT148" s="57">
        <v>0</v>
      </c>
      <c r="BU148" s="57">
        <v>0</v>
      </c>
      <c r="BV148" s="57">
        <v>0</v>
      </c>
      <c r="BW148" s="57">
        <v>0</v>
      </c>
      <c r="BX148" s="57">
        <v>0</v>
      </c>
      <c r="BY148" s="57">
        <v>0</v>
      </c>
      <c r="BZ148" s="57">
        <v>0</v>
      </c>
      <c r="CA148" s="57">
        <v>0</v>
      </c>
      <c r="CB148" s="57">
        <v>0</v>
      </c>
      <c r="CC148" s="57">
        <v>0</v>
      </c>
      <c r="CD148" s="57">
        <v>0</v>
      </c>
      <c r="CE148" s="57">
        <v>0</v>
      </c>
      <c r="CF148" s="57">
        <v>0</v>
      </c>
      <c r="CG148" s="57">
        <v>0</v>
      </c>
      <c r="CH148" s="57">
        <v>0</v>
      </c>
      <c r="CI148" s="57">
        <v>0</v>
      </c>
      <c r="CJ148" s="57">
        <v>0</v>
      </c>
      <c r="CK148" s="57">
        <v>0</v>
      </c>
      <c r="CL148" s="57">
        <v>0</v>
      </c>
      <c r="CM148" s="57">
        <v>0</v>
      </c>
      <c r="CN148" s="57">
        <v>0</v>
      </c>
      <c r="CO148" s="57">
        <v>0</v>
      </c>
      <c r="CP148" s="57">
        <v>0</v>
      </c>
      <c r="CQ148" s="57">
        <v>0</v>
      </c>
      <c r="CR148" s="57">
        <v>0</v>
      </c>
      <c r="CS148" s="57">
        <v>0</v>
      </c>
      <c r="CT148" s="57">
        <v>0</v>
      </c>
      <c r="CU148" s="57">
        <v>0</v>
      </c>
      <c r="CV148" s="57">
        <v>0</v>
      </c>
      <c r="CW148" s="57">
        <v>0</v>
      </c>
      <c r="CX148" s="57">
        <v>0</v>
      </c>
      <c r="CY148" s="57">
        <v>0</v>
      </c>
      <c r="CZ148" s="57">
        <v>0</v>
      </c>
      <c r="DA148" s="57">
        <v>0</v>
      </c>
      <c r="DB148" s="57">
        <v>0</v>
      </c>
      <c r="DC148" s="57">
        <v>0</v>
      </c>
      <c r="DD148" s="57">
        <v>0</v>
      </c>
      <c r="DE148" s="57">
        <v>0</v>
      </c>
      <c r="DF148" s="57">
        <v>0</v>
      </c>
      <c r="DG148" s="137">
        <v>0</v>
      </c>
      <c r="DH148" s="137">
        <v>0</v>
      </c>
      <c r="DI148" s="137">
        <v>0</v>
      </c>
      <c r="DJ148" s="137">
        <v>0</v>
      </c>
      <c r="DK148" s="137">
        <v>0</v>
      </c>
      <c r="DL148" s="137">
        <v>0</v>
      </c>
      <c r="DM148" s="137">
        <v>0</v>
      </c>
      <c r="DN148" s="137">
        <v>0</v>
      </c>
      <c r="DO148" s="137">
        <v>0</v>
      </c>
      <c r="DP148" s="137">
        <v>0</v>
      </c>
      <c r="DQ148" s="137">
        <v>0</v>
      </c>
      <c r="DR148" s="137">
        <v>0</v>
      </c>
      <c r="DS148" s="137">
        <v>0</v>
      </c>
      <c r="DT148" s="137">
        <v>0</v>
      </c>
      <c r="DU148" s="137">
        <v>0</v>
      </c>
      <c r="DV148" s="137">
        <v>0</v>
      </c>
      <c r="DW148" s="137">
        <v>0</v>
      </c>
      <c r="DX148" s="137">
        <v>0</v>
      </c>
      <c r="DY148" s="137">
        <v>0</v>
      </c>
      <c r="DZ148" s="137">
        <v>0</v>
      </c>
      <c r="EA148" s="137">
        <v>0</v>
      </c>
    </row>
    <row r="149" spans="1:131" x14ac:dyDescent="0.35">
      <c r="A149" s="90" t="e">
        <f>VLOOKUP(E149,'Validation List'!F150:G545,2,FALSE)</f>
        <v>#N/A</v>
      </c>
      <c r="B149" s="90" t="e">
        <f>INDEX('NEW HIRE ROSTER'!$G:$G,MATCH(RAW!F149,'NEW HIRE ROSTER'!$A:$A,0))</f>
        <v>#N/A</v>
      </c>
      <c r="C149" s="90" t="e">
        <f>INDEX('NEW HIRE ROSTER'!$F:$F,MATCH(RAW!F149,'NEW HIRE ROSTER'!$A:$A,0))</f>
        <v>#N/A</v>
      </c>
      <c r="D149" s="90" t="e">
        <f>INDEX('Validation List'!$H:$H,MATCH(RAW!E149,'Validation List'!$F:$F,0))</f>
        <v>#N/A</v>
      </c>
      <c r="G149" s="90" t="e">
        <f>VLOOKUP(F149,ML!C133:D731,2,FALSE)</f>
        <v>#N/A</v>
      </c>
      <c r="H149" s="90" t="e">
        <f>VLOOKUP(F149,ML!C133:E731,3,FALSE)</f>
        <v>#N/A</v>
      </c>
      <c r="M149" s="56"/>
      <c r="N149" s="57">
        <v>0</v>
      </c>
      <c r="O149" s="57">
        <v>0</v>
      </c>
      <c r="P149" s="57">
        <v>0</v>
      </c>
      <c r="Q149" s="57">
        <v>0</v>
      </c>
      <c r="R149" s="57">
        <v>0</v>
      </c>
      <c r="S149" s="57">
        <v>0</v>
      </c>
      <c r="T149" s="57">
        <v>0</v>
      </c>
      <c r="U149" s="57">
        <v>0</v>
      </c>
      <c r="V149" s="57">
        <v>0</v>
      </c>
      <c r="W149" s="57">
        <v>0</v>
      </c>
      <c r="X149" s="57">
        <v>0</v>
      </c>
      <c r="Y149" s="57">
        <v>0</v>
      </c>
      <c r="Z149" s="57">
        <v>0</v>
      </c>
      <c r="AA149" s="57">
        <v>0</v>
      </c>
      <c r="AB149" s="57">
        <v>0</v>
      </c>
      <c r="AC149" s="57">
        <v>0</v>
      </c>
      <c r="AD149" s="57">
        <v>0</v>
      </c>
      <c r="AE149" s="57">
        <v>0</v>
      </c>
      <c r="AF149" s="57">
        <v>0</v>
      </c>
      <c r="AG149" s="57">
        <v>0</v>
      </c>
      <c r="AH149" s="57">
        <v>0</v>
      </c>
      <c r="AI149" s="57">
        <v>0</v>
      </c>
      <c r="AJ149" s="57">
        <v>0</v>
      </c>
      <c r="AK149" s="57">
        <v>0</v>
      </c>
      <c r="AL149" s="57">
        <v>0</v>
      </c>
      <c r="AM149" s="57">
        <v>0</v>
      </c>
      <c r="AN149" s="57">
        <v>0</v>
      </c>
      <c r="AO149" s="57">
        <v>0</v>
      </c>
      <c r="AP149" s="57">
        <v>0</v>
      </c>
      <c r="AQ149" s="57">
        <v>0</v>
      </c>
      <c r="AR149" s="57">
        <v>0</v>
      </c>
      <c r="AS149" s="57">
        <v>0</v>
      </c>
      <c r="AT149" s="57">
        <v>0</v>
      </c>
      <c r="AU149" s="57">
        <v>0</v>
      </c>
      <c r="AV149" s="57">
        <v>0</v>
      </c>
      <c r="AW149" s="57">
        <v>0</v>
      </c>
      <c r="AX149" s="57">
        <v>0</v>
      </c>
      <c r="AY149" s="57">
        <v>0</v>
      </c>
      <c r="AZ149" s="57">
        <v>0</v>
      </c>
      <c r="BA149" s="57">
        <v>0</v>
      </c>
      <c r="BB149" s="57">
        <v>0</v>
      </c>
      <c r="BC149" s="57">
        <v>0</v>
      </c>
      <c r="BD149" s="57">
        <v>0</v>
      </c>
      <c r="BE149" s="57">
        <v>0</v>
      </c>
      <c r="BF149" s="57">
        <v>0</v>
      </c>
      <c r="BG149" s="57">
        <v>0</v>
      </c>
      <c r="BH149" s="57">
        <v>0</v>
      </c>
      <c r="BI149" s="57">
        <v>0</v>
      </c>
      <c r="BJ149" s="57">
        <v>0</v>
      </c>
      <c r="BK149" s="57">
        <v>0</v>
      </c>
      <c r="BL149" s="57">
        <v>0</v>
      </c>
      <c r="BM149" s="57">
        <v>0</v>
      </c>
      <c r="BN149" s="57">
        <v>0</v>
      </c>
      <c r="BO149" s="57">
        <v>0</v>
      </c>
      <c r="BP149" s="57">
        <v>0</v>
      </c>
      <c r="BQ149" s="57">
        <v>0</v>
      </c>
      <c r="BR149" s="57">
        <v>0</v>
      </c>
      <c r="BS149" s="57">
        <v>0</v>
      </c>
      <c r="BT149" s="57">
        <v>0</v>
      </c>
      <c r="BU149" s="57">
        <v>0</v>
      </c>
      <c r="BV149" s="57">
        <v>0</v>
      </c>
      <c r="BW149" s="57">
        <v>0</v>
      </c>
      <c r="BX149" s="57">
        <v>0</v>
      </c>
      <c r="BY149" s="57">
        <v>0</v>
      </c>
      <c r="BZ149" s="57">
        <v>0</v>
      </c>
      <c r="CA149" s="57">
        <v>0</v>
      </c>
      <c r="CB149" s="57">
        <v>0</v>
      </c>
      <c r="CC149" s="57">
        <v>0</v>
      </c>
      <c r="CD149" s="57">
        <v>0</v>
      </c>
      <c r="CE149" s="57">
        <v>0</v>
      </c>
      <c r="CF149" s="57">
        <v>0</v>
      </c>
      <c r="CG149" s="57">
        <v>0</v>
      </c>
      <c r="CH149" s="57">
        <v>0</v>
      </c>
      <c r="CI149" s="57">
        <v>0</v>
      </c>
      <c r="CJ149" s="57">
        <v>0</v>
      </c>
      <c r="CK149" s="57">
        <v>0</v>
      </c>
      <c r="CL149" s="57">
        <v>0</v>
      </c>
      <c r="CM149" s="57">
        <v>0</v>
      </c>
      <c r="CN149" s="57">
        <v>0</v>
      </c>
      <c r="CO149" s="57">
        <v>0</v>
      </c>
      <c r="CP149" s="57">
        <v>0</v>
      </c>
      <c r="CQ149" s="57">
        <v>0</v>
      </c>
      <c r="CR149" s="57">
        <v>0</v>
      </c>
      <c r="CS149" s="57">
        <v>0</v>
      </c>
      <c r="CT149" s="57">
        <v>0</v>
      </c>
      <c r="CU149" s="57">
        <v>0</v>
      </c>
      <c r="CV149" s="57">
        <v>0</v>
      </c>
      <c r="CW149" s="57">
        <v>0</v>
      </c>
      <c r="CX149" s="57">
        <v>0</v>
      </c>
      <c r="CY149" s="57">
        <v>0</v>
      </c>
      <c r="CZ149" s="57">
        <v>0</v>
      </c>
      <c r="DA149" s="57">
        <v>0</v>
      </c>
      <c r="DB149" s="57">
        <v>0</v>
      </c>
      <c r="DC149" s="57">
        <v>0</v>
      </c>
      <c r="DD149" s="57">
        <v>0</v>
      </c>
      <c r="DE149" s="57">
        <v>0</v>
      </c>
      <c r="DF149" s="57">
        <v>0</v>
      </c>
      <c r="DG149" s="137">
        <v>0</v>
      </c>
      <c r="DH149" s="137">
        <v>0</v>
      </c>
      <c r="DI149" s="137">
        <v>0</v>
      </c>
      <c r="DJ149" s="137">
        <v>0</v>
      </c>
      <c r="DK149" s="137">
        <v>0</v>
      </c>
      <c r="DL149" s="137">
        <v>0</v>
      </c>
      <c r="DM149" s="137">
        <v>0</v>
      </c>
      <c r="DN149" s="137">
        <v>0</v>
      </c>
      <c r="DO149" s="137">
        <v>0</v>
      </c>
      <c r="DP149" s="137">
        <v>0</v>
      </c>
      <c r="DQ149" s="137">
        <v>0</v>
      </c>
      <c r="DR149" s="137">
        <v>0</v>
      </c>
      <c r="DS149" s="137">
        <v>0</v>
      </c>
      <c r="DT149" s="137">
        <v>0</v>
      </c>
      <c r="DU149" s="137">
        <v>0</v>
      </c>
      <c r="DV149" s="137">
        <v>0</v>
      </c>
      <c r="DW149" s="137">
        <v>0</v>
      </c>
      <c r="DX149" s="137">
        <v>0</v>
      </c>
      <c r="DY149" s="137">
        <v>0</v>
      </c>
      <c r="DZ149" s="137">
        <v>0</v>
      </c>
      <c r="EA149" s="137">
        <v>0</v>
      </c>
    </row>
    <row r="150" spans="1:131" x14ac:dyDescent="0.35">
      <c r="A150" s="90" t="e">
        <f>VLOOKUP(E150,'Validation List'!F151:G546,2,FALSE)</f>
        <v>#N/A</v>
      </c>
      <c r="B150" s="90" t="e">
        <f>INDEX('NEW HIRE ROSTER'!$G:$G,MATCH(RAW!F150,'NEW HIRE ROSTER'!$A:$A,0))</f>
        <v>#N/A</v>
      </c>
      <c r="C150" s="90" t="e">
        <f>INDEX('NEW HIRE ROSTER'!$F:$F,MATCH(RAW!F150,'NEW HIRE ROSTER'!$A:$A,0))</f>
        <v>#N/A</v>
      </c>
      <c r="D150" s="90" t="e">
        <f>INDEX('Validation List'!$H:$H,MATCH(RAW!E150,'Validation List'!$F:$F,0))</f>
        <v>#N/A</v>
      </c>
      <c r="G150" s="90" t="e">
        <f>VLOOKUP(F150,ML!C134:D732,2,FALSE)</f>
        <v>#N/A</v>
      </c>
      <c r="H150" s="90" t="e">
        <f>VLOOKUP(F150,ML!C134:E732,3,FALSE)</f>
        <v>#N/A</v>
      </c>
      <c r="M150" s="56"/>
      <c r="N150" s="57">
        <v>0</v>
      </c>
      <c r="O150" s="57">
        <v>0</v>
      </c>
      <c r="P150" s="57">
        <v>0</v>
      </c>
      <c r="Q150" s="57">
        <v>0</v>
      </c>
      <c r="R150" s="57">
        <v>0</v>
      </c>
      <c r="S150" s="57">
        <v>0</v>
      </c>
      <c r="T150" s="57">
        <v>0</v>
      </c>
      <c r="U150" s="57">
        <v>0</v>
      </c>
      <c r="V150" s="57">
        <v>0</v>
      </c>
      <c r="W150" s="57">
        <v>0</v>
      </c>
      <c r="X150" s="57">
        <v>0</v>
      </c>
      <c r="Y150" s="57">
        <v>0</v>
      </c>
      <c r="Z150" s="57">
        <v>0</v>
      </c>
      <c r="AA150" s="57">
        <v>0</v>
      </c>
      <c r="AB150" s="57">
        <v>0</v>
      </c>
      <c r="AC150" s="57">
        <v>0</v>
      </c>
      <c r="AD150" s="57">
        <v>0</v>
      </c>
      <c r="AE150" s="57">
        <v>0</v>
      </c>
      <c r="AF150" s="57">
        <v>0</v>
      </c>
      <c r="AG150" s="57">
        <v>0</v>
      </c>
      <c r="AH150" s="57">
        <v>0</v>
      </c>
      <c r="AI150" s="57">
        <v>0</v>
      </c>
      <c r="AJ150" s="57">
        <v>0</v>
      </c>
      <c r="AK150" s="57">
        <v>0</v>
      </c>
      <c r="AL150" s="57">
        <v>0</v>
      </c>
      <c r="AM150" s="57">
        <v>0</v>
      </c>
      <c r="AN150" s="57">
        <v>0</v>
      </c>
      <c r="AO150" s="57">
        <v>0</v>
      </c>
      <c r="AP150" s="57">
        <v>0</v>
      </c>
      <c r="AQ150" s="57">
        <v>0</v>
      </c>
      <c r="AR150" s="57">
        <v>0</v>
      </c>
      <c r="AS150" s="57">
        <v>0</v>
      </c>
      <c r="AT150" s="57">
        <v>0</v>
      </c>
      <c r="AU150" s="57">
        <v>0</v>
      </c>
      <c r="AV150" s="57">
        <v>0</v>
      </c>
      <c r="AW150" s="57">
        <v>0</v>
      </c>
      <c r="AX150" s="57">
        <v>0</v>
      </c>
      <c r="AY150" s="57">
        <v>0</v>
      </c>
      <c r="AZ150" s="57">
        <v>0</v>
      </c>
      <c r="BA150" s="57">
        <v>0</v>
      </c>
      <c r="BB150" s="57">
        <v>0</v>
      </c>
      <c r="BC150" s="57">
        <v>0</v>
      </c>
      <c r="BD150" s="57">
        <v>0</v>
      </c>
      <c r="BE150" s="57">
        <v>0</v>
      </c>
      <c r="BF150" s="57">
        <v>0</v>
      </c>
      <c r="BG150" s="57">
        <v>0</v>
      </c>
      <c r="BH150" s="57">
        <v>0</v>
      </c>
      <c r="BI150" s="57">
        <v>0</v>
      </c>
      <c r="BJ150" s="57">
        <v>0</v>
      </c>
      <c r="BK150" s="57">
        <v>0</v>
      </c>
      <c r="BL150" s="57">
        <v>0</v>
      </c>
      <c r="BM150" s="57">
        <v>0</v>
      </c>
      <c r="BN150" s="57">
        <v>0</v>
      </c>
      <c r="BO150" s="57">
        <v>0</v>
      </c>
      <c r="BP150" s="57">
        <v>0</v>
      </c>
      <c r="BQ150" s="57">
        <v>0</v>
      </c>
      <c r="BR150" s="57">
        <v>0</v>
      </c>
      <c r="BS150" s="57">
        <v>0</v>
      </c>
      <c r="BT150" s="57">
        <v>0</v>
      </c>
      <c r="BU150" s="57">
        <v>0</v>
      </c>
      <c r="BV150" s="57">
        <v>0</v>
      </c>
      <c r="BW150" s="57">
        <v>0</v>
      </c>
      <c r="BX150" s="57">
        <v>0</v>
      </c>
      <c r="BY150" s="57">
        <v>0</v>
      </c>
      <c r="BZ150" s="57">
        <v>0</v>
      </c>
      <c r="CA150" s="57">
        <v>0</v>
      </c>
      <c r="CB150" s="57">
        <v>0</v>
      </c>
      <c r="CC150" s="57">
        <v>0</v>
      </c>
      <c r="CD150" s="57">
        <v>0</v>
      </c>
      <c r="CE150" s="57">
        <v>0</v>
      </c>
      <c r="CF150" s="57">
        <v>0</v>
      </c>
      <c r="CG150" s="57">
        <v>0</v>
      </c>
      <c r="CH150" s="57">
        <v>0</v>
      </c>
      <c r="CI150" s="57">
        <v>0</v>
      </c>
      <c r="CJ150" s="57">
        <v>0</v>
      </c>
      <c r="CK150" s="57">
        <v>0</v>
      </c>
      <c r="CL150" s="57">
        <v>0</v>
      </c>
      <c r="CM150" s="57">
        <v>0</v>
      </c>
      <c r="CN150" s="57">
        <v>0</v>
      </c>
      <c r="CO150" s="57">
        <v>0</v>
      </c>
      <c r="CP150" s="57">
        <v>0</v>
      </c>
      <c r="CQ150" s="57">
        <v>0</v>
      </c>
      <c r="CR150" s="57">
        <v>0</v>
      </c>
      <c r="CS150" s="57">
        <v>0</v>
      </c>
      <c r="CT150" s="57">
        <v>0</v>
      </c>
      <c r="CU150" s="57">
        <v>0</v>
      </c>
      <c r="CV150" s="57">
        <v>0</v>
      </c>
      <c r="CW150" s="57">
        <v>0</v>
      </c>
      <c r="CX150" s="57">
        <v>0</v>
      </c>
      <c r="CY150" s="57">
        <v>0</v>
      </c>
      <c r="CZ150" s="57">
        <v>0</v>
      </c>
      <c r="DA150" s="57">
        <v>0</v>
      </c>
      <c r="DB150" s="57">
        <v>0</v>
      </c>
      <c r="DC150" s="57">
        <v>0</v>
      </c>
      <c r="DD150" s="57">
        <v>0</v>
      </c>
      <c r="DE150" s="57">
        <v>0</v>
      </c>
      <c r="DF150" s="57">
        <v>0</v>
      </c>
      <c r="DG150" s="137">
        <v>0</v>
      </c>
      <c r="DH150" s="137">
        <v>0</v>
      </c>
      <c r="DI150" s="137">
        <v>0</v>
      </c>
      <c r="DJ150" s="137">
        <v>0</v>
      </c>
      <c r="DK150" s="137">
        <v>0</v>
      </c>
      <c r="DL150" s="137">
        <v>0</v>
      </c>
      <c r="DM150" s="137">
        <v>0</v>
      </c>
      <c r="DN150" s="137">
        <v>0</v>
      </c>
      <c r="DO150" s="137">
        <v>0</v>
      </c>
      <c r="DP150" s="137">
        <v>0</v>
      </c>
      <c r="DQ150" s="137">
        <v>0</v>
      </c>
      <c r="DR150" s="137">
        <v>0</v>
      </c>
      <c r="DS150" s="137">
        <v>0</v>
      </c>
      <c r="DT150" s="137">
        <v>0</v>
      </c>
      <c r="DU150" s="137">
        <v>0</v>
      </c>
      <c r="DV150" s="137">
        <v>0</v>
      </c>
      <c r="DW150" s="137">
        <v>0</v>
      </c>
      <c r="DX150" s="137">
        <v>0</v>
      </c>
      <c r="DY150" s="137">
        <v>0</v>
      </c>
      <c r="DZ150" s="137">
        <v>0</v>
      </c>
      <c r="EA150" s="137">
        <v>0</v>
      </c>
    </row>
    <row r="151" spans="1:131" x14ac:dyDescent="0.35">
      <c r="A151" s="90" t="e">
        <f>VLOOKUP(E151,'Validation List'!F152:G547,2,FALSE)</f>
        <v>#N/A</v>
      </c>
      <c r="B151" s="90" t="e">
        <f>INDEX('NEW HIRE ROSTER'!$G:$G,MATCH(RAW!F151,'NEW HIRE ROSTER'!$A:$A,0))</f>
        <v>#N/A</v>
      </c>
      <c r="C151" s="90" t="e">
        <f>INDEX('NEW HIRE ROSTER'!$F:$F,MATCH(RAW!F151,'NEW HIRE ROSTER'!$A:$A,0))</f>
        <v>#N/A</v>
      </c>
      <c r="D151" s="90" t="e">
        <f>INDEX('Validation List'!$H:$H,MATCH(RAW!E151,'Validation List'!$F:$F,0))</f>
        <v>#N/A</v>
      </c>
      <c r="G151" s="90" t="e">
        <f>VLOOKUP(F151,ML!C135:D733,2,FALSE)</f>
        <v>#N/A</v>
      </c>
      <c r="H151" s="90" t="e">
        <f>VLOOKUP(F151,ML!C135:E733,3,FALSE)</f>
        <v>#N/A</v>
      </c>
      <c r="M151" s="56"/>
      <c r="N151" s="57">
        <v>0</v>
      </c>
      <c r="O151" s="57">
        <v>0</v>
      </c>
      <c r="P151" s="57">
        <v>0</v>
      </c>
      <c r="Q151" s="57">
        <v>0</v>
      </c>
      <c r="R151" s="57">
        <v>0</v>
      </c>
      <c r="S151" s="57">
        <v>0</v>
      </c>
      <c r="T151" s="57">
        <v>0</v>
      </c>
      <c r="U151" s="57">
        <v>0</v>
      </c>
      <c r="V151" s="57">
        <v>0</v>
      </c>
      <c r="W151" s="57">
        <v>0</v>
      </c>
      <c r="X151" s="57">
        <v>0</v>
      </c>
      <c r="Y151" s="57">
        <v>0</v>
      </c>
      <c r="Z151" s="57">
        <v>0</v>
      </c>
      <c r="AA151" s="57">
        <v>0</v>
      </c>
      <c r="AB151" s="57">
        <v>0</v>
      </c>
      <c r="AC151" s="57">
        <v>0</v>
      </c>
      <c r="AD151" s="57">
        <v>0</v>
      </c>
      <c r="AE151" s="57">
        <v>0</v>
      </c>
      <c r="AF151" s="57">
        <v>0</v>
      </c>
      <c r="AG151" s="57">
        <v>0</v>
      </c>
      <c r="AH151" s="57">
        <v>0</v>
      </c>
      <c r="AI151" s="57">
        <v>0</v>
      </c>
      <c r="AJ151" s="57">
        <v>0</v>
      </c>
      <c r="AK151" s="57">
        <v>0</v>
      </c>
      <c r="AL151" s="57">
        <v>0</v>
      </c>
      <c r="AM151" s="57">
        <v>0</v>
      </c>
      <c r="AN151" s="57">
        <v>0</v>
      </c>
      <c r="AO151" s="57">
        <v>0</v>
      </c>
      <c r="AP151" s="57">
        <v>0</v>
      </c>
      <c r="AQ151" s="57">
        <v>0</v>
      </c>
      <c r="AR151" s="57">
        <v>0</v>
      </c>
      <c r="AS151" s="57">
        <v>0</v>
      </c>
      <c r="AT151" s="57">
        <v>0</v>
      </c>
      <c r="AU151" s="57">
        <v>0</v>
      </c>
      <c r="AV151" s="57">
        <v>0</v>
      </c>
      <c r="AW151" s="57">
        <v>0</v>
      </c>
      <c r="AX151" s="57">
        <v>0</v>
      </c>
      <c r="AY151" s="57">
        <v>0</v>
      </c>
      <c r="AZ151" s="57">
        <v>0</v>
      </c>
      <c r="BA151" s="57">
        <v>0</v>
      </c>
      <c r="BB151" s="57">
        <v>0</v>
      </c>
      <c r="BC151" s="57">
        <v>0</v>
      </c>
      <c r="BD151" s="57">
        <v>0</v>
      </c>
      <c r="BE151" s="57">
        <v>0</v>
      </c>
      <c r="BF151" s="57">
        <v>0</v>
      </c>
      <c r="BG151" s="57">
        <v>0</v>
      </c>
      <c r="BH151" s="57">
        <v>0</v>
      </c>
      <c r="BI151" s="57">
        <v>0</v>
      </c>
      <c r="BJ151" s="57">
        <v>0</v>
      </c>
      <c r="BK151" s="57">
        <v>0</v>
      </c>
      <c r="BL151" s="57">
        <v>0</v>
      </c>
      <c r="BM151" s="57">
        <v>0</v>
      </c>
      <c r="BN151" s="57">
        <v>0</v>
      </c>
      <c r="BO151" s="57">
        <v>0</v>
      </c>
      <c r="BP151" s="57">
        <v>0</v>
      </c>
      <c r="BQ151" s="57">
        <v>0</v>
      </c>
      <c r="BR151" s="57">
        <v>0</v>
      </c>
      <c r="BS151" s="57">
        <v>0</v>
      </c>
      <c r="BT151" s="57">
        <v>0</v>
      </c>
      <c r="BU151" s="57">
        <v>0</v>
      </c>
      <c r="BV151" s="57">
        <v>0</v>
      </c>
      <c r="BW151" s="57">
        <v>0</v>
      </c>
      <c r="BX151" s="57">
        <v>0</v>
      </c>
      <c r="BY151" s="57">
        <v>0</v>
      </c>
      <c r="BZ151" s="57">
        <v>0</v>
      </c>
      <c r="CA151" s="57">
        <v>0</v>
      </c>
      <c r="CB151" s="57">
        <v>0</v>
      </c>
      <c r="CC151" s="57">
        <v>0</v>
      </c>
      <c r="CD151" s="57">
        <v>0</v>
      </c>
      <c r="CE151" s="57">
        <v>0</v>
      </c>
      <c r="CF151" s="57">
        <v>0</v>
      </c>
      <c r="CG151" s="57">
        <v>0</v>
      </c>
      <c r="CH151" s="57">
        <v>0</v>
      </c>
      <c r="CI151" s="57">
        <v>0</v>
      </c>
      <c r="CJ151" s="57">
        <v>0</v>
      </c>
      <c r="CK151" s="57">
        <v>0</v>
      </c>
      <c r="CL151" s="57">
        <v>0</v>
      </c>
      <c r="CM151" s="57">
        <v>0</v>
      </c>
      <c r="CN151" s="57">
        <v>0</v>
      </c>
      <c r="CO151" s="57">
        <v>0</v>
      </c>
      <c r="CP151" s="57">
        <v>0</v>
      </c>
      <c r="CQ151" s="57">
        <v>0</v>
      </c>
      <c r="CR151" s="57">
        <v>0</v>
      </c>
      <c r="CS151" s="57">
        <v>0</v>
      </c>
      <c r="CT151" s="57">
        <v>0</v>
      </c>
      <c r="CU151" s="57">
        <v>0</v>
      </c>
      <c r="CV151" s="57">
        <v>0</v>
      </c>
      <c r="CW151" s="57">
        <v>0</v>
      </c>
      <c r="CX151" s="57">
        <v>0</v>
      </c>
      <c r="CY151" s="57">
        <v>0</v>
      </c>
      <c r="CZ151" s="57">
        <v>0</v>
      </c>
      <c r="DA151" s="57">
        <v>0</v>
      </c>
      <c r="DB151" s="57">
        <v>0</v>
      </c>
      <c r="DC151" s="57">
        <v>0</v>
      </c>
      <c r="DD151" s="57">
        <v>0</v>
      </c>
      <c r="DE151" s="57">
        <v>0</v>
      </c>
      <c r="DF151" s="57">
        <v>0</v>
      </c>
      <c r="DG151" s="137">
        <v>0</v>
      </c>
      <c r="DH151" s="137">
        <v>0</v>
      </c>
      <c r="DI151" s="137">
        <v>0</v>
      </c>
      <c r="DJ151" s="137">
        <v>0</v>
      </c>
      <c r="DK151" s="137">
        <v>0</v>
      </c>
      <c r="DL151" s="137">
        <v>0</v>
      </c>
      <c r="DM151" s="137">
        <v>0</v>
      </c>
      <c r="DN151" s="137">
        <v>0</v>
      </c>
      <c r="DO151" s="137">
        <v>0</v>
      </c>
      <c r="DP151" s="137">
        <v>0</v>
      </c>
      <c r="DQ151" s="137">
        <v>0</v>
      </c>
      <c r="DR151" s="137">
        <v>0</v>
      </c>
      <c r="DS151" s="137">
        <v>0</v>
      </c>
      <c r="DT151" s="137">
        <v>0</v>
      </c>
      <c r="DU151" s="137">
        <v>0</v>
      </c>
      <c r="DV151" s="137">
        <v>0</v>
      </c>
      <c r="DW151" s="137">
        <v>0</v>
      </c>
      <c r="DX151" s="137">
        <v>0</v>
      </c>
      <c r="DY151" s="137">
        <v>0</v>
      </c>
      <c r="DZ151" s="137">
        <v>0</v>
      </c>
      <c r="EA151" s="137">
        <v>0</v>
      </c>
    </row>
    <row r="152" spans="1:131" x14ac:dyDescent="0.35">
      <c r="A152" s="90" t="e">
        <f>VLOOKUP(E152,'Validation List'!F153:G548,2,FALSE)</f>
        <v>#N/A</v>
      </c>
      <c r="B152" s="90" t="e">
        <f>INDEX('NEW HIRE ROSTER'!$G:$G,MATCH(RAW!F152,'NEW HIRE ROSTER'!$A:$A,0))</f>
        <v>#N/A</v>
      </c>
      <c r="C152" s="90" t="e">
        <f>INDEX('NEW HIRE ROSTER'!$F:$F,MATCH(RAW!F152,'NEW HIRE ROSTER'!$A:$A,0))</f>
        <v>#N/A</v>
      </c>
      <c r="D152" s="90" t="e">
        <f>INDEX('Validation List'!$H:$H,MATCH(RAW!E152,'Validation List'!$F:$F,0))</f>
        <v>#N/A</v>
      </c>
      <c r="G152" s="90" t="e">
        <f>VLOOKUP(F152,ML!C136:D734,2,FALSE)</f>
        <v>#N/A</v>
      </c>
      <c r="H152" s="90" t="e">
        <f>VLOOKUP(F152,ML!C136:E734,3,FALSE)</f>
        <v>#N/A</v>
      </c>
      <c r="M152" s="56"/>
      <c r="N152" s="57">
        <v>0</v>
      </c>
      <c r="O152" s="57">
        <v>0</v>
      </c>
      <c r="P152" s="57">
        <v>0</v>
      </c>
      <c r="Q152" s="57">
        <v>0</v>
      </c>
      <c r="R152" s="57">
        <v>0</v>
      </c>
      <c r="S152" s="57">
        <v>0</v>
      </c>
      <c r="T152" s="57">
        <v>0</v>
      </c>
      <c r="U152" s="57">
        <v>0</v>
      </c>
      <c r="V152" s="57">
        <v>0</v>
      </c>
      <c r="W152" s="57">
        <v>0</v>
      </c>
      <c r="X152" s="57">
        <v>0</v>
      </c>
      <c r="Y152" s="57">
        <v>0</v>
      </c>
      <c r="Z152" s="57">
        <v>0</v>
      </c>
      <c r="AA152" s="57">
        <v>0</v>
      </c>
      <c r="AB152" s="57">
        <v>0</v>
      </c>
      <c r="AC152" s="57">
        <v>0</v>
      </c>
      <c r="AD152" s="57">
        <v>0</v>
      </c>
      <c r="AE152" s="57">
        <v>0</v>
      </c>
      <c r="AF152" s="57">
        <v>0</v>
      </c>
      <c r="AG152" s="57">
        <v>0</v>
      </c>
      <c r="AH152" s="57">
        <v>0</v>
      </c>
      <c r="AI152" s="57">
        <v>0</v>
      </c>
      <c r="AJ152" s="57">
        <v>0</v>
      </c>
      <c r="AK152" s="57">
        <v>0</v>
      </c>
      <c r="AL152" s="57">
        <v>0</v>
      </c>
      <c r="AM152" s="57">
        <v>0</v>
      </c>
      <c r="AN152" s="57">
        <v>0</v>
      </c>
      <c r="AO152" s="57">
        <v>0</v>
      </c>
      <c r="AP152" s="57">
        <v>0</v>
      </c>
      <c r="AQ152" s="57">
        <v>0</v>
      </c>
      <c r="AR152" s="57">
        <v>0</v>
      </c>
      <c r="AS152" s="57">
        <v>0</v>
      </c>
      <c r="AT152" s="57">
        <v>0</v>
      </c>
      <c r="AU152" s="57">
        <v>0</v>
      </c>
      <c r="AV152" s="57">
        <v>0</v>
      </c>
      <c r="AW152" s="57">
        <v>0</v>
      </c>
      <c r="AX152" s="57">
        <v>0</v>
      </c>
      <c r="AY152" s="57">
        <v>0</v>
      </c>
      <c r="AZ152" s="57">
        <v>0</v>
      </c>
      <c r="BA152" s="57">
        <v>0</v>
      </c>
      <c r="BB152" s="57">
        <v>0</v>
      </c>
      <c r="BC152" s="57">
        <v>0</v>
      </c>
      <c r="BD152" s="57">
        <v>0</v>
      </c>
      <c r="BE152" s="57">
        <v>0</v>
      </c>
      <c r="BF152" s="57">
        <v>0</v>
      </c>
      <c r="BG152" s="57">
        <v>0</v>
      </c>
      <c r="BH152" s="57">
        <v>0</v>
      </c>
      <c r="BI152" s="57">
        <v>0</v>
      </c>
      <c r="BJ152" s="57">
        <v>0</v>
      </c>
      <c r="BK152" s="57">
        <v>0</v>
      </c>
      <c r="BL152" s="57">
        <v>0</v>
      </c>
      <c r="BM152" s="57">
        <v>0</v>
      </c>
      <c r="BN152" s="57">
        <v>0</v>
      </c>
      <c r="BO152" s="57">
        <v>0</v>
      </c>
      <c r="BP152" s="57">
        <v>0</v>
      </c>
      <c r="BQ152" s="57">
        <v>0</v>
      </c>
      <c r="BR152" s="57">
        <v>0</v>
      </c>
      <c r="BS152" s="57">
        <v>0</v>
      </c>
      <c r="BT152" s="57">
        <v>0</v>
      </c>
      <c r="BU152" s="57">
        <v>0</v>
      </c>
      <c r="BV152" s="57">
        <v>0</v>
      </c>
      <c r="BW152" s="57">
        <v>0</v>
      </c>
      <c r="BX152" s="57">
        <v>0</v>
      </c>
      <c r="BY152" s="57">
        <v>0</v>
      </c>
      <c r="BZ152" s="57">
        <v>0</v>
      </c>
      <c r="CA152" s="57">
        <v>0</v>
      </c>
      <c r="CB152" s="57">
        <v>0</v>
      </c>
      <c r="CC152" s="57">
        <v>0</v>
      </c>
      <c r="CD152" s="57">
        <v>0</v>
      </c>
      <c r="CE152" s="57">
        <v>0</v>
      </c>
      <c r="CF152" s="57">
        <v>0</v>
      </c>
      <c r="CG152" s="57">
        <v>0</v>
      </c>
      <c r="CH152" s="57">
        <v>0</v>
      </c>
      <c r="CI152" s="57">
        <v>0</v>
      </c>
      <c r="CJ152" s="57">
        <v>0</v>
      </c>
      <c r="CK152" s="57">
        <v>0</v>
      </c>
      <c r="CL152" s="57">
        <v>0</v>
      </c>
      <c r="CM152" s="57">
        <v>0</v>
      </c>
      <c r="CN152" s="57">
        <v>0</v>
      </c>
      <c r="CO152" s="57">
        <v>0</v>
      </c>
      <c r="CP152" s="57">
        <v>0</v>
      </c>
      <c r="CQ152" s="57">
        <v>0</v>
      </c>
      <c r="CR152" s="57">
        <v>0</v>
      </c>
      <c r="CS152" s="57">
        <v>0</v>
      </c>
      <c r="CT152" s="57">
        <v>0</v>
      </c>
      <c r="CU152" s="57">
        <v>0</v>
      </c>
      <c r="CV152" s="57">
        <v>0</v>
      </c>
      <c r="CW152" s="57">
        <v>0</v>
      </c>
      <c r="CX152" s="57">
        <v>0</v>
      </c>
      <c r="CY152" s="57">
        <v>0</v>
      </c>
      <c r="CZ152" s="57">
        <v>0</v>
      </c>
      <c r="DA152" s="57">
        <v>0</v>
      </c>
      <c r="DB152" s="57">
        <v>0</v>
      </c>
      <c r="DC152" s="57">
        <v>0</v>
      </c>
      <c r="DD152" s="57">
        <v>0</v>
      </c>
      <c r="DE152" s="57">
        <v>0</v>
      </c>
      <c r="DF152" s="57">
        <v>0</v>
      </c>
      <c r="DG152" s="137">
        <v>0</v>
      </c>
      <c r="DH152" s="137">
        <v>0</v>
      </c>
      <c r="DI152" s="137">
        <v>0</v>
      </c>
      <c r="DJ152" s="137">
        <v>0</v>
      </c>
      <c r="DK152" s="137">
        <v>0</v>
      </c>
      <c r="DL152" s="137">
        <v>0</v>
      </c>
      <c r="DM152" s="137">
        <v>0</v>
      </c>
      <c r="DN152" s="137">
        <v>0</v>
      </c>
      <c r="DO152" s="137">
        <v>0</v>
      </c>
      <c r="DP152" s="137">
        <v>0</v>
      </c>
      <c r="DQ152" s="137">
        <v>0</v>
      </c>
      <c r="DR152" s="137">
        <v>0</v>
      </c>
      <c r="DS152" s="137">
        <v>0</v>
      </c>
      <c r="DT152" s="137">
        <v>0</v>
      </c>
      <c r="DU152" s="137">
        <v>0</v>
      </c>
      <c r="DV152" s="137">
        <v>0</v>
      </c>
      <c r="DW152" s="137">
        <v>0</v>
      </c>
      <c r="DX152" s="137">
        <v>0</v>
      </c>
      <c r="DY152" s="137">
        <v>0</v>
      </c>
      <c r="DZ152" s="137">
        <v>0</v>
      </c>
      <c r="EA152" s="137">
        <v>0</v>
      </c>
    </row>
    <row r="153" spans="1:131" x14ac:dyDescent="0.35">
      <c r="A153" s="90" t="e">
        <f>VLOOKUP(E153,'Validation List'!F154:G549,2,FALSE)</f>
        <v>#N/A</v>
      </c>
      <c r="B153" s="90" t="e">
        <f>INDEX('NEW HIRE ROSTER'!$G:$G,MATCH(RAW!F153,'NEW HIRE ROSTER'!$A:$A,0))</f>
        <v>#N/A</v>
      </c>
      <c r="C153" s="90" t="e">
        <f>INDEX('NEW HIRE ROSTER'!$F:$F,MATCH(RAW!F153,'NEW HIRE ROSTER'!$A:$A,0))</f>
        <v>#N/A</v>
      </c>
      <c r="D153" s="90" t="e">
        <f>INDEX('Validation List'!$H:$H,MATCH(RAW!E153,'Validation List'!$F:$F,0))</f>
        <v>#N/A</v>
      </c>
      <c r="G153" s="90" t="e">
        <f>VLOOKUP(F153,ML!C137:D735,2,FALSE)</f>
        <v>#N/A</v>
      </c>
      <c r="H153" s="90" t="e">
        <f>VLOOKUP(F153,ML!C137:E735,3,FALSE)</f>
        <v>#N/A</v>
      </c>
      <c r="M153" s="56"/>
      <c r="N153" s="57">
        <v>0</v>
      </c>
      <c r="O153" s="57">
        <v>0</v>
      </c>
      <c r="P153" s="57">
        <v>0</v>
      </c>
      <c r="Q153" s="57">
        <v>0</v>
      </c>
      <c r="R153" s="57">
        <v>0</v>
      </c>
      <c r="S153" s="57">
        <v>0</v>
      </c>
      <c r="T153" s="57">
        <v>0</v>
      </c>
      <c r="U153" s="57">
        <v>0</v>
      </c>
      <c r="V153" s="57">
        <v>0</v>
      </c>
      <c r="W153" s="57">
        <v>0</v>
      </c>
      <c r="X153" s="57">
        <v>0</v>
      </c>
      <c r="Y153" s="57">
        <v>0</v>
      </c>
      <c r="Z153" s="57">
        <v>0</v>
      </c>
      <c r="AA153" s="57">
        <v>0</v>
      </c>
      <c r="AB153" s="57">
        <v>0</v>
      </c>
      <c r="AC153" s="57">
        <v>0</v>
      </c>
      <c r="AD153" s="57">
        <v>0</v>
      </c>
      <c r="AE153" s="57">
        <v>0</v>
      </c>
      <c r="AF153" s="57">
        <v>0</v>
      </c>
      <c r="AG153" s="57">
        <v>0</v>
      </c>
      <c r="AH153" s="57">
        <v>0</v>
      </c>
      <c r="AI153" s="57">
        <v>0</v>
      </c>
      <c r="AJ153" s="57">
        <v>0</v>
      </c>
      <c r="AK153" s="57">
        <v>0</v>
      </c>
      <c r="AL153" s="57">
        <v>0</v>
      </c>
      <c r="AM153" s="57">
        <v>0</v>
      </c>
      <c r="AN153" s="57">
        <v>0</v>
      </c>
      <c r="AO153" s="57">
        <v>0</v>
      </c>
      <c r="AP153" s="57">
        <v>0</v>
      </c>
      <c r="AQ153" s="57">
        <v>0</v>
      </c>
      <c r="AR153" s="57">
        <v>0</v>
      </c>
      <c r="AS153" s="57">
        <v>0</v>
      </c>
      <c r="AT153" s="57">
        <v>0</v>
      </c>
      <c r="AU153" s="57">
        <v>0</v>
      </c>
      <c r="AV153" s="57">
        <v>0</v>
      </c>
      <c r="AW153" s="57">
        <v>0</v>
      </c>
      <c r="AX153" s="57">
        <v>0</v>
      </c>
      <c r="AY153" s="57">
        <v>0</v>
      </c>
      <c r="AZ153" s="57">
        <v>0</v>
      </c>
      <c r="BA153" s="57">
        <v>0</v>
      </c>
      <c r="BB153" s="57">
        <v>0</v>
      </c>
      <c r="BC153" s="57">
        <v>0</v>
      </c>
      <c r="BD153" s="57">
        <v>0</v>
      </c>
      <c r="BE153" s="57">
        <v>0</v>
      </c>
      <c r="BF153" s="57">
        <v>0</v>
      </c>
      <c r="BG153" s="57">
        <v>0</v>
      </c>
      <c r="BH153" s="57">
        <v>0</v>
      </c>
      <c r="BI153" s="57">
        <v>0</v>
      </c>
      <c r="BJ153" s="57">
        <v>0</v>
      </c>
      <c r="BK153" s="57">
        <v>0</v>
      </c>
      <c r="BL153" s="57">
        <v>0</v>
      </c>
      <c r="BM153" s="57">
        <v>0</v>
      </c>
      <c r="BN153" s="57">
        <v>0</v>
      </c>
      <c r="BO153" s="57">
        <v>0</v>
      </c>
      <c r="BP153" s="57">
        <v>0</v>
      </c>
      <c r="BQ153" s="57">
        <v>0</v>
      </c>
      <c r="BR153" s="57">
        <v>0</v>
      </c>
      <c r="BS153" s="57">
        <v>0</v>
      </c>
      <c r="BT153" s="57">
        <v>0</v>
      </c>
      <c r="BU153" s="57">
        <v>0</v>
      </c>
      <c r="BV153" s="57">
        <v>0</v>
      </c>
      <c r="BW153" s="57">
        <v>0</v>
      </c>
      <c r="BX153" s="57">
        <v>0</v>
      </c>
      <c r="BY153" s="57">
        <v>0</v>
      </c>
      <c r="BZ153" s="57">
        <v>0</v>
      </c>
      <c r="CA153" s="57">
        <v>0</v>
      </c>
      <c r="CB153" s="57">
        <v>0</v>
      </c>
      <c r="CC153" s="57">
        <v>0</v>
      </c>
      <c r="CD153" s="57">
        <v>0</v>
      </c>
      <c r="CE153" s="57">
        <v>0</v>
      </c>
      <c r="CF153" s="57">
        <v>0</v>
      </c>
      <c r="CG153" s="57">
        <v>0</v>
      </c>
      <c r="CH153" s="57">
        <v>0</v>
      </c>
      <c r="CI153" s="57">
        <v>0</v>
      </c>
      <c r="CJ153" s="57">
        <v>0</v>
      </c>
      <c r="CK153" s="57">
        <v>0</v>
      </c>
      <c r="CL153" s="57">
        <v>0</v>
      </c>
      <c r="CM153" s="57">
        <v>0</v>
      </c>
      <c r="CN153" s="57">
        <v>0</v>
      </c>
      <c r="CO153" s="57">
        <v>0</v>
      </c>
      <c r="CP153" s="57">
        <v>0</v>
      </c>
      <c r="CQ153" s="57">
        <v>0</v>
      </c>
      <c r="CR153" s="57">
        <v>0</v>
      </c>
      <c r="CS153" s="57">
        <v>0</v>
      </c>
      <c r="CT153" s="57">
        <v>0</v>
      </c>
      <c r="CU153" s="57">
        <v>0</v>
      </c>
      <c r="CV153" s="57">
        <v>0</v>
      </c>
      <c r="CW153" s="57">
        <v>0</v>
      </c>
      <c r="CX153" s="57">
        <v>0</v>
      </c>
      <c r="CY153" s="57">
        <v>0</v>
      </c>
      <c r="CZ153" s="57">
        <v>0</v>
      </c>
      <c r="DA153" s="57">
        <v>0</v>
      </c>
      <c r="DB153" s="57">
        <v>0</v>
      </c>
      <c r="DC153" s="57">
        <v>0</v>
      </c>
      <c r="DD153" s="57">
        <v>0</v>
      </c>
      <c r="DE153" s="57">
        <v>0</v>
      </c>
      <c r="DF153" s="57">
        <v>0</v>
      </c>
      <c r="DG153" s="137">
        <v>0</v>
      </c>
      <c r="DH153" s="137">
        <v>0</v>
      </c>
      <c r="DI153" s="137">
        <v>0</v>
      </c>
      <c r="DJ153" s="137">
        <v>0</v>
      </c>
      <c r="DK153" s="137">
        <v>0</v>
      </c>
      <c r="DL153" s="137">
        <v>0</v>
      </c>
      <c r="DM153" s="137">
        <v>0</v>
      </c>
      <c r="DN153" s="137">
        <v>0</v>
      </c>
      <c r="DO153" s="137">
        <v>0</v>
      </c>
      <c r="DP153" s="137">
        <v>0</v>
      </c>
      <c r="DQ153" s="137">
        <v>0</v>
      </c>
      <c r="DR153" s="137">
        <v>0</v>
      </c>
      <c r="DS153" s="137">
        <v>0</v>
      </c>
      <c r="DT153" s="137">
        <v>0</v>
      </c>
      <c r="DU153" s="137">
        <v>0</v>
      </c>
      <c r="DV153" s="137">
        <v>0</v>
      </c>
      <c r="DW153" s="137">
        <v>0</v>
      </c>
      <c r="DX153" s="137">
        <v>0</v>
      </c>
      <c r="DY153" s="137">
        <v>0</v>
      </c>
      <c r="DZ153" s="137">
        <v>0</v>
      </c>
      <c r="EA153" s="137">
        <v>0</v>
      </c>
    </row>
    <row r="154" spans="1:131" x14ac:dyDescent="0.35">
      <c r="A154" s="90" t="e">
        <f>VLOOKUP(E154,'Validation List'!F155:G550,2,FALSE)</f>
        <v>#N/A</v>
      </c>
      <c r="B154" s="90" t="e">
        <f>INDEX('NEW HIRE ROSTER'!$G:$G,MATCH(RAW!F154,'NEW HIRE ROSTER'!$A:$A,0))</f>
        <v>#N/A</v>
      </c>
      <c r="C154" s="90" t="e">
        <f>INDEX('NEW HIRE ROSTER'!$F:$F,MATCH(RAW!F154,'NEW HIRE ROSTER'!$A:$A,0))</f>
        <v>#N/A</v>
      </c>
      <c r="D154" s="90" t="e">
        <f>INDEX('Validation List'!$H:$H,MATCH(RAW!E154,'Validation List'!$F:$F,0))</f>
        <v>#N/A</v>
      </c>
      <c r="G154" s="90" t="e">
        <f>VLOOKUP(F154,ML!C138:D736,2,FALSE)</f>
        <v>#N/A</v>
      </c>
      <c r="H154" s="90" t="e">
        <f>VLOOKUP(F154,ML!C138:E736,3,FALSE)</f>
        <v>#N/A</v>
      </c>
      <c r="M154" s="56"/>
      <c r="N154" s="57">
        <v>0</v>
      </c>
      <c r="O154" s="57">
        <v>0</v>
      </c>
      <c r="P154" s="57">
        <v>0</v>
      </c>
      <c r="Q154" s="57">
        <v>0</v>
      </c>
      <c r="R154" s="57">
        <v>0</v>
      </c>
      <c r="S154" s="57">
        <v>0</v>
      </c>
      <c r="T154" s="57">
        <v>0</v>
      </c>
      <c r="U154" s="57">
        <v>0</v>
      </c>
      <c r="V154" s="57">
        <v>0</v>
      </c>
      <c r="W154" s="57">
        <v>0</v>
      </c>
      <c r="X154" s="57">
        <v>0</v>
      </c>
      <c r="Y154" s="57">
        <v>0</v>
      </c>
      <c r="Z154" s="57">
        <v>0</v>
      </c>
      <c r="AA154" s="57">
        <v>0</v>
      </c>
      <c r="AB154" s="57">
        <v>0</v>
      </c>
      <c r="AC154" s="57">
        <v>0</v>
      </c>
      <c r="AD154" s="57">
        <v>0</v>
      </c>
      <c r="AE154" s="57">
        <v>0</v>
      </c>
      <c r="AF154" s="57">
        <v>0</v>
      </c>
      <c r="AG154" s="57">
        <v>0</v>
      </c>
      <c r="AH154" s="57">
        <v>0</v>
      </c>
      <c r="AI154" s="57">
        <v>0</v>
      </c>
      <c r="AJ154" s="57">
        <v>0</v>
      </c>
      <c r="AK154" s="57">
        <v>0</v>
      </c>
      <c r="AL154" s="57">
        <v>0</v>
      </c>
      <c r="AM154" s="57">
        <v>0</v>
      </c>
      <c r="AN154" s="57">
        <v>0</v>
      </c>
      <c r="AO154" s="57">
        <v>0</v>
      </c>
      <c r="AP154" s="57">
        <v>0</v>
      </c>
      <c r="AQ154" s="57">
        <v>0</v>
      </c>
      <c r="AR154" s="57">
        <v>0</v>
      </c>
      <c r="AS154" s="57">
        <v>0</v>
      </c>
      <c r="AT154" s="57">
        <v>0</v>
      </c>
      <c r="AU154" s="57">
        <v>0</v>
      </c>
      <c r="AV154" s="57">
        <v>0</v>
      </c>
      <c r="AW154" s="57">
        <v>0</v>
      </c>
      <c r="AX154" s="57">
        <v>0</v>
      </c>
      <c r="AY154" s="57">
        <v>0</v>
      </c>
      <c r="AZ154" s="57">
        <v>0</v>
      </c>
      <c r="BA154" s="57">
        <v>0</v>
      </c>
      <c r="BB154" s="57">
        <v>0</v>
      </c>
      <c r="BC154" s="57">
        <v>0</v>
      </c>
      <c r="BD154" s="57">
        <v>0</v>
      </c>
      <c r="BE154" s="57">
        <v>0</v>
      </c>
      <c r="BF154" s="57">
        <v>0</v>
      </c>
      <c r="BG154" s="57">
        <v>0</v>
      </c>
      <c r="BH154" s="57">
        <v>0</v>
      </c>
      <c r="BI154" s="57">
        <v>0</v>
      </c>
      <c r="BJ154" s="57">
        <v>0</v>
      </c>
      <c r="BK154" s="57">
        <v>0</v>
      </c>
      <c r="BL154" s="57">
        <v>0</v>
      </c>
      <c r="BM154" s="57">
        <v>0</v>
      </c>
      <c r="BN154" s="57">
        <v>0</v>
      </c>
      <c r="BO154" s="57">
        <v>0</v>
      </c>
      <c r="BP154" s="57">
        <v>0</v>
      </c>
      <c r="BQ154" s="57">
        <v>0</v>
      </c>
      <c r="BR154" s="57">
        <v>0</v>
      </c>
      <c r="BS154" s="57">
        <v>0</v>
      </c>
      <c r="BT154" s="57">
        <v>0</v>
      </c>
      <c r="BU154" s="57">
        <v>0</v>
      </c>
      <c r="BV154" s="57">
        <v>0</v>
      </c>
      <c r="BW154" s="57">
        <v>0</v>
      </c>
      <c r="BX154" s="57">
        <v>0</v>
      </c>
      <c r="BY154" s="57">
        <v>0</v>
      </c>
      <c r="BZ154" s="57">
        <v>0</v>
      </c>
      <c r="CA154" s="57">
        <v>0</v>
      </c>
      <c r="CB154" s="57">
        <v>0</v>
      </c>
      <c r="CC154" s="57">
        <v>0</v>
      </c>
      <c r="CD154" s="57">
        <v>0</v>
      </c>
      <c r="CE154" s="57">
        <v>0</v>
      </c>
      <c r="CF154" s="57">
        <v>0</v>
      </c>
      <c r="CG154" s="57">
        <v>0</v>
      </c>
      <c r="CH154" s="57">
        <v>0</v>
      </c>
      <c r="CI154" s="57">
        <v>0</v>
      </c>
      <c r="CJ154" s="57">
        <v>0</v>
      </c>
      <c r="CK154" s="57">
        <v>0</v>
      </c>
      <c r="CL154" s="57">
        <v>0</v>
      </c>
      <c r="CM154" s="57">
        <v>0</v>
      </c>
      <c r="CN154" s="57">
        <v>0</v>
      </c>
      <c r="CO154" s="57">
        <v>0</v>
      </c>
      <c r="CP154" s="57">
        <v>0</v>
      </c>
      <c r="CQ154" s="57">
        <v>0</v>
      </c>
      <c r="CR154" s="57">
        <v>0</v>
      </c>
      <c r="CS154" s="57">
        <v>0</v>
      </c>
      <c r="CT154" s="57">
        <v>0</v>
      </c>
      <c r="CU154" s="57">
        <v>0</v>
      </c>
      <c r="CV154" s="57">
        <v>0</v>
      </c>
      <c r="CW154" s="57">
        <v>0</v>
      </c>
      <c r="CX154" s="57">
        <v>0</v>
      </c>
      <c r="CY154" s="57">
        <v>0</v>
      </c>
      <c r="CZ154" s="57">
        <v>0</v>
      </c>
      <c r="DA154" s="57">
        <v>0</v>
      </c>
      <c r="DB154" s="57">
        <v>0</v>
      </c>
      <c r="DC154" s="57">
        <v>0</v>
      </c>
      <c r="DD154" s="57">
        <v>0</v>
      </c>
      <c r="DE154" s="57">
        <v>0</v>
      </c>
      <c r="DF154" s="57">
        <v>0</v>
      </c>
      <c r="DG154" s="137">
        <v>0</v>
      </c>
      <c r="DH154" s="137">
        <v>0</v>
      </c>
      <c r="DI154" s="137">
        <v>0</v>
      </c>
      <c r="DJ154" s="137">
        <v>0</v>
      </c>
      <c r="DK154" s="137">
        <v>0</v>
      </c>
      <c r="DL154" s="137">
        <v>0</v>
      </c>
      <c r="DM154" s="137">
        <v>0</v>
      </c>
      <c r="DN154" s="137">
        <v>0</v>
      </c>
      <c r="DO154" s="137">
        <v>0</v>
      </c>
      <c r="DP154" s="137">
        <v>0</v>
      </c>
      <c r="DQ154" s="137">
        <v>0</v>
      </c>
      <c r="DR154" s="137">
        <v>0</v>
      </c>
      <c r="DS154" s="137">
        <v>0</v>
      </c>
      <c r="DT154" s="137">
        <v>0</v>
      </c>
      <c r="DU154" s="137">
        <v>0</v>
      </c>
      <c r="DV154" s="137">
        <v>0</v>
      </c>
      <c r="DW154" s="137">
        <v>0</v>
      </c>
      <c r="DX154" s="137">
        <v>0</v>
      </c>
      <c r="DY154" s="137">
        <v>0</v>
      </c>
      <c r="DZ154" s="137">
        <v>0</v>
      </c>
      <c r="EA154" s="137">
        <v>0</v>
      </c>
    </row>
    <row r="155" spans="1:131" x14ac:dyDescent="0.35">
      <c r="A155" s="90" t="e">
        <f>VLOOKUP(E155,'Validation List'!F156:G551,2,FALSE)</f>
        <v>#N/A</v>
      </c>
      <c r="B155" s="90" t="e">
        <f>INDEX('NEW HIRE ROSTER'!$G:$G,MATCH(RAW!F155,'NEW HIRE ROSTER'!$A:$A,0))</f>
        <v>#N/A</v>
      </c>
      <c r="C155" s="90" t="e">
        <f>INDEX('NEW HIRE ROSTER'!$F:$F,MATCH(RAW!F155,'NEW HIRE ROSTER'!$A:$A,0))</f>
        <v>#N/A</v>
      </c>
      <c r="D155" s="90" t="e">
        <f>INDEX('Validation List'!$H:$H,MATCH(RAW!E155,'Validation List'!$F:$F,0))</f>
        <v>#N/A</v>
      </c>
      <c r="G155" s="90" t="e">
        <f>VLOOKUP(F155,ML!C139:D737,2,FALSE)</f>
        <v>#N/A</v>
      </c>
      <c r="H155" s="90" t="e">
        <f>VLOOKUP(F155,ML!C139:E737,3,FALSE)</f>
        <v>#N/A</v>
      </c>
      <c r="M155" s="56"/>
      <c r="N155" s="57">
        <v>0</v>
      </c>
      <c r="O155" s="57">
        <v>0</v>
      </c>
      <c r="P155" s="57">
        <v>0</v>
      </c>
      <c r="Q155" s="57">
        <v>0</v>
      </c>
      <c r="R155" s="57">
        <v>0</v>
      </c>
      <c r="S155" s="57">
        <v>0</v>
      </c>
      <c r="T155" s="57">
        <v>0</v>
      </c>
      <c r="U155" s="57">
        <v>0</v>
      </c>
      <c r="V155" s="57">
        <v>0</v>
      </c>
      <c r="W155" s="57">
        <v>0</v>
      </c>
      <c r="X155" s="57">
        <v>0</v>
      </c>
      <c r="Y155" s="57">
        <v>0</v>
      </c>
      <c r="Z155" s="57">
        <v>0</v>
      </c>
      <c r="AA155" s="57">
        <v>0</v>
      </c>
      <c r="AB155" s="57">
        <v>0</v>
      </c>
      <c r="AC155" s="57">
        <v>0</v>
      </c>
      <c r="AD155" s="57">
        <v>0</v>
      </c>
      <c r="AE155" s="57">
        <v>0</v>
      </c>
      <c r="AF155" s="57">
        <v>0</v>
      </c>
      <c r="AG155" s="57">
        <v>0</v>
      </c>
      <c r="AH155" s="57">
        <v>0</v>
      </c>
      <c r="AI155" s="57">
        <v>0</v>
      </c>
      <c r="AJ155" s="57">
        <v>0</v>
      </c>
      <c r="AK155" s="57">
        <v>0</v>
      </c>
      <c r="AL155" s="57">
        <v>0</v>
      </c>
      <c r="AM155" s="57">
        <v>0</v>
      </c>
      <c r="AN155" s="57">
        <v>0</v>
      </c>
      <c r="AO155" s="57">
        <v>0</v>
      </c>
      <c r="AP155" s="57">
        <v>0</v>
      </c>
      <c r="AQ155" s="57">
        <v>0</v>
      </c>
      <c r="AR155" s="57">
        <v>0</v>
      </c>
      <c r="AS155" s="57">
        <v>0</v>
      </c>
      <c r="AT155" s="57">
        <v>0</v>
      </c>
      <c r="AU155" s="57">
        <v>0</v>
      </c>
      <c r="AV155" s="57">
        <v>0</v>
      </c>
      <c r="AW155" s="57">
        <v>0</v>
      </c>
      <c r="AX155" s="57">
        <v>0</v>
      </c>
      <c r="AY155" s="57">
        <v>0</v>
      </c>
      <c r="AZ155" s="57">
        <v>0</v>
      </c>
      <c r="BA155" s="57">
        <v>0</v>
      </c>
      <c r="BB155" s="57">
        <v>0</v>
      </c>
      <c r="BC155" s="57">
        <v>0</v>
      </c>
      <c r="BD155" s="57">
        <v>0</v>
      </c>
      <c r="BE155" s="57">
        <v>0</v>
      </c>
      <c r="BF155" s="57">
        <v>0</v>
      </c>
      <c r="BG155" s="57">
        <v>0</v>
      </c>
      <c r="BH155" s="57">
        <v>0</v>
      </c>
      <c r="BI155" s="57">
        <v>0</v>
      </c>
      <c r="BJ155" s="57">
        <v>0</v>
      </c>
      <c r="BK155" s="57">
        <v>0</v>
      </c>
      <c r="BL155" s="57">
        <v>0</v>
      </c>
      <c r="BM155" s="57">
        <v>0</v>
      </c>
      <c r="BN155" s="57">
        <v>0</v>
      </c>
      <c r="BO155" s="57">
        <v>0</v>
      </c>
      <c r="BP155" s="57">
        <v>0</v>
      </c>
      <c r="BQ155" s="57">
        <v>0</v>
      </c>
      <c r="BR155" s="57">
        <v>0</v>
      </c>
      <c r="BS155" s="57">
        <v>0</v>
      </c>
      <c r="BT155" s="57">
        <v>0</v>
      </c>
      <c r="BU155" s="57">
        <v>0</v>
      </c>
      <c r="BV155" s="57">
        <v>0</v>
      </c>
      <c r="BW155" s="57">
        <v>0</v>
      </c>
      <c r="BX155" s="57">
        <v>0</v>
      </c>
      <c r="BY155" s="57">
        <v>0</v>
      </c>
      <c r="BZ155" s="57">
        <v>0</v>
      </c>
      <c r="CA155" s="57">
        <v>0</v>
      </c>
      <c r="CB155" s="57">
        <v>0</v>
      </c>
      <c r="CC155" s="57">
        <v>0</v>
      </c>
      <c r="CD155" s="57">
        <v>0</v>
      </c>
      <c r="CE155" s="57">
        <v>0</v>
      </c>
      <c r="CF155" s="57">
        <v>0</v>
      </c>
      <c r="CG155" s="57">
        <v>0</v>
      </c>
      <c r="CH155" s="57">
        <v>0</v>
      </c>
      <c r="CI155" s="57">
        <v>0</v>
      </c>
      <c r="CJ155" s="57">
        <v>0</v>
      </c>
      <c r="CK155" s="57">
        <v>0</v>
      </c>
      <c r="CL155" s="57">
        <v>0</v>
      </c>
      <c r="CM155" s="57">
        <v>0</v>
      </c>
      <c r="CN155" s="57">
        <v>0</v>
      </c>
      <c r="CO155" s="57">
        <v>0</v>
      </c>
      <c r="CP155" s="57">
        <v>0</v>
      </c>
      <c r="CQ155" s="57">
        <v>0</v>
      </c>
      <c r="CR155" s="57">
        <v>0</v>
      </c>
      <c r="CS155" s="57">
        <v>0</v>
      </c>
      <c r="CT155" s="57">
        <v>0</v>
      </c>
      <c r="CU155" s="57">
        <v>0</v>
      </c>
      <c r="CV155" s="57">
        <v>0</v>
      </c>
      <c r="CW155" s="57">
        <v>0</v>
      </c>
      <c r="CX155" s="57">
        <v>0</v>
      </c>
      <c r="CY155" s="57">
        <v>0</v>
      </c>
      <c r="CZ155" s="57">
        <v>0</v>
      </c>
      <c r="DA155" s="57">
        <v>0</v>
      </c>
      <c r="DB155" s="57">
        <v>0</v>
      </c>
      <c r="DC155" s="57">
        <v>0</v>
      </c>
      <c r="DD155" s="57">
        <v>0</v>
      </c>
      <c r="DE155" s="57">
        <v>0</v>
      </c>
      <c r="DF155" s="57">
        <v>0</v>
      </c>
      <c r="DG155" s="137">
        <v>0</v>
      </c>
      <c r="DH155" s="137">
        <v>0</v>
      </c>
      <c r="DI155" s="137">
        <v>0</v>
      </c>
      <c r="DJ155" s="137">
        <v>0</v>
      </c>
      <c r="DK155" s="137">
        <v>0</v>
      </c>
      <c r="DL155" s="137">
        <v>0</v>
      </c>
      <c r="DM155" s="137">
        <v>0</v>
      </c>
      <c r="DN155" s="137">
        <v>0</v>
      </c>
      <c r="DO155" s="137">
        <v>0</v>
      </c>
      <c r="DP155" s="137">
        <v>0</v>
      </c>
      <c r="DQ155" s="137">
        <v>0</v>
      </c>
      <c r="DR155" s="137">
        <v>0</v>
      </c>
      <c r="DS155" s="137">
        <v>0</v>
      </c>
      <c r="DT155" s="137">
        <v>0</v>
      </c>
      <c r="DU155" s="137">
        <v>0</v>
      </c>
      <c r="DV155" s="137">
        <v>0</v>
      </c>
      <c r="DW155" s="137">
        <v>0</v>
      </c>
      <c r="DX155" s="137">
        <v>0</v>
      </c>
      <c r="DY155" s="137">
        <v>0</v>
      </c>
      <c r="DZ155" s="137">
        <v>0</v>
      </c>
      <c r="EA155" s="137">
        <v>0</v>
      </c>
    </row>
    <row r="156" spans="1:131" x14ac:dyDescent="0.35">
      <c r="A156" s="90" t="e">
        <f>VLOOKUP(E156,'Validation List'!F157:G552,2,FALSE)</f>
        <v>#N/A</v>
      </c>
      <c r="B156" s="90" t="e">
        <f>INDEX('NEW HIRE ROSTER'!$G:$G,MATCH(RAW!F156,'NEW HIRE ROSTER'!$A:$A,0))</f>
        <v>#N/A</v>
      </c>
      <c r="C156" s="90" t="e">
        <f>INDEX('NEW HIRE ROSTER'!$F:$F,MATCH(RAW!F156,'NEW HIRE ROSTER'!$A:$A,0))</f>
        <v>#N/A</v>
      </c>
      <c r="D156" s="90" t="e">
        <f>INDEX('Validation List'!$H:$H,MATCH(RAW!E156,'Validation List'!$F:$F,0))</f>
        <v>#N/A</v>
      </c>
      <c r="G156" s="90" t="e">
        <f>VLOOKUP(F156,ML!C140:D738,2,FALSE)</f>
        <v>#N/A</v>
      </c>
      <c r="H156" s="90" t="e">
        <f>VLOOKUP(F156,ML!C140:E738,3,FALSE)</f>
        <v>#N/A</v>
      </c>
      <c r="M156" s="56"/>
      <c r="N156" s="57">
        <v>0</v>
      </c>
      <c r="O156" s="57">
        <v>0</v>
      </c>
      <c r="P156" s="57">
        <v>0</v>
      </c>
      <c r="Q156" s="57">
        <v>0</v>
      </c>
      <c r="R156" s="57">
        <v>0</v>
      </c>
      <c r="S156" s="57">
        <v>0</v>
      </c>
      <c r="T156" s="57">
        <v>0</v>
      </c>
      <c r="U156" s="57">
        <v>0</v>
      </c>
      <c r="V156" s="57">
        <v>0</v>
      </c>
      <c r="W156" s="57">
        <v>0</v>
      </c>
      <c r="X156" s="57">
        <v>0</v>
      </c>
      <c r="Y156" s="57">
        <v>0</v>
      </c>
      <c r="Z156" s="57">
        <v>0</v>
      </c>
      <c r="AA156" s="57">
        <v>0</v>
      </c>
      <c r="AB156" s="57">
        <v>0</v>
      </c>
      <c r="AC156" s="57">
        <v>0</v>
      </c>
      <c r="AD156" s="57">
        <v>0</v>
      </c>
      <c r="AE156" s="57">
        <v>0</v>
      </c>
      <c r="AF156" s="57">
        <v>0</v>
      </c>
      <c r="AG156" s="57">
        <v>0</v>
      </c>
      <c r="AH156" s="57">
        <v>0</v>
      </c>
      <c r="AI156" s="57">
        <v>0</v>
      </c>
      <c r="AJ156" s="57">
        <v>0</v>
      </c>
      <c r="AK156" s="57">
        <v>0</v>
      </c>
      <c r="AL156" s="57">
        <v>0</v>
      </c>
      <c r="AM156" s="57">
        <v>0</v>
      </c>
      <c r="AN156" s="57">
        <v>0</v>
      </c>
      <c r="AO156" s="57">
        <v>0</v>
      </c>
      <c r="AP156" s="57">
        <v>0</v>
      </c>
      <c r="AQ156" s="57">
        <v>0</v>
      </c>
      <c r="AR156" s="57">
        <v>0</v>
      </c>
      <c r="AS156" s="57">
        <v>0</v>
      </c>
      <c r="AT156" s="57">
        <v>0</v>
      </c>
      <c r="AU156" s="57">
        <v>0</v>
      </c>
      <c r="AV156" s="57">
        <v>0</v>
      </c>
      <c r="AW156" s="57">
        <v>0</v>
      </c>
      <c r="AX156" s="57">
        <v>0</v>
      </c>
      <c r="AY156" s="57">
        <v>0</v>
      </c>
      <c r="AZ156" s="57">
        <v>0</v>
      </c>
      <c r="BA156" s="57">
        <v>0</v>
      </c>
      <c r="BB156" s="57">
        <v>0</v>
      </c>
      <c r="BC156" s="57">
        <v>0</v>
      </c>
      <c r="BD156" s="57">
        <v>0</v>
      </c>
      <c r="BE156" s="57">
        <v>0</v>
      </c>
      <c r="BF156" s="57">
        <v>0</v>
      </c>
      <c r="BG156" s="57">
        <v>0</v>
      </c>
      <c r="BH156" s="57">
        <v>0</v>
      </c>
      <c r="BI156" s="57">
        <v>0</v>
      </c>
      <c r="BJ156" s="57">
        <v>0</v>
      </c>
      <c r="BK156" s="57">
        <v>0</v>
      </c>
      <c r="BL156" s="57">
        <v>0</v>
      </c>
      <c r="BM156" s="57">
        <v>0</v>
      </c>
      <c r="BN156" s="57">
        <v>0</v>
      </c>
      <c r="BO156" s="57">
        <v>0</v>
      </c>
      <c r="BP156" s="57">
        <v>0</v>
      </c>
      <c r="BQ156" s="57">
        <v>0</v>
      </c>
      <c r="BR156" s="57">
        <v>0</v>
      </c>
      <c r="BS156" s="57">
        <v>0</v>
      </c>
      <c r="BT156" s="57">
        <v>0</v>
      </c>
      <c r="BU156" s="57">
        <v>0</v>
      </c>
      <c r="BV156" s="57">
        <v>0</v>
      </c>
      <c r="BW156" s="57">
        <v>0</v>
      </c>
      <c r="BX156" s="57">
        <v>0</v>
      </c>
      <c r="BY156" s="57">
        <v>0</v>
      </c>
      <c r="BZ156" s="57">
        <v>0</v>
      </c>
      <c r="CA156" s="57">
        <v>0</v>
      </c>
      <c r="CB156" s="57">
        <v>0</v>
      </c>
      <c r="CC156" s="57">
        <v>0</v>
      </c>
      <c r="CD156" s="57">
        <v>0</v>
      </c>
      <c r="CE156" s="57">
        <v>0</v>
      </c>
      <c r="CF156" s="57">
        <v>0</v>
      </c>
      <c r="CG156" s="57">
        <v>0</v>
      </c>
      <c r="CH156" s="57">
        <v>0</v>
      </c>
      <c r="CI156" s="57">
        <v>0</v>
      </c>
      <c r="CJ156" s="57">
        <v>0</v>
      </c>
      <c r="CK156" s="57">
        <v>0</v>
      </c>
      <c r="CL156" s="57">
        <v>0</v>
      </c>
      <c r="CM156" s="57">
        <v>0</v>
      </c>
      <c r="CN156" s="57">
        <v>0</v>
      </c>
      <c r="CO156" s="57">
        <v>0</v>
      </c>
      <c r="CP156" s="57">
        <v>0</v>
      </c>
      <c r="CQ156" s="57">
        <v>0</v>
      </c>
      <c r="CR156" s="57">
        <v>0</v>
      </c>
      <c r="CS156" s="57">
        <v>0</v>
      </c>
      <c r="CT156" s="57">
        <v>0</v>
      </c>
      <c r="CU156" s="57">
        <v>0</v>
      </c>
      <c r="CV156" s="57">
        <v>0</v>
      </c>
      <c r="CW156" s="57">
        <v>0</v>
      </c>
      <c r="CX156" s="57">
        <v>0</v>
      </c>
      <c r="CY156" s="57">
        <v>0</v>
      </c>
      <c r="CZ156" s="57">
        <v>0</v>
      </c>
      <c r="DA156" s="57">
        <v>0</v>
      </c>
      <c r="DB156" s="57">
        <v>0</v>
      </c>
      <c r="DC156" s="57">
        <v>0</v>
      </c>
      <c r="DD156" s="57">
        <v>0</v>
      </c>
      <c r="DE156" s="57">
        <v>0</v>
      </c>
      <c r="DF156" s="57">
        <v>0</v>
      </c>
      <c r="DG156" s="137">
        <v>0</v>
      </c>
      <c r="DH156" s="137">
        <v>0</v>
      </c>
      <c r="DI156" s="137">
        <v>0</v>
      </c>
      <c r="DJ156" s="137">
        <v>0</v>
      </c>
      <c r="DK156" s="137">
        <v>0</v>
      </c>
      <c r="DL156" s="137">
        <v>0</v>
      </c>
      <c r="DM156" s="137">
        <v>0</v>
      </c>
      <c r="DN156" s="137">
        <v>0</v>
      </c>
      <c r="DO156" s="137">
        <v>0</v>
      </c>
      <c r="DP156" s="137">
        <v>0</v>
      </c>
      <c r="DQ156" s="137">
        <v>0</v>
      </c>
      <c r="DR156" s="137">
        <v>0</v>
      </c>
      <c r="DS156" s="137">
        <v>0</v>
      </c>
      <c r="DT156" s="137">
        <v>0</v>
      </c>
      <c r="DU156" s="137">
        <v>0</v>
      </c>
      <c r="DV156" s="137">
        <v>0</v>
      </c>
      <c r="DW156" s="137">
        <v>0</v>
      </c>
      <c r="DX156" s="137">
        <v>0</v>
      </c>
      <c r="DY156" s="137">
        <v>0</v>
      </c>
      <c r="DZ156" s="137">
        <v>0</v>
      </c>
      <c r="EA156" s="137">
        <v>0</v>
      </c>
    </row>
    <row r="157" spans="1:131" x14ac:dyDescent="0.35">
      <c r="A157" s="90" t="e">
        <f>VLOOKUP(E157,'Validation List'!F158:G553,2,FALSE)</f>
        <v>#N/A</v>
      </c>
      <c r="B157" s="90" t="e">
        <f>INDEX('NEW HIRE ROSTER'!$G:$G,MATCH(RAW!F157,'NEW HIRE ROSTER'!$A:$A,0))</f>
        <v>#N/A</v>
      </c>
      <c r="C157" s="90" t="e">
        <f>INDEX('NEW HIRE ROSTER'!$F:$F,MATCH(RAW!F157,'NEW HIRE ROSTER'!$A:$A,0))</f>
        <v>#N/A</v>
      </c>
      <c r="D157" s="90" t="e">
        <f>INDEX('Validation List'!$H:$H,MATCH(RAW!E157,'Validation List'!$F:$F,0))</f>
        <v>#N/A</v>
      </c>
      <c r="G157" s="90" t="e">
        <f>VLOOKUP(F157,ML!C141:D739,2,FALSE)</f>
        <v>#N/A</v>
      </c>
      <c r="H157" s="90" t="e">
        <f>VLOOKUP(F157,ML!C141:E739,3,FALSE)</f>
        <v>#N/A</v>
      </c>
      <c r="M157" s="56"/>
      <c r="N157" s="57">
        <v>0</v>
      </c>
      <c r="O157" s="57">
        <v>0</v>
      </c>
      <c r="P157" s="57">
        <v>0</v>
      </c>
      <c r="Q157" s="57">
        <v>0</v>
      </c>
      <c r="R157" s="57">
        <v>0</v>
      </c>
      <c r="S157" s="57">
        <v>0</v>
      </c>
      <c r="T157" s="57">
        <v>0</v>
      </c>
      <c r="U157" s="57">
        <v>0</v>
      </c>
      <c r="V157" s="57">
        <v>0</v>
      </c>
      <c r="W157" s="57">
        <v>0</v>
      </c>
      <c r="X157" s="57">
        <v>0</v>
      </c>
      <c r="Y157" s="57">
        <v>0</v>
      </c>
      <c r="Z157" s="57">
        <v>0</v>
      </c>
      <c r="AA157" s="57">
        <v>0</v>
      </c>
      <c r="AB157" s="57">
        <v>0</v>
      </c>
      <c r="AC157" s="57">
        <v>0</v>
      </c>
      <c r="AD157" s="57">
        <v>0</v>
      </c>
      <c r="AE157" s="57">
        <v>0</v>
      </c>
      <c r="AF157" s="57">
        <v>0</v>
      </c>
      <c r="AG157" s="57">
        <v>0</v>
      </c>
      <c r="AH157" s="57">
        <v>0</v>
      </c>
      <c r="AI157" s="57">
        <v>0</v>
      </c>
      <c r="AJ157" s="57">
        <v>0</v>
      </c>
      <c r="AK157" s="57">
        <v>0</v>
      </c>
      <c r="AL157" s="57">
        <v>0</v>
      </c>
      <c r="AM157" s="57">
        <v>0</v>
      </c>
      <c r="AN157" s="57">
        <v>0</v>
      </c>
      <c r="AO157" s="57">
        <v>0</v>
      </c>
      <c r="AP157" s="57">
        <v>0</v>
      </c>
      <c r="AQ157" s="57">
        <v>0</v>
      </c>
      <c r="AR157" s="57">
        <v>0</v>
      </c>
      <c r="AS157" s="57">
        <v>0</v>
      </c>
      <c r="AT157" s="57">
        <v>0</v>
      </c>
      <c r="AU157" s="57">
        <v>0</v>
      </c>
      <c r="AV157" s="57">
        <v>0</v>
      </c>
      <c r="AW157" s="57">
        <v>0</v>
      </c>
      <c r="AX157" s="57">
        <v>0</v>
      </c>
      <c r="AY157" s="57">
        <v>0</v>
      </c>
      <c r="AZ157" s="57">
        <v>0</v>
      </c>
      <c r="BA157" s="57">
        <v>0</v>
      </c>
      <c r="BB157" s="57">
        <v>0</v>
      </c>
      <c r="BC157" s="57">
        <v>0</v>
      </c>
      <c r="BD157" s="57">
        <v>0</v>
      </c>
      <c r="BE157" s="57">
        <v>0</v>
      </c>
      <c r="BF157" s="57">
        <v>0</v>
      </c>
      <c r="BG157" s="57">
        <v>0</v>
      </c>
      <c r="BH157" s="57">
        <v>0</v>
      </c>
      <c r="BI157" s="57">
        <v>0</v>
      </c>
      <c r="BJ157" s="57">
        <v>0</v>
      </c>
      <c r="BK157" s="57">
        <v>0</v>
      </c>
      <c r="BL157" s="57">
        <v>0</v>
      </c>
      <c r="BM157" s="57">
        <v>0</v>
      </c>
      <c r="BN157" s="57">
        <v>0</v>
      </c>
      <c r="BO157" s="57">
        <v>0</v>
      </c>
      <c r="BP157" s="57">
        <v>0</v>
      </c>
      <c r="BQ157" s="57">
        <v>0</v>
      </c>
      <c r="BR157" s="57">
        <v>0</v>
      </c>
      <c r="BS157" s="57">
        <v>0</v>
      </c>
      <c r="BT157" s="57">
        <v>0</v>
      </c>
      <c r="BU157" s="57">
        <v>0</v>
      </c>
      <c r="BV157" s="57">
        <v>0</v>
      </c>
      <c r="BW157" s="57">
        <v>0</v>
      </c>
      <c r="BX157" s="57">
        <v>0</v>
      </c>
      <c r="BY157" s="57">
        <v>0</v>
      </c>
      <c r="BZ157" s="57">
        <v>0</v>
      </c>
      <c r="CA157" s="57">
        <v>0</v>
      </c>
      <c r="CB157" s="57">
        <v>0</v>
      </c>
      <c r="CC157" s="57">
        <v>0</v>
      </c>
      <c r="CD157" s="57">
        <v>0</v>
      </c>
      <c r="CE157" s="57">
        <v>0</v>
      </c>
      <c r="CF157" s="57">
        <v>0</v>
      </c>
      <c r="CG157" s="57">
        <v>0</v>
      </c>
      <c r="CH157" s="57">
        <v>0</v>
      </c>
      <c r="CI157" s="57">
        <v>0</v>
      </c>
      <c r="CJ157" s="57">
        <v>0</v>
      </c>
      <c r="CK157" s="57">
        <v>0</v>
      </c>
      <c r="CL157" s="57">
        <v>0</v>
      </c>
      <c r="CM157" s="57">
        <v>0</v>
      </c>
      <c r="CN157" s="57">
        <v>0</v>
      </c>
      <c r="CO157" s="57">
        <v>0</v>
      </c>
      <c r="CP157" s="57">
        <v>0</v>
      </c>
      <c r="CQ157" s="57">
        <v>0</v>
      </c>
      <c r="CR157" s="57">
        <v>0</v>
      </c>
      <c r="CS157" s="57">
        <v>0</v>
      </c>
      <c r="CT157" s="57">
        <v>0</v>
      </c>
      <c r="CU157" s="57">
        <v>0</v>
      </c>
      <c r="CV157" s="57">
        <v>0</v>
      </c>
      <c r="CW157" s="57">
        <v>0</v>
      </c>
      <c r="CX157" s="57">
        <v>0</v>
      </c>
      <c r="CY157" s="57">
        <v>0</v>
      </c>
      <c r="CZ157" s="57">
        <v>0</v>
      </c>
      <c r="DA157" s="57">
        <v>0</v>
      </c>
      <c r="DB157" s="57">
        <v>0</v>
      </c>
      <c r="DC157" s="57">
        <v>0</v>
      </c>
      <c r="DD157" s="57">
        <v>0</v>
      </c>
      <c r="DE157" s="57">
        <v>0</v>
      </c>
      <c r="DF157" s="57">
        <v>0</v>
      </c>
      <c r="DG157" s="137">
        <v>0</v>
      </c>
      <c r="DH157" s="137">
        <v>0</v>
      </c>
      <c r="DI157" s="137">
        <v>0</v>
      </c>
      <c r="DJ157" s="137">
        <v>0</v>
      </c>
      <c r="DK157" s="137">
        <v>0</v>
      </c>
      <c r="DL157" s="137">
        <v>0</v>
      </c>
      <c r="DM157" s="137">
        <v>0</v>
      </c>
      <c r="DN157" s="137">
        <v>0</v>
      </c>
      <c r="DO157" s="137">
        <v>0</v>
      </c>
      <c r="DP157" s="137">
        <v>0</v>
      </c>
      <c r="DQ157" s="137">
        <v>0</v>
      </c>
      <c r="DR157" s="137">
        <v>0</v>
      </c>
      <c r="DS157" s="137">
        <v>0</v>
      </c>
      <c r="DT157" s="137">
        <v>0</v>
      </c>
      <c r="DU157" s="137">
        <v>0</v>
      </c>
      <c r="DV157" s="137">
        <v>0</v>
      </c>
      <c r="DW157" s="137">
        <v>0</v>
      </c>
      <c r="DX157" s="137">
        <v>0</v>
      </c>
      <c r="DY157" s="137">
        <v>0</v>
      </c>
      <c r="DZ157" s="137">
        <v>0</v>
      </c>
      <c r="EA157" s="137">
        <v>0</v>
      </c>
    </row>
    <row r="158" spans="1:131" x14ac:dyDescent="0.35">
      <c r="A158" s="90" t="e">
        <f>VLOOKUP(E158,'Validation List'!F159:G554,2,FALSE)</f>
        <v>#N/A</v>
      </c>
      <c r="B158" s="90" t="e">
        <f>INDEX('NEW HIRE ROSTER'!$G:$G,MATCH(RAW!F158,'NEW HIRE ROSTER'!$A:$A,0))</f>
        <v>#N/A</v>
      </c>
      <c r="C158" s="90" t="e">
        <f>INDEX('NEW HIRE ROSTER'!$F:$F,MATCH(RAW!F158,'NEW HIRE ROSTER'!$A:$A,0))</f>
        <v>#N/A</v>
      </c>
      <c r="D158" s="90" t="e">
        <f>INDEX('Validation List'!$H:$H,MATCH(RAW!E158,'Validation List'!$F:$F,0))</f>
        <v>#N/A</v>
      </c>
      <c r="G158" s="90" t="e">
        <f>VLOOKUP(F158,ML!C142:D740,2,FALSE)</f>
        <v>#N/A</v>
      </c>
      <c r="H158" s="90" t="e">
        <f>VLOOKUP(F158,ML!C142:E740,3,FALSE)</f>
        <v>#N/A</v>
      </c>
      <c r="M158" s="56"/>
      <c r="N158" s="57">
        <v>0</v>
      </c>
      <c r="O158" s="57">
        <v>0</v>
      </c>
      <c r="P158" s="57">
        <v>0</v>
      </c>
      <c r="Q158" s="57">
        <v>0</v>
      </c>
      <c r="R158" s="57">
        <v>0</v>
      </c>
      <c r="S158" s="57">
        <v>0</v>
      </c>
      <c r="T158" s="57">
        <v>0</v>
      </c>
      <c r="U158" s="57">
        <v>0</v>
      </c>
      <c r="V158" s="57">
        <v>0</v>
      </c>
      <c r="W158" s="57">
        <v>0</v>
      </c>
      <c r="X158" s="57">
        <v>0</v>
      </c>
      <c r="Y158" s="57">
        <v>0</v>
      </c>
      <c r="Z158" s="57">
        <v>0</v>
      </c>
      <c r="AA158" s="57">
        <v>0</v>
      </c>
      <c r="AB158" s="57">
        <v>0</v>
      </c>
      <c r="AC158" s="57">
        <v>0</v>
      </c>
      <c r="AD158" s="57">
        <v>0</v>
      </c>
      <c r="AE158" s="57">
        <v>0</v>
      </c>
      <c r="AF158" s="57">
        <v>0</v>
      </c>
      <c r="AG158" s="57">
        <v>0</v>
      </c>
      <c r="AH158" s="57">
        <v>0</v>
      </c>
      <c r="AI158" s="57">
        <v>0</v>
      </c>
      <c r="AJ158" s="57">
        <v>0</v>
      </c>
      <c r="AK158" s="57">
        <v>0</v>
      </c>
      <c r="AL158" s="57">
        <v>0</v>
      </c>
      <c r="AM158" s="57">
        <v>0</v>
      </c>
      <c r="AN158" s="57">
        <v>0</v>
      </c>
      <c r="AO158" s="57">
        <v>0</v>
      </c>
      <c r="AP158" s="57">
        <v>0</v>
      </c>
      <c r="AQ158" s="57">
        <v>0</v>
      </c>
      <c r="AR158" s="57">
        <v>0</v>
      </c>
      <c r="AS158" s="57">
        <v>0</v>
      </c>
      <c r="AT158" s="57">
        <v>0</v>
      </c>
      <c r="AU158" s="57">
        <v>0</v>
      </c>
      <c r="AV158" s="57">
        <v>0</v>
      </c>
      <c r="AW158" s="57">
        <v>0</v>
      </c>
      <c r="AX158" s="57">
        <v>0</v>
      </c>
      <c r="AY158" s="57">
        <v>0</v>
      </c>
      <c r="AZ158" s="57">
        <v>0</v>
      </c>
      <c r="BA158" s="57">
        <v>0</v>
      </c>
      <c r="BB158" s="57">
        <v>0</v>
      </c>
      <c r="BC158" s="57">
        <v>0</v>
      </c>
      <c r="BD158" s="57">
        <v>0</v>
      </c>
      <c r="BE158" s="57">
        <v>0</v>
      </c>
      <c r="BF158" s="57">
        <v>0</v>
      </c>
      <c r="BG158" s="57">
        <v>0</v>
      </c>
      <c r="BH158" s="57">
        <v>0</v>
      </c>
      <c r="BI158" s="57">
        <v>0</v>
      </c>
      <c r="BJ158" s="57">
        <v>0</v>
      </c>
      <c r="BK158" s="57">
        <v>0</v>
      </c>
      <c r="BL158" s="57">
        <v>0</v>
      </c>
      <c r="BM158" s="57">
        <v>0</v>
      </c>
      <c r="BN158" s="57">
        <v>0</v>
      </c>
      <c r="BO158" s="57">
        <v>0</v>
      </c>
      <c r="BP158" s="57">
        <v>0</v>
      </c>
      <c r="BQ158" s="57">
        <v>0</v>
      </c>
      <c r="BR158" s="57">
        <v>0</v>
      </c>
      <c r="BS158" s="57">
        <v>0</v>
      </c>
      <c r="BT158" s="57">
        <v>0</v>
      </c>
      <c r="BU158" s="57">
        <v>0</v>
      </c>
      <c r="BV158" s="57">
        <v>0</v>
      </c>
      <c r="BW158" s="57">
        <v>0</v>
      </c>
      <c r="BX158" s="57">
        <v>0</v>
      </c>
      <c r="BY158" s="57">
        <v>0</v>
      </c>
      <c r="BZ158" s="57">
        <v>0</v>
      </c>
      <c r="CA158" s="57">
        <v>0</v>
      </c>
      <c r="CB158" s="57">
        <v>0</v>
      </c>
      <c r="CC158" s="57">
        <v>0</v>
      </c>
      <c r="CD158" s="57">
        <v>0</v>
      </c>
      <c r="CE158" s="57">
        <v>0</v>
      </c>
      <c r="CF158" s="57">
        <v>0</v>
      </c>
      <c r="CG158" s="57">
        <v>0</v>
      </c>
      <c r="CH158" s="57">
        <v>0</v>
      </c>
      <c r="CI158" s="57">
        <v>0</v>
      </c>
      <c r="CJ158" s="57">
        <v>0</v>
      </c>
      <c r="CK158" s="57">
        <v>0</v>
      </c>
      <c r="CL158" s="57">
        <v>0</v>
      </c>
      <c r="CM158" s="57">
        <v>0</v>
      </c>
      <c r="CN158" s="57">
        <v>0</v>
      </c>
      <c r="CO158" s="57">
        <v>0</v>
      </c>
      <c r="CP158" s="57">
        <v>0</v>
      </c>
      <c r="CQ158" s="57">
        <v>0</v>
      </c>
      <c r="CR158" s="57">
        <v>0</v>
      </c>
      <c r="CS158" s="57">
        <v>0</v>
      </c>
      <c r="CT158" s="57">
        <v>0</v>
      </c>
      <c r="CU158" s="57">
        <v>0</v>
      </c>
      <c r="CV158" s="57">
        <v>0</v>
      </c>
      <c r="CW158" s="57">
        <v>0</v>
      </c>
      <c r="CX158" s="57">
        <v>0</v>
      </c>
      <c r="CY158" s="57">
        <v>0</v>
      </c>
      <c r="CZ158" s="57">
        <v>0</v>
      </c>
      <c r="DA158" s="57">
        <v>0</v>
      </c>
      <c r="DB158" s="57">
        <v>0</v>
      </c>
      <c r="DC158" s="57">
        <v>0</v>
      </c>
      <c r="DD158" s="57">
        <v>0</v>
      </c>
      <c r="DE158" s="57">
        <v>0</v>
      </c>
      <c r="DF158" s="57">
        <v>0</v>
      </c>
      <c r="DG158" s="137">
        <v>0</v>
      </c>
      <c r="DH158" s="137">
        <v>0</v>
      </c>
      <c r="DI158" s="137">
        <v>0</v>
      </c>
      <c r="DJ158" s="137">
        <v>0</v>
      </c>
      <c r="DK158" s="137">
        <v>0</v>
      </c>
      <c r="DL158" s="137">
        <v>0</v>
      </c>
      <c r="DM158" s="137">
        <v>0</v>
      </c>
      <c r="DN158" s="137">
        <v>0</v>
      </c>
      <c r="DO158" s="137">
        <v>0</v>
      </c>
      <c r="DP158" s="137">
        <v>0</v>
      </c>
      <c r="DQ158" s="137">
        <v>0</v>
      </c>
      <c r="DR158" s="137">
        <v>0</v>
      </c>
      <c r="DS158" s="137">
        <v>0</v>
      </c>
      <c r="DT158" s="137">
        <v>0</v>
      </c>
      <c r="DU158" s="137">
        <v>0</v>
      </c>
      <c r="DV158" s="137">
        <v>0</v>
      </c>
      <c r="DW158" s="137">
        <v>0</v>
      </c>
      <c r="DX158" s="137">
        <v>0</v>
      </c>
      <c r="DY158" s="137">
        <v>0</v>
      </c>
      <c r="DZ158" s="137">
        <v>0</v>
      </c>
      <c r="EA158" s="137">
        <v>0</v>
      </c>
    </row>
    <row r="159" spans="1:131" x14ac:dyDescent="0.35">
      <c r="A159" s="90" t="e">
        <f>VLOOKUP(E159,'Validation List'!F160:G555,2,FALSE)</f>
        <v>#N/A</v>
      </c>
      <c r="B159" s="90" t="e">
        <f>INDEX('NEW HIRE ROSTER'!$G:$G,MATCH(RAW!F159,'NEW HIRE ROSTER'!$A:$A,0))</f>
        <v>#N/A</v>
      </c>
      <c r="C159" s="90" t="e">
        <f>INDEX('NEW HIRE ROSTER'!$F:$F,MATCH(RAW!F159,'NEW HIRE ROSTER'!$A:$A,0))</f>
        <v>#N/A</v>
      </c>
      <c r="D159" s="90" t="e">
        <f>INDEX('Validation List'!$H:$H,MATCH(RAW!E159,'Validation List'!$F:$F,0))</f>
        <v>#N/A</v>
      </c>
      <c r="G159" s="90" t="e">
        <f>VLOOKUP(F159,ML!C143:D741,2,FALSE)</f>
        <v>#N/A</v>
      </c>
      <c r="H159" s="90" t="e">
        <f>VLOOKUP(F159,ML!C143:E741,3,FALSE)</f>
        <v>#N/A</v>
      </c>
      <c r="M159" s="56"/>
      <c r="N159" s="57">
        <v>0</v>
      </c>
      <c r="O159" s="57">
        <v>0</v>
      </c>
      <c r="P159" s="57">
        <v>0</v>
      </c>
      <c r="Q159" s="57">
        <v>0</v>
      </c>
      <c r="R159" s="57">
        <v>0</v>
      </c>
      <c r="S159" s="57">
        <v>0</v>
      </c>
      <c r="T159" s="57">
        <v>0</v>
      </c>
      <c r="U159" s="57">
        <v>0</v>
      </c>
      <c r="V159" s="57">
        <v>0</v>
      </c>
      <c r="W159" s="57">
        <v>0</v>
      </c>
      <c r="X159" s="57">
        <v>0</v>
      </c>
      <c r="Y159" s="57">
        <v>0</v>
      </c>
      <c r="Z159" s="57">
        <v>0</v>
      </c>
      <c r="AA159" s="57">
        <v>0</v>
      </c>
      <c r="AB159" s="57">
        <v>0</v>
      </c>
      <c r="AC159" s="57">
        <v>0</v>
      </c>
      <c r="AD159" s="57">
        <v>0</v>
      </c>
      <c r="AE159" s="57">
        <v>0</v>
      </c>
      <c r="AF159" s="57">
        <v>0</v>
      </c>
      <c r="AG159" s="57">
        <v>0</v>
      </c>
      <c r="AH159" s="57">
        <v>0</v>
      </c>
      <c r="AI159" s="57">
        <v>0</v>
      </c>
      <c r="AJ159" s="57">
        <v>0</v>
      </c>
      <c r="AK159" s="57">
        <v>0</v>
      </c>
      <c r="AL159" s="57">
        <v>0</v>
      </c>
      <c r="AM159" s="57">
        <v>0</v>
      </c>
      <c r="AN159" s="57">
        <v>0</v>
      </c>
      <c r="AO159" s="57">
        <v>0</v>
      </c>
      <c r="AP159" s="57">
        <v>0</v>
      </c>
      <c r="AQ159" s="57">
        <v>0</v>
      </c>
      <c r="AR159" s="57">
        <v>0</v>
      </c>
      <c r="AS159" s="57">
        <v>0</v>
      </c>
      <c r="AT159" s="57">
        <v>0</v>
      </c>
      <c r="AU159" s="57">
        <v>0</v>
      </c>
      <c r="AV159" s="57">
        <v>0</v>
      </c>
      <c r="AW159" s="57">
        <v>0</v>
      </c>
      <c r="AX159" s="57">
        <v>0</v>
      </c>
      <c r="AY159" s="57">
        <v>0</v>
      </c>
      <c r="AZ159" s="57">
        <v>0</v>
      </c>
      <c r="BA159" s="57">
        <v>0</v>
      </c>
      <c r="BB159" s="57">
        <v>0</v>
      </c>
      <c r="BC159" s="57">
        <v>0</v>
      </c>
      <c r="BD159" s="57">
        <v>0</v>
      </c>
      <c r="BE159" s="57">
        <v>0</v>
      </c>
      <c r="BF159" s="57">
        <v>0</v>
      </c>
      <c r="BG159" s="57">
        <v>0</v>
      </c>
      <c r="BH159" s="57">
        <v>0</v>
      </c>
      <c r="BI159" s="57">
        <v>0</v>
      </c>
      <c r="BJ159" s="57">
        <v>0</v>
      </c>
      <c r="BK159" s="57">
        <v>0</v>
      </c>
      <c r="BL159" s="57">
        <v>0</v>
      </c>
      <c r="BM159" s="57">
        <v>0</v>
      </c>
      <c r="BN159" s="57">
        <v>0</v>
      </c>
      <c r="BO159" s="57">
        <v>0</v>
      </c>
      <c r="BP159" s="57">
        <v>0</v>
      </c>
      <c r="BQ159" s="57">
        <v>0</v>
      </c>
      <c r="BR159" s="57">
        <v>0</v>
      </c>
      <c r="BS159" s="57">
        <v>0</v>
      </c>
      <c r="BT159" s="57">
        <v>0</v>
      </c>
      <c r="BU159" s="57">
        <v>0</v>
      </c>
      <c r="BV159" s="57">
        <v>0</v>
      </c>
      <c r="BW159" s="57">
        <v>0</v>
      </c>
      <c r="BX159" s="57">
        <v>0</v>
      </c>
      <c r="BY159" s="57">
        <v>0</v>
      </c>
      <c r="BZ159" s="57">
        <v>0</v>
      </c>
      <c r="CA159" s="57">
        <v>0</v>
      </c>
      <c r="CB159" s="57">
        <v>0</v>
      </c>
      <c r="CC159" s="57">
        <v>0</v>
      </c>
      <c r="CD159" s="57">
        <v>0</v>
      </c>
      <c r="CE159" s="57">
        <v>0</v>
      </c>
      <c r="CF159" s="57">
        <v>0</v>
      </c>
      <c r="CG159" s="57">
        <v>0</v>
      </c>
      <c r="CH159" s="57">
        <v>0</v>
      </c>
      <c r="CI159" s="57">
        <v>0</v>
      </c>
      <c r="CJ159" s="57">
        <v>0</v>
      </c>
      <c r="CK159" s="57">
        <v>0</v>
      </c>
      <c r="CL159" s="57">
        <v>0</v>
      </c>
      <c r="CM159" s="57">
        <v>0</v>
      </c>
      <c r="CN159" s="57">
        <v>0</v>
      </c>
      <c r="CO159" s="57">
        <v>0</v>
      </c>
      <c r="CP159" s="57">
        <v>0</v>
      </c>
      <c r="CQ159" s="57">
        <v>0</v>
      </c>
      <c r="CR159" s="57">
        <v>0</v>
      </c>
      <c r="CS159" s="57">
        <v>0</v>
      </c>
      <c r="CT159" s="57">
        <v>0</v>
      </c>
      <c r="CU159" s="57">
        <v>0</v>
      </c>
      <c r="CV159" s="57">
        <v>0</v>
      </c>
      <c r="CW159" s="57">
        <v>0</v>
      </c>
      <c r="CX159" s="57">
        <v>0</v>
      </c>
      <c r="CY159" s="57">
        <v>0</v>
      </c>
      <c r="CZ159" s="57">
        <v>0</v>
      </c>
      <c r="DA159" s="57">
        <v>0</v>
      </c>
      <c r="DB159" s="57">
        <v>0</v>
      </c>
      <c r="DC159" s="57">
        <v>0</v>
      </c>
      <c r="DD159" s="57">
        <v>0</v>
      </c>
      <c r="DE159" s="57">
        <v>0</v>
      </c>
      <c r="DF159" s="57">
        <v>0</v>
      </c>
      <c r="DG159" s="137">
        <v>0</v>
      </c>
      <c r="DH159" s="137">
        <v>0</v>
      </c>
      <c r="DI159" s="137">
        <v>0</v>
      </c>
      <c r="DJ159" s="137">
        <v>0</v>
      </c>
      <c r="DK159" s="137">
        <v>0</v>
      </c>
      <c r="DL159" s="137">
        <v>0</v>
      </c>
      <c r="DM159" s="137">
        <v>0</v>
      </c>
      <c r="DN159" s="137">
        <v>0</v>
      </c>
      <c r="DO159" s="137">
        <v>0</v>
      </c>
      <c r="DP159" s="137">
        <v>0</v>
      </c>
      <c r="DQ159" s="137">
        <v>0</v>
      </c>
      <c r="DR159" s="137">
        <v>0</v>
      </c>
      <c r="DS159" s="137">
        <v>0</v>
      </c>
      <c r="DT159" s="137">
        <v>0</v>
      </c>
      <c r="DU159" s="137">
        <v>0</v>
      </c>
      <c r="DV159" s="137">
        <v>0</v>
      </c>
      <c r="DW159" s="137">
        <v>0</v>
      </c>
      <c r="DX159" s="137">
        <v>0</v>
      </c>
      <c r="DY159" s="137">
        <v>0</v>
      </c>
      <c r="DZ159" s="137">
        <v>0</v>
      </c>
      <c r="EA159" s="137">
        <v>0</v>
      </c>
    </row>
    <row r="160" spans="1:131" x14ac:dyDescent="0.35">
      <c r="A160" s="90" t="e">
        <f>VLOOKUP(E160,'Validation List'!F161:G556,2,FALSE)</f>
        <v>#N/A</v>
      </c>
      <c r="B160" s="90" t="e">
        <f>INDEX('NEW HIRE ROSTER'!$G:$G,MATCH(RAW!F160,'NEW HIRE ROSTER'!$A:$A,0))</f>
        <v>#N/A</v>
      </c>
      <c r="C160" s="90" t="e">
        <f>INDEX('NEW HIRE ROSTER'!$F:$F,MATCH(RAW!F160,'NEW HIRE ROSTER'!$A:$A,0))</f>
        <v>#N/A</v>
      </c>
      <c r="D160" s="90" t="e">
        <f>INDEX('Validation List'!$H:$H,MATCH(RAW!E160,'Validation List'!$F:$F,0))</f>
        <v>#N/A</v>
      </c>
      <c r="G160" s="90" t="e">
        <f>VLOOKUP(F160,ML!C144:D742,2,FALSE)</f>
        <v>#N/A</v>
      </c>
      <c r="H160" s="90" t="e">
        <f>VLOOKUP(F160,ML!C144:E742,3,FALSE)</f>
        <v>#N/A</v>
      </c>
      <c r="M160" s="56"/>
      <c r="N160" s="57">
        <v>0</v>
      </c>
      <c r="O160" s="57">
        <v>0</v>
      </c>
      <c r="P160" s="57">
        <v>0</v>
      </c>
      <c r="Q160" s="57">
        <v>0</v>
      </c>
      <c r="R160" s="57">
        <v>0</v>
      </c>
      <c r="S160" s="57">
        <v>0</v>
      </c>
      <c r="T160" s="57">
        <v>0</v>
      </c>
      <c r="U160" s="57">
        <v>0</v>
      </c>
      <c r="V160" s="57">
        <v>0</v>
      </c>
      <c r="W160" s="57">
        <v>0</v>
      </c>
      <c r="X160" s="57">
        <v>0</v>
      </c>
      <c r="Y160" s="57">
        <v>0</v>
      </c>
      <c r="Z160" s="57">
        <v>0</v>
      </c>
      <c r="AA160" s="57">
        <v>0</v>
      </c>
      <c r="AB160" s="57">
        <v>0</v>
      </c>
      <c r="AC160" s="57">
        <v>0</v>
      </c>
      <c r="AD160" s="57">
        <v>0</v>
      </c>
      <c r="AE160" s="57">
        <v>0</v>
      </c>
      <c r="AF160" s="57">
        <v>0</v>
      </c>
      <c r="AG160" s="57">
        <v>0</v>
      </c>
      <c r="AH160" s="57">
        <v>0</v>
      </c>
      <c r="AI160" s="57">
        <v>0</v>
      </c>
      <c r="AJ160" s="57">
        <v>0</v>
      </c>
      <c r="AK160" s="57">
        <v>0</v>
      </c>
      <c r="AL160" s="57">
        <v>0</v>
      </c>
      <c r="AM160" s="57">
        <v>0</v>
      </c>
      <c r="AN160" s="57">
        <v>0</v>
      </c>
      <c r="AO160" s="57">
        <v>0</v>
      </c>
      <c r="AP160" s="57">
        <v>0</v>
      </c>
      <c r="AQ160" s="57">
        <v>0</v>
      </c>
      <c r="AR160" s="57">
        <v>0</v>
      </c>
      <c r="AS160" s="57">
        <v>0</v>
      </c>
      <c r="AT160" s="57">
        <v>0</v>
      </c>
      <c r="AU160" s="57">
        <v>0</v>
      </c>
      <c r="AV160" s="57">
        <v>0</v>
      </c>
      <c r="AW160" s="57">
        <v>0</v>
      </c>
      <c r="AX160" s="57">
        <v>0</v>
      </c>
      <c r="AY160" s="57">
        <v>0</v>
      </c>
      <c r="AZ160" s="57">
        <v>0</v>
      </c>
      <c r="BA160" s="57">
        <v>0</v>
      </c>
      <c r="BB160" s="57">
        <v>0</v>
      </c>
      <c r="BC160" s="57">
        <v>0</v>
      </c>
      <c r="BD160" s="57">
        <v>0</v>
      </c>
      <c r="BE160" s="57">
        <v>0</v>
      </c>
      <c r="BF160" s="57">
        <v>0</v>
      </c>
      <c r="BG160" s="57">
        <v>0</v>
      </c>
      <c r="BH160" s="57">
        <v>0</v>
      </c>
      <c r="BI160" s="57">
        <v>0</v>
      </c>
      <c r="BJ160" s="57">
        <v>0</v>
      </c>
      <c r="BK160" s="57">
        <v>0</v>
      </c>
      <c r="BL160" s="57">
        <v>0</v>
      </c>
      <c r="BM160" s="57">
        <v>0</v>
      </c>
      <c r="BN160" s="57">
        <v>0</v>
      </c>
      <c r="BO160" s="57">
        <v>0</v>
      </c>
      <c r="BP160" s="57">
        <v>0</v>
      </c>
      <c r="BQ160" s="57">
        <v>0</v>
      </c>
      <c r="BR160" s="57">
        <v>0</v>
      </c>
      <c r="BS160" s="57">
        <v>0</v>
      </c>
      <c r="BT160" s="57">
        <v>0</v>
      </c>
      <c r="BU160" s="57">
        <v>0</v>
      </c>
      <c r="BV160" s="57">
        <v>0</v>
      </c>
      <c r="BW160" s="57">
        <v>0</v>
      </c>
      <c r="BX160" s="57">
        <v>0</v>
      </c>
      <c r="BY160" s="57">
        <v>0</v>
      </c>
      <c r="BZ160" s="57">
        <v>0</v>
      </c>
      <c r="CA160" s="57">
        <v>0</v>
      </c>
      <c r="CB160" s="57">
        <v>0</v>
      </c>
      <c r="CC160" s="57">
        <v>0</v>
      </c>
      <c r="CD160" s="57">
        <v>0</v>
      </c>
      <c r="CE160" s="57">
        <v>0</v>
      </c>
      <c r="CF160" s="57">
        <v>0</v>
      </c>
      <c r="CG160" s="57">
        <v>0</v>
      </c>
      <c r="CH160" s="57">
        <v>0</v>
      </c>
      <c r="CI160" s="57">
        <v>0</v>
      </c>
      <c r="CJ160" s="57">
        <v>0</v>
      </c>
      <c r="CK160" s="57">
        <v>0</v>
      </c>
      <c r="CL160" s="57">
        <v>0</v>
      </c>
      <c r="CM160" s="57">
        <v>0</v>
      </c>
      <c r="CN160" s="57">
        <v>0</v>
      </c>
      <c r="CO160" s="57">
        <v>0</v>
      </c>
      <c r="CP160" s="57">
        <v>0</v>
      </c>
      <c r="CQ160" s="57">
        <v>0</v>
      </c>
      <c r="CR160" s="57">
        <v>0</v>
      </c>
      <c r="CS160" s="57">
        <v>0</v>
      </c>
      <c r="CT160" s="57">
        <v>0</v>
      </c>
      <c r="CU160" s="57">
        <v>0</v>
      </c>
      <c r="CV160" s="57">
        <v>0</v>
      </c>
      <c r="CW160" s="57">
        <v>0</v>
      </c>
      <c r="CX160" s="57">
        <v>0</v>
      </c>
      <c r="CY160" s="57">
        <v>0</v>
      </c>
      <c r="CZ160" s="57">
        <v>0</v>
      </c>
      <c r="DA160" s="57">
        <v>0</v>
      </c>
      <c r="DB160" s="57">
        <v>0</v>
      </c>
      <c r="DC160" s="57">
        <v>0</v>
      </c>
      <c r="DD160" s="57">
        <v>0</v>
      </c>
      <c r="DE160" s="57">
        <v>0</v>
      </c>
      <c r="DF160" s="57">
        <v>0</v>
      </c>
      <c r="DG160" s="137">
        <v>0</v>
      </c>
      <c r="DH160" s="137">
        <v>0</v>
      </c>
      <c r="DI160" s="137">
        <v>0</v>
      </c>
      <c r="DJ160" s="137">
        <v>0</v>
      </c>
      <c r="DK160" s="137">
        <v>0</v>
      </c>
      <c r="DL160" s="137">
        <v>0</v>
      </c>
      <c r="DM160" s="137">
        <v>0</v>
      </c>
      <c r="DN160" s="137">
        <v>0</v>
      </c>
      <c r="DO160" s="137">
        <v>0</v>
      </c>
      <c r="DP160" s="137">
        <v>0</v>
      </c>
      <c r="DQ160" s="137">
        <v>0</v>
      </c>
      <c r="DR160" s="137">
        <v>0</v>
      </c>
      <c r="DS160" s="137">
        <v>0</v>
      </c>
      <c r="DT160" s="137">
        <v>0</v>
      </c>
      <c r="DU160" s="137">
        <v>0</v>
      </c>
      <c r="DV160" s="137">
        <v>0</v>
      </c>
      <c r="DW160" s="137">
        <v>0</v>
      </c>
      <c r="DX160" s="137">
        <v>0</v>
      </c>
      <c r="DY160" s="137">
        <v>0</v>
      </c>
      <c r="DZ160" s="137">
        <v>0</v>
      </c>
      <c r="EA160" s="137">
        <v>0</v>
      </c>
    </row>
    <row r="161" spans="1:131" x14ac:dyDescent="0.35">
      <c r="A161" s="90" t="e">
        <f>VLOOKUP(E161,'Validation List'!F162:G557,2,FALSE)</f>
        <v>#N/A</v>
      </c>
      <c r="B161" s="90" t="e">
        <f>INDEX('NEW HIRE ROSTER'!$G:$G,MATCH(RAW!F161,'NEW HIRE ROSTER'!$A:$A,0))</f>
        <v>#N/A</v>
      </c>
      <c r="C161" s="90" t="e">
        <f>INDEX('NEW HIRE ROSTER'!$F:$F,MATCH(RAW!F161,'NEW HIRE ROSTER'!$A:$A,0))</f>
        <v>#N/A</v>
      </c>
      <c r="D161" s="90" t="e">
        <f>INDEX('Validation List'!$H:$H,MATCH(RAW!E161,'Validation List'!$F:$F,0))</f>
        <v>#N/A</v>
      </c>
      <c r="G161" s="90" t="e">
        <f>VLOOKUP(F161,ML!C145:D743,2,FALSE)</f>
        <v>#N/A</v>
      </c>
      <c r="H161" s="90" t="e">
        <f>VLOOKUP(F161,ML!C145:E743,3,FALSE)</f>
        <v>#N/A</v>
      </c>
      <c r="M161" s="56"/>
      <c r="N161" s="57">
        <v>0</v>
      </c>
      <c r="O161" s="57">
        <v>0</v>
      </c>
      <c r="P161" s="57">
        <v>0</v>
      </c>
      <c r="Q161" s="57">
        <v>0</v>
      </c>
      <c r="R161" s="57">
        <v>0</v>
      </c>
      <c r="S161" s="57">
        <v>0</v>
      </c>
      <c r="T161" s="57">
        <v>0</v>
      </c>
      <c r="U161" s="57">
        <v>0</v>
      </c>
      <c r="V161" s="57">
        <v>0</v>
      </c>
      <c r="W161" s="57">
        <v>0</v>
      </c>
      <c r="X161" s="57">
        <v>0</v>
      </c>
      <c r="Y161" s="57">
        <v>0</v>
      </c>
      <c r="Z161" s="57">
        <v>0</v>
      </c>
      <c r="AA161" s="57">
        <v>0</v>
      </c>
      <c r="AB161" s="57">
        <v>0</v>
      </c>
      <c r="AC161" s="57">
        <v>0</v>
      </c>
      <c r="AD161" s="57">
        <v>0</v>
      </c>
      <c r="AE161" s="57">
        <v>0</v>
      </c>
      <c r="AF161" s="57">
        <v>0</v>
      </c>
      <c r="AG161" s="57">
        <v>0</v>
      </c>
      <c r="AH161" s="57">
        <v>0</v>
      </c>
      <c r="AI161" s="57">
        <v>0</v>
      </c>
      <c r="AJ161" s="57">
        <v>0</v>
      </c>
      <c r="AK161" s="57">
        <v>0</v>
      </c>
      <c r="AL161" s="57">
        <v>0</v>
      </c>
      <c r="AM161" s="57">
        <v>0</v>
      </c>
      <c r="AN161" s="57">
        <v>0</v>
      </c>
      <c r="AO161" s="57">
        <v>0</v>
      </c>
      <c r="AP161" s="57">
        <v>0</v>
      </c>
      <c r="AQ161" s="57">
        <v>0</v>
      </c>
      <c r="AR161" s="57">
        <v>0</v>
      </c>
      <c r="AS161" s="57">
        <v>0</v>
      </c>
      <c r="AT161" s="57">
        <v>0</v>
      </c>
      <c r="AU161" s="57">
        <v>0</v>
      </c>
      <c r="AV161" s="57">
        <v>0</v>
      </c>
      <c r="AW161" s="57">
        <v>0</v>
      </c>
      <c r="AX161" s="57">
        <v>0</v>
      </c>
      <c r="AY161" s="57">
        <v>0</v>
      </c>
      <c r="AZ161" s="57">
        <v>0</v>
      </c>
      <c r="BA161" s="57">
        <v>0</v>
      </c>
      <c r="BB161" s="57">
        <v>0</v>
      </c>
      <c r="BC161" s="57">
        <v>0</v>
      </c>
      <c r="BD161" s="57">
        <v>0</v>
      </c>
      <c r="BE161" s="57">
        <v>0</v>
      </c>
      <c r="BF161" s="57">
        <v>0</v>
      </c>
      <c r="BG161" s="57">
        <v>0</v>
      </c>
      <c r="BH161" s="57">
        <v>0</v>
      </c>
      <c r="BI161" s="57">
        <v>0</v>
      </c>
      <c r="BJ161" s="57">
        <v>0</v>
      </c>
      <c r="BK161" s="57">
        <v>0</v>
      </c>
      <c r="BL161" s="57">
        <v>0</v>
      </c>
      <c r="BM161" s="57">
        <v>0</v>
      </c>
      <c r="BN161" s="57">
        <v>0</v>
      </c>
      <c r="BO161" s="57">
        <v>0</v>
      </c>
      <c r="BP161" s="57">
        <v>0</v>
      </c>
      <c r="BQ161" s="57">
        <v>0</v>
      </c>
      <c r="BR161" s="57">
        <v>0</v>
      </c>
      <c r="BS161" s="57">
        <v>0</v>
      </c>
      <c r="BT161" s="57">
        <v>0</v>
      </c>
      <c r="BU161" s="57">
        <v>0</v>
      </c>
      <c r="BV161" s="57">
        <v>0</v>
      </c>
      <c r="BW161" s="57">
        <v>0</v>
      </c>
      <c r="BX161" s="57">
        <v>0</v>
      </c>
      <c r="BY161" s="57">
        <v>0</v>
      </c>
      <c r="BZ161" s="57">
        <v>0</v>
      </c>
      <c r="CA161" s="57">
        <v>0</v>
      </c>
      <c r="CB161" s="57">
        <v>0</v>
      </c>
      <c r="CC161" s="57">
        <v>0</v>
      </c>
      <c r="CD161" s="57">
        <v>0</v>
      </c>
      <c r="CE161" s="57">
        <v>0</v>
      </c>
      <c r="CF161" s="57">
        <v>0</v>
      </c>
      <c r="CG161" s="57">
        <v>0</v>
      </c>
      <c r="CH161" s="57">
        <v>0</v>
      </c>
      <c r="CI161" s="57">
        <v>0</v>
      </c>
      <c r="CJ161" s="57">
        <v>0</v>
      </c>
      <c r="CK161" s="57">
        <v>0</v>
      </c>
      <c r="CL161" s="57">
        <v>0</v>
      </c>
      <c r="CM161" s="57">
        <v>0</v>
      </c>
      <c r="CN161" s="57">
        <v>0</v>
      </c>
      <c r="CO161" s="57">
        <v>0</v>
      </c>
      <c r="CP161" s="57">
        <v>0</v>
      </c>
      <c r="CQ161" s="57">
        <v>0</v>
      </c>
      <c r="CR161" s="57">
        <v>0</v>
      </c>
      <c r="CS161" s="57">
        <v>0</v>
      </c>
      <c r="CT161" s="57">
        <v>0</v>
      </c>
      <c r="CU161" s="57">
        <v>0</v>
      </c>
      <c r="CV161" s="57">
        <v>0</v>
      </c>
      <c r="CW161" s="57">
        <v>0</v>
      </c>
      <c r="CX161" s="57">
        <v>0</v>
      </c>
      <c r="CY161" s="57">
        <v>0</v>
      </c>
      <c r="CZ161" s="57">
        <v>0</v>
      </c>
      <c r="DA161" s="57">
        <v>0</v>
      </c>
      <c r="DB161" s="57">
        <v>0</v>
      </c>
      <c r="DC161" s="57">
        <v>0</v>
      </c>
      <c r="DD161" s="57">
        <v>0</v>
      </c>
      <c r="DE161" s="57">
        <v>0</v>
      </c>
      <c r="DF161" s="57">
        <v>0</v>
      </c>
      <c r="DG161" s="137">
        <v>0</v>
      </c>
      <c r="DH161" s="137">
        <v>0</v>
      </c>
      <c r="DI161" s="137">
        <v>0</v>
      </c>
      <c r="DJ161" s="137">
        <v>0</v>
      </c>
      <c r="DK161" s="137">
        <v>0</v>
      </c>
      <c r="DL161" s="137">
        <v>0</v>
      </c>
      <c r="DM161" s="137">
        <v>0</v>
      </c>
      <c r="DN161" s="137">
        <v>0</v>
      </c>
      <c r="DO161" s="137">
        <v>0</v>
      </c>
      <c r="DP161" s="137">
        <v>0</v>
      </c>
      <c r="DQ161" s="137">
        <v>0</v>
      </c>
      <c r="DR161" s="137">
        <v>0</v>
      </c>
      <c r="DS161" s="137">
        <v>0</v>
      </c>
      <c r="DT161" s="137">
        <v>0</v>
      </c>
      <c r="DU161" s="137">
        <v>0</v>
      </c>
      <c r="DV161" s="137">
        <v>0</v>
      </c>
      <c r="DW161" s="137">
        <v>0</v>
      </c>
      <c r="DX161" s="137">
        <v>0</v>
      </c>
      <c r="DY161" s="137">
        <v>0</v>
      </c>
      <c r="DZ161" s="137">
        <v>0</v>
      </c>
      <c r="EA161" s="137">
        <v>0</v>
      </c>
    </row>
    <row r="162" spans="1:131" x14ac:dyDescent="0.35">
      <c r="A162" s="90" t="e">
        <f>VLOOKUP(E162,'Validation List'!F163:G558,2,FALSE)</f>
        <v>#N/A</v>
      </c>
      <c r="B162" s="90" t="e">
        <f>INDEX('NEW HIRE ROSTER'!$G:$G,MATCH(RAW!F162,'NEW HIRE ROSTER'!$A:$A,0))</f>
        <v>#N/A</v>
      </c>
      <c r="C162" s="90" t="e">
        <f>INDEX('NEW HIRE ROSTER'!$F:$F,MATCH(RAW!F162,'NEW HIRE ROSTER'!$A:$A,0))</f>
        <v>#N/A</v>
      </c>
      <c r="D162" s="90" t="e">
        <f>INDEX('Validation List'!$H:$H,MATCH(RAW!E162,'Validation List'!$F:$F,0))</f>
        <v>#N/A</v>
      </c>
      <c r="G162" s="90" t="e">
        <f>VLOOKUP(F162,ML!C146:D744,2,FALSE)</f>
        <v>#N/A</v>
      </c>
      <c r="H162" s="90" t="e">
        <f>VLOOKUP(F162,ML!C146:E744,3,FALSE)</f>
        <v>#N/A</v>
      </c>
      <c r="M162" s="56"/>
    </row>
    <row r="163" spans="1:131" x14ac:dyDescent="0.35">
      <c r="A163" s="90" t="e">
        <f>VLOOKUP(E163,'Validation List'!F164:G559,2,FALSE)</f>
        <v>#N/A</v>
      </c>
      <c r="B163" s="90" t="e">
        <f>INDEX('NEW HIRE ROSTER'!$G:$G,MATCH(RAW!F163,'NEW HIRE ROSTER'!$A:$A,0))</f>
        <v>#N/A</v>
      </c>
      <c r="C163" s="90" t="e">
        <f>INDEX('NEW HIRE ROSTER'!$F:$F,MATCH(RAW!F163,'NEW HIRE ROSTER'!$A:$A,0))</f>
        <v>#N/A</v>
      </c>
      <c r="D163" s="90" t="e">
        <f>INDEX('Validation List'!$H:$H,MATCH(RAW!E163,'Validation List'!$F:$F,0))</f>
        <v>#N/A</v>
      </c>
      <c r="G163" s="90" t="e">
        <f>VLOOKUP(F163,ML!C147:D745,2,FALSE)</f>
        <v>#N/A</v>
      </c>
      <c r="H163" s="90" t="e">
        <f>VLOOKUP(F163,ML!C147:E745,3,FALSE)</f>
        <v>#N/A</v>
      </c>
      <c r="M163" s="56"/>
    </row>
    <row r="164" spans="1:131" x14ac:dyDescent="0.35">
      <c r="A164" s="90" t="e">
        <f>VLOOKUP(E164,'Validation List'!F165:G560,2,FALSE)</f>
        <v>#N/A</v>
      </c>
      <c r="B164" s="90" t="e">
        <f>INDEX('NEW HIRE ROSTER'!$G:$G,MATCH(RAW!F164,'NEW HIRE ROSTER'!$A:$A,0))</f>
        <v>#N/A</v>
      </c>
      <c r="C164" s="90" t="e">
        <f>INDEX('NEW HIRE ROSTER'!$F:$F,MATCH(RAW!F164,'NEW HIRE ROSTER'!$A:$A,0))</f>
        <v>#N/A</v>
      </c>
      <c r="D164" s="90" t="e">
        <f>INDEX('Validation List'!$H:$H,MATCH(RAW!E164,'Validation List'!$F:$F,0))</f>
        <v>#N/A</v>
      </c>
      <c r="G164" s="90" t="e">
        <f>VLOOKUP(F164,ML!C148:D746,2,FALSE)</f>
        <v>#N/A</v>
      </c>
      <c r="H164" s="90" t="e">
        <f>VLOOKUP(F164,ML!C148:E746,3,FALSE)</f>
        <v>#N/A</v>
      </c>
      <c r="M164" s="56"/>
    </row>
    <row r="165" spans="1:131" x14ac:dyDescent="0.35">
      <c r="A165" s="90" t="e">
        <f>VLOOKUP(E165,'Validation List'!F166:G561,2,FALSE)</f>
        <v>#N/A</v>
      </c>
      <c r="B165" s="90" t="e">
        <f>INDEX('NEW HIRE ROSTER'!$G:$G,MATCH(RAW!F165,'NEW HIRE ROSTER'!$A:$A,0))</f>
        <v>#N/A</v>
      </c>
      <c r="C165" s="90" t="e">
        <f>INDEX('NEW HIRE ROSTER'!$F:$F,MATCH(RAW!F165,'NEW HIRE ROSTER'!$A:$A,0))</f>
        <v>#N/A</v>
      </c>
      <c r="D165" s="90" t="e">
        <f>INDEX('Validation List'!$H:$H,MATCH(RAW!E165,'Validation List'!$F:$F,0))</f>
        <v>#N/A</v>
      </c>
      <c r="G165" s="90" t="e">
        <f>VLOOKUP(F165,ML!C149:D747,2,FALSE)</f>
        <v>#N/A</v>
      </c>
      <c r="H165" s="90" t="e">
        <f>VLOOKUP(F165,ML!C149:E747,3,FALSE)</f>
        <v>#N/A</v>
      </c>
      <c r="M165" s="56"/>
    </row>
    <row r="166" spans="1:131" x14ac:dyDescent="0.35">
      <c r="A166" s="90" t="e">
        <f>VLOOKUP(E166,'Validation List'!F167:G562,2,FALSE)</f>
        <v>#N/A</v>
      </c>
      <c r="B166" s="90" t="e">
        <f>INDEX('NEW HIRE ROSTER'!$G:$G,MATCH(RAW!F166,'NEW HIRE ROSTER'!$A:$A,0))</f>
        <v>#N/A</v>
      </c>
      <c r="C166" s="90" t="e">
        <f>INDEX('NEW HIRE ROSTER'!$F:$F,MATCH(RAW!F166,'NEW HIRE ROSTER'!$A:$A,0))</f>
        <v>#N/A</v>
      </c>
      <c r="D166" s="90" t="e">
        <f>INDEX('Validation List'!$H:$H,MATCH(RAW!E166,'Validation List'!$F:$F,0))</f>
        <v>#N/A</v>
      </c>
      <c r="G166" s="90" t="e">
        <f>VLOOKUP(F166,ML!C150:D748,2,FALSE)</f>
        <v>#N/A</v>
      </c>
      <c r="H166" s="90" t="e">
        <f>VLOOKUP(F166,ML!C150:E748,3,FALSE)</f>
        <v>#N/A</v>
      </c>
      <c r="M166" s="56"/>
    </row>
    <row r="167" spans="1:131" x14ac:dyDescent="0.35">
      <c r="A167" s="90" t="e">
        <f>VLOOKUP(E167,'Validation List'!F168:G563,2,FALSE)</f>
        <v>#N/A</v>
      </c>
      <c r="B167" s="90" t="e">
        <f>INDEX('NEW HIRE ROSTER'!$G:$G,MATCH(RAW!F167,'NEW HIRE ROSTER'!$A:$A,0))</f>
        <v>#N/A</v>
      </c>
      <c r="C167" s="90" t="e">
        <f>INDEX('NEW HIRE ROSTER'!$F:$F,MATCH(RAW!F167,'NEW HIRE ROSTER'!$A:$A,0))</f>
        <v>#N/A</v>
      </c>
      <c r="D167" s="90" t="e">
        <f>INDEX('Validation List'!$H:$H,MATCH(RAW!E167,'Validation List'!$F:$F,0))</f>
        <v>#N/A</v>
      </c>
      <c r="G167" s="90" t="e">
        <f>VLOOKUP(F167,ML!C151:D749,2,FALSE)</f>
        <v>#N/A</v>
      </c>
      <c r="H167" s="90" t="e">
        <f>VLOOKUP(F167,ML!C151:E749,3,FALSE)</f>
        <v>#N/A</v>
      </c>
      <c r="M167" s="56"/>
    </row>
    <row r="168" spans="1:131" x14ac:dyDescent="0.35">
      <c r="A168" s="90" t="e">
        <f>VLOOKUP(E168,'Validation List'!F169:G564,2,FALSE)</f>
        <v>#N/A</v>
      </c>
      <c r="B168" s="90" t="e">
        <f>INDEX('NEW HIRE ROSTER'!$G:$G,MATCH(RAW!F168,'NEW HIRE ROSTER'!$A:$A,0))</f>
        <v>#N/A</v>
      </c>
      <c r="C168" s="90" t="e">
        <f>INDEX('NEW HIRE ROSTER'!$F:$F,MATCH(RAW!F168,'NEW HIRE ROSTER'!$A:$A,0))</f>
        <v>#N/A</v>
      </c>
      <c r="D168" s="90" t="e">
        <f>INDEX('Validation List'!$H:$H,MATCH(RAW!E168,'Validation List'!$F:$F,0))</f>
        <v>#N/A</v>
      </c>
      <c r="G168" s="90" t="e">
        <f>VLOOKUP(F168,ML!C152:D750,2,FALSE)</f>
        <v>#N/A</v>
      </c>
      <c r="H168" s="90" t="e">
        <f>VLOOKUP(F168,ML!C152:E750,3,FALSE)</f>
        <v>#N/A</v>
      </c>
      <c r="M168" s="56"/>
    </row>
    <row r="169" spans="1:131" x14ac:dyDescent="0.35">
      <c r="A169" s="90" t="e">
        <f>VLOOKUP(E169,'Validation List'!F170:G565,2,FALSE)</f>
        <v>#N/A</v>
      </c>
      <c r="B169" s="90" t="e">
        <f>INDEX('NEW HIRE ROSTER'!$G:$G,MATCH(RAW!F169,'NEW HIRE ROSTER'!$A:$A,0))</f>
        <v>#N/A</v>
      </c>
      <c r="C169" s="90" t="e">
        <f>INDEX('NEW HIRE ROSTER'!$F:$F,MATCH(RAW!F169,'NEW HIRE ROSTER'!$A:$A,0))</f>
        <v>#N/A</v>
      </c>
      <c r="D169" s="90" t="e">
        <f>INDEX('Validation List'!$H:$H,MATCH(RAW!E169,'Validation List'!$F:$F,0))</f>
        <v>#N/A</v>
      </c>
      <c r="G169" s="90" t="e">
        <f>VLOOKUP(F169,ML!C153:D751,2,FALSE)</f>
        <v>#N/A</v>
      </c>
      <c r="H169" s="90" t="e">
        <f>VLOOKUP(F169,ML!C153:E751,3,FALSE)</f>
        <v>#N/A</v>
      </c>
      <c r="M169" s="56"/>
    </row>
    <row r="170" spans="1:131" x14ac:dyDescent="0.35">
      <c r="A170" s="90" t="e">
        <f>VLOOKUP(E170,'Validation List'!F171:G566,2,FALSE)</f>
        <v>#N/A</v>
      </c>
      <c r="B170" s="90" t="e">
        <f>INDEX('NEW HIRE ROSTER'!$G:$G,MATCH(RAW!F170,'NEW HIRE ROSTER'!$A:$A,0))</f>
        <v>#N/A</v>
      </c>
      <c r="C170" s="90" t="e">
        <f>INDEX('NEW HIRE ROSTER'!$F:$F,MATCH(RAW!F170,'NEW HIRE ROSTER'!$A:$A,0))</f>
        <v>#N/A</v>
      </c>
      <c r="D170" s="90" t="e">
        <f>INDEX('Validation List'!$H:$H,MATCH(RAW!E170,'Validation List'!$F:$F,0))</f>
        <v>#N/A</v>
      </c>
      <c r="G170" s="90" t="e">
        <f>VLOOKUP(F170,ML!C154:D752,2,FALSE)</f>
        <v>#N/A</v>
      </c>
      <c r="H170" s="90" t="e">
        <f>VLOOKUP(F170,ML!C154:E752,3,FALSE)</f>
        <v>#N/A</v>
      </c>
    </row>
    <row r="171" spans="1:131" x14ac:dyDescent="0.35">
      <c r="A171" s="90" t="e">
        <f>VLOOKUP(E171,'Validation List'!F172:G567,2,FALSE)</f>
        <v>#N/A</v>
      </c>
      <c r="B171" s="90" t="e">
        <f>INDEX('NEW HIRE ROSTER'!$G:$G,MATCH(RAW!F171,'NEW HIRE ROSTER'!$A:$A,0))</f>
        <v>#N/A</v>
      </c>
      <c r="C171" s="90" t="e">
        <f>INDEX('NEW HIRE ROSTER'!$F:$F,MATCH(RAW!F171,'NEW HIRE ROSTER'!$A:$A,0))</f>
        <v>#N/A</v>
      </c>
      <c r="D171" s="90" t="e">
        <f>INDEX('Validation List'!$H:$H,MATCH(RAW!E171,'Validation List'!$F:$F,0))</f>
        <v>#N/A</v>
      </c>
      <c r="G171" s="90" t="e">
        <f>VLOOKUP(F171,ML!C155:D753,2,FALSE)</f>
        <v>#N/A</v>
      </c>
      <c r="H171" s="90" t="e">
        <f>VLOOKUP(F171,ML!C155:E753,3,FALSE)</f>
        <v>#N/A</v>
      </c>
    </row>
    <row r="172" spans="1:131" x14ac:dyDescent="0.35">
      <c r="A172" s="90" t="e">
        <f>VLOOKUP(E172,'Validation List'!F173:G568,2,FALSE)</f>
        <v>#N/A</v>
      </c>
      <c r="B172" s="90" t="e">
        <f>INDEX('NEW HIRE ROSTER'!$G:$G,MATCH(RAW!F172,'NEW HIRE ROSTER'!$A:$A,0))</f>
        <v>#N/A</v>
      </c>
      <c r="C172" s="90" t="e">
        <f>INDEX('NEW HIRE ROSTER'!$F:$F,MATCH(RAW!F172,'NEW HIRE ROSTER'!$A:$A,0))</f>
        <v>#N/A</v>
      </c>
      <c r="D172" s="90" t="e">
        <f>INDEX('Validation List'!$H:$H,MATCH(RAW!E172,'Validation List'!$F:$F,0))</f>
        <v>#N/A</v>
      </c>
      <c r="G172" s="90" t="e">
        <f>VLOOKUP(F172,ML!C156:D754,2,FALSE)</f>
        <v>#N/A</v>
      </c>
      <c r="H172" s="90" t="e">
        <f>VLOOKUP(F172,ML!C156:E754,3,FALSE)</f>
        <v>#N/A</v>
      </c>
    </row>
    <row r="173" spans="1:131" x14ac:dyDescent="0.35">
      <c r="A173" s="90" t="e">
        <f>VLOOKUP(E173,'Validation List'!F174:G569,2,FALSE)</f>
        <v>#N/A</v>
      </c>
      <c r="B173" s="90" t="e">
        <f>INDEX('NEW HIRE ROSTER'!$G:$G,MATCH(RAW!F173,'NEW HIRE ROSTER'!$A:$A,0))</f>
        <v>#N/A</v>
      </c>
      <c r="C173" s="90" t="e">
        <f>INDEX('NEW HIRE ROSTER'!$F:$F,MATCH(RAW!F173,'NEW HIRE ROSTER'!$A:$A,0))</f>
        <v>#N/A</v>
      </c>
      <c r="D173" s="90" t="e">
        <f>INDEX('Validation List'!$H:$H,MATCH(RAW!E173,'Validation List'!$F:$F,0))</f>
        <v>#N/A</v>
      </c>
      <c r="G173" s="90" t="e">
        <f>VLOOKUP(F173,ML!C157:D755,2,FALSE)</f>
        <v>#N/A</v>
      </c>
      <c r="H173" s="90" t="e">
        <f>VLOOKUP(F173,ML!C157:E755,3,FALSE)</f>
        <v>#N/A</v>
      </c>
    </row>
    <row r="174" spans="1:131" x14ac:dyDescent="0.35">
      <c r="A174" s="90" t="e">
        <f>VLOOKUP(E174,'Validation List'!F175:G570,2,FALSE)</f>
        <v>#N/A</v>
      </c>
      <c r="B174" s="90" t="e">
        <f>INDEX('NEW HIRE ROSTER'!$G:$G,MATCH(RAW!F174,'NEW HIRE ROSTER'!$A:$A,0))</f>
        <v>#N/A</v>
      </c>
      <c r="C174" s="90" t="e">
        <f>INDEX('NEW HIRE ROSTER'!$F:$F,MATCH(RAW!F174,'NEW HIRE ROSTER'!$A:$A,0))</f>
        <v>#N/A</v>
      </c>
      <c r="D174" s="90" t="e">
        <f>INDEX('Validation List'!$H:$H,MATCH(RAW!E174,'Validation List'!$F:$F,0))</f>
        <v>#N/A</v>
      </c>
      <c r="G174" s="90" t="e">
        <f>VLOOKUP(F174,ML!C158:D756,2,FALSE)</f>
        <v>#N/A</v>
      </c>
      <c r="H174" s="90" t="e">
        <f>VLOOKUP(F174,ML!C158:E756,3,FALSE)</f>
        <v>#N/A</v>
      </c>
    </row>
    <row r="175" spans="1:131" x14ac:dyDescent="0.35">
      <c r="A175" s="90" t="e">
        <f>VLOOKUP(E175,'Validation List'!F176:G571,2,FALSE)</f>
        <v>#N/A</v>
      </c>
      <c r="B175" s="90" t="e">
        <f>INDEX('NEW HIRE ROSTER'!$G:$G,MATCH(RAW!F175,'NEW HIRE ROSTER'!$A:$A,0))</f>
        <v>#N/A</v>
      </c>
      <c r="C175" s="90" t="e">
        <f>INDEX('NEW HIRE ROSTER'!$F:$F,MATCH(RAW!F175,'NEW HIRE ROSTER'!$A:$A,0))</f>
        <v>#N/A</v>
      </c>
      <c r="D175" s="90" t="e">
        <f>INDEX('Validation List'!$H:$H,MATCH(RAW!E175,'Validation List'!$F:$F,0))</f>
        <v>#N/A</v>
      </c>
      <c r="G175" s="90" t="e">
        <f>VLOOKUP(F175,ML!C159:D757,2,FALSE)</f>
        <v>#N/A</v>
      </c>
      <c r="H175" s="90" t="e">
        <f>VLOOKUP(F175,ML!C159:E757,3,FALSE)</f>
        <v>#N/A</v>
      </c>
    </row>
    <row r="176" spans="1:131" x14ac:dyDescent="0.35">
      <c r="A176" s="90" t="e">
        <f>VLOOKUP(E176,'Validation List'!F177:G572,2,FALSE)</f>
        <v>#N/A</v>
      </c>
      <c r="B176" s="90" t="e">
        <f>INDEX('NEW HIRE ROSTER'!$G:$G,MATCH(RAW!F176,'NEW HIRE ROSTER'!$A:$A,0))</f>
        <v>#N/A</v>
      </c>
      <c r="C176" s="90" t="e">
        <f>INDEX('NEW HIRE ROSTER'!$F:$F,MATCH(RAW!F176,'NEW HIRE ROSTER'!$A:$A,0))</f>
        <v>#N/A</v>
      </c>
      <c r="D176" s="90" t="e">
        <f>INDEX('Validation List'!$H:$H,MATCH(RAW!E176,'Validation List'!$F:$F,0))</f>
        <v>#N/A</v>
      </c>
      <c r="G176" s="90" t="e">
        <f>VLOOKUP(F176,ML!C160:D758,2,FALSE)</f>
        <v>#N/A</v>
      </c>
      <c r="H176" s="90" t="e">
        <f>VLOOKUP(F176,ML!C160:E758,3,FALSE)</f>
        <v>#N/A</v>
      </c>
    </row>
    <row r="177" spans="1:8" x14ac:dyDescent="0.35">
      <c r="A177" s="90" t="e">
        <f>VLOOKUP(E177,'Validation List'!F178:G573,2,FALSE)</f>
        <v>#N/A</v>
      </c>
      <c r="B177" s="90" t="e">
        <f>INDEX('NEW HIRE ROSTER'!$G:$G,MATCH(RAW!F177,'NEW HIRE ROSTER'!$A:$A,0))</f>
        <v>#N/A</v>
      </c>
      <c r="C177" s="90" t="e">
        <f>INDEX('NEW HIRE ROSTER'!$F:$F,MATCH(RAW!F177,'NEW HIRE ROSTER'!$A:$A,0))</f>
        <v>#N/A</v>
      </c>
      <c r="D177" s="90" t="e">
        <f>INDEX('Validation List'!$H:$H,MATCH(RAW!E177,'Validation List'!$F:$F,0))</f>
        <v>#N/A</v>
      </c>
      <c r="G177" s="90" t="e">
        <f>VLOOKUP(F177,ML!C161:D759,2,FALSE)</f>
        <v>#N/A</v>
      </c>
      <c r="H177" s="90" t="e">
        <f>VLOOKUP(F177,ML!C161:E759,3,FALSE)</f>
        <v>#N/A</v>
      </c>
    </row>
    <row r="178" spans="1:8" x14ac:dyDescent="0.35">
      <c r="A178" s="90" t="e">
        <f>VLOOKUP(E178,'Validation List'!F179:G574,2,FALSE)</f>
        <v>#N/A</v>
      </c>
      <c r="B178" s="90" t="e">
        <f>INDEX('NEW HIRE ROSTER'!$G:$G,MATCH(RAW!F178,'NEW HIRE ROSTER'!$A:$A,0))</f>
        <v>#N/A</v>
      </c>
      <c r="C178" s="90" t="e">
        <f>INDEX('NEW HIRE ROSTER'!$F:$F,MATCH(RAW!F178,'NEW HIRE ROSTER'!$A:$A,0))</f>
        <v>#N/A</v>
      </c>
      <c r="D178" s="90" t="e">
        <f>INDEX('Validation List'!$H:$H,MATCH(RAW!E178,'Validation List'!$F:$F,0))</f>
        <v>#N/A</v>
      </c>
      <c r="G178" s="90" t="e">
        <f>VLOOKUP(F178,ML!C162:D760,2,FALSE)</f>
        <v>#N/A</v>
      </c>
      <c r="H178" s="90" t="e">
        <f>VLOOKUP(F178,ML!C162:E760,3,FALSE)</f>
        <v>#N/A</v>
      </c>
    </row>
    <row r="179" spans="1:8" x14ac:dyDescent="0.35">
      <c r="A179" s="90" t="e">
        <f>VLOOKUP(E179,'Validation List'!F180:G575,2,FALSE)</f>
        <v>#N/A</v>
      </c>
      <c r="B179" s="90" t="e">
        <f>INDEX('NEW HIRE ROSTER'!$G:$G,MATCH(RAW!F179,'NEW HIRE ROSTER'!$A:$A,0))</f>
        <v>#N/A</v>
      </c>
      <c r="C179" s="90" t="e">
        <f>INDEX('NEW HIRE ROSTER'!$F:$F,MATCH(RAW!F179,'NEW HIRE ROSTER'!$A:$A,0))</f>
        <v>#N/A</v>
      </c>
      <c r="D179" s="90" t="e">
        <f>INDEX('Validation List'!$H:$H,MATCH(RAW!E179,'Validation List'!$F:$F,0))</f>
        <v>#N/A</v>
      </c>
      <c r="G179" s="90" t="e">
        <f>VLOOKUP(F179,ML!C163:D761,2,FALSE)</f>
        <v>#N/A</v>
      </c>
      <c r="H179" s="90" t="e">
        <f>VLOOKUP(F179,ML!C163:E761,3,FALSE)</f>
        <v>#N/A</v>
      </c>
    </row>
    <row r="180" spans="1:8" x14ac:dyDescent="0.35">
      <c r="A180" s="90" t="e">
        <f>VLOOKUP(E180,'Validation List'!F181:G576,2,FALSE)</f>
        <v>#N/A</v>
      </c>
      <c r="B180" s="90" t="e">
        <f>INDEX('NEW HIRE ROSTER'!$G:$G,MATCH(RAW!F180,'NEW HIRE ROSTER'!$A:$A,0))</f>
        <v>#N/A</v>
      </c>
      <c r="C180" s="90" t="e">
        <f>INDEX('NEW HIRE ROSTER'!$F:$F,MATCH(RAW!F180,'NEW HIRE ROSTER'!$A:$A,0))</f>
        <v>#N/A</v>
      </c>
      <c r="D180" s="90" t="e">
        <f>INDEX('Validation List'!$H:$H,MATCH(RAW!E180,'Validation List'!$F:$F,0))</f>
        <v>#N/A</v>
      </c>
      <c r="G180" s="90" t="e">
        <f>VLOOKUP(F180,ML!C164:D762,2,FALSE)</f>
        <v>#N/A</v>
      </c>
      <c r="H180" s="90" t="e">
        <f>VLOOKUP(F180,ML!C164:E762,3,FALSE)</f>
        <v>#N/A</v>
      </c>
    </row>
    <row r="181" spans="1:8" x14ac:dyDescent="0.35">
      <c r="A181" s="90" t="e">
        <f>VLOOKUP(E181,'Validation List'!F182:G577,2,FALSE)</f>
        <v>#N/A</v>
      </c>
      <c r="B181" s="90" t="e">
        <f>INDEX('NEW HIRE ROSTER'!$G:$G,MATCH(RAW!F181,'NEW HIRE ROSTER'!$A:$A,0))</f>
        <v>#N/A</v>
      </c>
      <c r="C181" s="90" t="e">
        <f>INDEX('NEW HIRE ROSTER'!$F:$F,MATCH(RAW!F181,'NEW HIRE ROSTER'!$A:$A,0))</f>
        <v>#N/A</v>
      </c>
      <c r="D181" s="90" t="e">
        <f>INDEX('Validation List'!$H:$H,MATCH(RAW!E181,'Validation List'!$F:$F,0))</f>
        <v>#N/A</v>
      </c>
      <c r="G181" s="90" t="e">
        <f>VLOOKUP(F181,ML!C165:D763,2,FALSE)</f>
        <v>#N/A</v>
      </c>
      <c r="H181" s="90" t="e">
        <f>VLOOKUP(F181,ML!C165:E763,3,FALSE)</f>
        <v>#N/A</v>
      </c>
    </row>
    <row r="182" spans="1:8" x14ac:dyDescent="0.35">
      <c r="A182" s="90" t="e">
        <f>VLOOKUP(E182,'Validation List'!F183:G578,2,FALSE)</f>
        <v>#N/A</v>
      </c>
      <c r="B182" s="90" t="e">
        <f>INDEX('NEW HIRE ROSTER'!$G:$G,MATCH(RAW!F182,'NEW HIRE ROSTER'!$A:$A,0))</f>
        <v>#N/A</v>
      </c>
      <c r="C182" s="90" t="e">
        <f>INDEX('NEW HIRE ROSTER'!$F:$F,MATCH(RAW!F182,'NEW HIRE ROSTER'!$A:$A,0))</f>
        <v>#N/A</v>
      </c>
      <c r="D182" s="90" t="e">
        <f>INDEX('Validation List'!$H:$H,MATCH(RAW!E182,'Validation List'!$F:$F,0))</f>
        <v>#N/A</v>
      </c>
      <c r="G182" s="90" t="e">
        <f>VLOOKUP(F182,ML!C166:D764,2,FALSE)</f>
        <v>#N/A</v>
      </c>
      <c r="H182" s="90" t="e">
        <f>VLOOKUP(F182,ML!C166:E764,3,FALSE)</f>
        <v>#N/A</v>
      </c>
    </row>
    <row r="183" spans="1:8" x14ac:dyDescent="0.35">
      <c r="A183" s="90" t="e">
        <f>VLOOKUP(E183,'Validation List'!F184:G579,2,FALSE)</f>
        <v>#N/A</v>
      </c>
      <c r="B183" s="90" t="e">
        <f>INDEX('NEW HIRE ROSTER'!$G:$G,MATCH(RAW!F183,'NEW HIRE ROSTER'!$A:$A,0))</f>
        <v>#N/A</v>
      </c>
      <c r="C183" s="90" t="e">
        <f>INDEX('NEW HIRE ROSTER'!$F:$F,MATCH(RAW!F183,'NEW HIRE ROSTER'!$A:$A,0))</f>
        <v>#N/A</v>
      </c>
      <c r="D183" s="90" t="e">
        <f>INDEX('Validation List'!$H:$H,MATCH(RAW!E183,'Validation List'!$F:$F,0))</f>
        <v>#N/A</v>
      </c>
      <c r="G183" s="90" t="e">
        <f>VLOOKUP(F183,ML!C167:D765,2,FALSE)</f>
        <v>#N/A</v>
      </c>
      <c r="H183" s="90" t="e">
        <f>VLOOKUP(F183,ML!C167:E765,3,FALSE)</f>
        <v>#N/A</v>
      </c>
    </row>
    <row r="184" spans="1:8" x14ac:dyDescent="0.35">
      <c r="A184" s="90" t="e">
        <f>VLOOKUP(E184,'Validation List'!F185:G580,2,FALSE)</f>
        <v>#N/A</v>
      </c>
      <c r="B184" s="90" t="e">
        <f>INDEX('NEW HIRE ROSTER'!$G:$G,MATCH(RAW!F184,'NEW HIRE ROSTER'!$A:$A,0))</f>
        <v>#N/A</v>
      </c>
      <c r="C184" s="90" t="e">
        <f>INDEX('NEW HIRE ROSTER'!$F:$F,MATCH(RAW!F184,'NEW HIRE ROSTER'!$A:$A,0))</f>
        <v>#N/A</v>
      </c>
      <c r="D184" s="90" t="e">
        <f>INDEX('Validation List'!$H:$H,MATCH(RAW!E184,'Validation List'!$F:$F,0))</f>
        <v>#N/A</v>
      </c>
      <c r="G184" s="90" t="e">
        <f>VLOOKUP(F184,ML!C168:D766,2,FALSE)</f>
        <v>#N/A</v>
      </c>
      <c r="H184" s="90" t="e">
        <f>VLOOKUP(F184,ML!C168:E766,3,FALSE)</f>
        <v>#N/A</v>
      </c>
    </row>
    <row r="185" spans="1:8" x14ac:dyDescent="0.35">
      <c r="A185" s="90" t="e">
        <f>VLOOKUP(E185,'Validation List'!F186:G581,2,FALSE)</f>
        <v>#N/A</v>
      </c>
      <c r="B185" s="90" t="e">
        <f>INDEX('NEW HIRE ROSTER'!$G:$G,MATCH(RAW!F185,'NEW HIRE ROSTER'!$A:$A,0))</f>
        <v>#N/A</v>
      </c>
      <c r="C185" s="90" t="e">
        <f>INDEX('NEW HIRE ROSTER'!$F:$F,MATCH(RAW!F185,'NEW HIRE ROSTER'!$A:$A,0))</f>
        <v>#N/A</v>
      </c>
      <c r="D185" s="90" t="e">
        <f>INDEX('Validation List'!$H:$H,MATCH(RAW!E185,'Validation List'!$F:$F,0))</f>
        <v>#N/A</v>
      </c>
      <c r="G185" s="90" t="e">
        <f>VLOOKUP(F185,ML!C169:D767,2,FALSE)</f>
        <v>#N/A</v>
      </c>
      <c r="H185" s="90" t="e">
        <f>VLOOKUP(F185,ML!C169:E767,3,FALSE)</f>
        <v>#N/A</v>
      </c>
    </row>
    <row r="186" spans="1:8" x14ac:dyDescent="0.35">
      <c r="A186" s="90" t="e">
        <f>VLOOKUP(E186,'Validation List'!F187:G582,2,FALSE)</f>
        <v>#N/A</v>
      </c>
      <c r="B186" s="90" t="e">
        <f>INDEX('NEW HIRE ROSTER'!$G:$G,MATCH(RAW!F186,'NEW HIRE ROSTER'!$A:$A,0))</f>
        <v>#N/A</v>
      </c>
      <c r="C186" s="90" t="e">
        <f>INDEX('NEW HIRE ROSTER'!$F:$F,MATCH(RAW!F186,'NEW HIRE ROSTER'!$A:$A,0))</f>
        <v>#N/A</v>
      </c>
      <c r="D186" s="90" t="e">
        <f>INDEX('Validation List'!$H:$H,MATCH(RAW!E186,'Validation List'!$F:$F,0))</f>
        <v>#N/A</v>
      </c>
      <c r="G186" s="90" t="e">
        <f>VLOOKUP(F186,ML!C170:D768,2,FALSE)</f>
        <v>#N/A</v>
      </c>
      <c r="H186" s="90" t="e">
        <f>VLOOKUP(F186,ML!C170:E768,3,FALSE)</f>
        <v>#N/A</v>
      </c>
    </row>
    <row r="187" spans="1:8" x14ac:dyDescent="0.35">
      <c r="A187" s="90" t="e">
        <f>VLOOKUP(E187,'Validation List'!F188:G583,2,FALSE)</f>
        <v>#N/A</v>
      </c>
      <c r="B187" s="90" t="e">
        <f>INDEX('NEW HIRE ROSTER'!$G:$G,MATCH(RAW!F187,'NEW HIRE ROSTER'!$A:$A,0))</f>
        <v>#N/A</v>
      </c>
      <c r="C187" s="90" t="e">
        <f>INDEX('NEW HIRE ROSTER'!$F:$F,MATCH(RAW!F187,'NEW HIRE ROSTER'!$A:$A,0))</f>
        <v>#N/A</v>
      </c>
      <c r="D187" s="90" t="e">
        <f>INDEX('Validation List'!$H:$H,MATCH(RAW!E187,'Validation List'!$F:$F,0))</f>
        <v>#N/A</v>
      </c>
      <c r="G187" s="90" t="e">
        <f>VLOOKUP(F187,ML!C171:D769,2,FALSE)</f>
        <v>#N/A</v>
      </c>
      <c r="H187" s="90" t="e">
        <f>VLOOKUP(F187,ML!C171:E769,3,FALSE)</f>
        <v>#N/A</v>
      </c>
    </row>
    <row r="188" spans="1:8" x14ac:dyDescent="0.35">
      <c r="A188" s="90" t="e">
        <f>VLOOKUP(E188,'Validation List'!F189:G584,2,FALSE)</f>
        <v>#N/A</v>
      </c>
      <c r="B188" s="90" t="e">
        <f>INDEX('NEW HIRE ROSTER'!$G:$G,MATCH(RAW!F188,'NEW HIRE ROSTER'!$A:$A,0))</f>
        <v>#N/A</v>
      </c>
      <c r="C188" s="90" t="e">
        <f>INDEX('NEW HIRE ROSTER'!$F:$F,MATCH(RAW!F188,'NEW HIRE ROSTER'!$A:$A,0))</f>
        <v>#N/A</v>
      </c>
      <c r="D188" s="90" t="e">
        <f>INDEX('Validation List'!$H:$H,MATCH(RAW!E188,'Validation List'!$F:$F,0))</f>
        <v>#N/A</v>
      </c>
      <c r="G188" s="90" t="e">
        <f>VLOOKUP(F188,ML!C172:D770,2,FALSE)</f>
        <v>#N/A</v>
      </c>
      <c r="H188" s="90" t="e">
        <f>VLOOKUP(F188,ML!C172:E770,3,FALSE)</f>
        <v>#N/A</v>
      </c>
    </row>
    <row r="189" spans="1:8" x14ac:dyDescent="0.35">
      <c r="A189" s="90" t="e">
        <f>VLOOKUP(E189,'Validation List'!F190:G585,2,FALSE)</f>
        <v>#N/A</v>
      </c>
      <c r="B189" s="90" t="e">
        <f>INDEX('NEW HIRE ROSTER'!$G:$G,MATCH(RAW!F189,'NEW HIRE ROSTER'!$A:$A,0))</f>
        <v>#N/A</v>
      </c>
      <c r="C189" s="90" t="e">
        <f>INDEX('NEW HIRE ROSTER'!$F:$F,MATCH(RAW!F189,'NEW HIRE ROSTER'!$A:$A,0))</f>
        <v>#N/A</v>
      </c>
      <c r="D189" s="90" t="e">
        <f>INDEX('Validation List'!$H:$H,MATCH(RAW!E189,'Validation List'!$F:$F,0))</f>
        <v>#N/A</v>
      </c>
      <c r="G189" s="90" t="e">
        <f>VLOOKUP(F189,ML!C173:D771,2,FALSE)</f>
        <v>#N/A</v>
      </c>
      <c r="H189" s="90" t="e">
        <f>VLOOKUP(F189,ML!C173:E771,3,FALSE)</f>
        <v>#N/A</v>
      </c>
    </row>
    <row r="190" spans="1:8" x14ac:dyDescent="0.35">
      <c r="A190" s="90" t="e">
        <f>VLOOKUP(E190,'Validation List'!F191:G586,2,FALSE)</f>
        <v>#N/A</v>
      </c>
      <c r="B190" s="90" t="e">
        <f>INDEX('NEW HIRE ROSTER'!$G:$G,MATCH(RAW!F190,'NEW HIRE ROSTER'!$A:$A,0))</f>
        <v>#N/A</v>
      </c>
      <c r="C190" s="90" t="e">
        <f>INDEX('NEW HIRE ROSTER'!$F:$F,MATCH(RAW!F190,'NEW HIRE ROSTER'!$A:$A,0))</f>
        <v>#N/A</v>
      </c>
      <c r="D190" s="90" t="e">
        <f>INDEX('Validation List'!$H:$H,MATCH(RAW!E190,'Validation List'!$F:$F,0))</f>
        <v>#N/A</v>
      </c>
      <c r="G190" s="90" t="e">
        <f>VLOOKUP(F190,ML!C174:D772,2,FALSE)</f>
        <v>#N/A</v>
      </c>
      <c r="H190" s="90" t="e">
        <f>VLOOKUP(F190,ML!C174:E772,3,FALSE)</f>
        <v>#N/A</v>
      </c>
    </row>
    <row r="191" spans="1:8" x14ac:dyDescent="0.35">
      <c r="A191" s="90" t="e">
        <f>VLOOKUP(E191,'Validation List'!F192:G587,2,FALSE)</f>
        <v>#N/A</v>
      </c>
      <c r="B191" s="90" t="e">
        <f>INDEX('NEW HIRE ROSTER'!$G:$G,MATCH(RAW!F191,'NEW HIRE ROSTER'!$A:$A,0))</f>
        <v>#N/A</v>
      </c>
      <c r="C191" s="90" t="e">
        <f>INDEX('NEW HIRE ROSTER'!$F:$F,MATCH(RAW!F191,'NEW HIRE ROSTER'!$A:$A,0))</f>
        <v>#N/A</v>
      </c>
      <c r="D191" s="90" t="e">
        <f>INDEX('Validation List'!$H:$H,MATCH(RAW!E191,'Validation List'!$F:$F,0))</f>
        <v>#N/A</v>
      </c>
      <c r="G191" s="90" t="e">
        <f>VLOOKUP(F191,ML!C175:D773,2,FALSE)</f>
        <v>#N/A</v>
      </c>
      <c r="H191" s="90" t="e">
        <f>VLOOKUP(F191,ML!C175:E773,3,FALSE)</f>
        <v>#N/A</v>
      </c>
    </row>
    <row r="192" spans="1:8" x14ac:dyDescent="0.35">
      <c r="A192" s="90" t="e">
        <f>VLOOKUP(E192,'Validation List'!F193:G588,2,FALSE)</f>
        <v>#N/A</v>
      </c>
      <c r="B192" s="90" t="e">
        <f>INDEX('NEW HIRE ROSTER'!$G:$G,MATCH(RAW!F192,'NEW HIRE ROSTER'!$A:$A,0))</f>
        <v>#N/A</v>
      </c>
      <c r="C192" s="90" t="e">
        <f>INDEX('NEW HIRE ROSTER'!$F:$F,MATCH(RAW!F192,'NEW HIRE ROSTER'!$A:$A,0))</f>
        <v>#N/A</v>
      </c>
      <c r="D192" s="90" t="e">
        <f>INDEX('Validation List'!$H:$H,MATCH(RAW!E192,'Validation List'!$F:$F,0))</f>
        <v>#N/A</v>
      </c>
      <c r="G192" s="90" t="e">
        <f>VLOOKUP(F192,ML!C176:D774,2,FALSE)</f>
        <v>#N/A</v>
      </c>
      <c r="H192" s="90" t="e">
        <f>VLOOKUP(F192,ML!C176:E774,3,FALSE)</f>
        <v>#N/A</v>
      </c>
    </row>
    <row r="193" spans="1:8" x14ac:dyDescent="0.35">
      <c r="A193" s="90" t="e">
        <f>VLOOKUP(E193,'Validation List'!F194:G589,2,FALSE)</f>
        <v>#N/A</v>
      </c>
      <c r="B193" s="90" t="e">
        <f>INDEX('NEW HIRE ROSTER'!$G:$G,MATCH(RAW!F193,'NEW HIRE ROSTER'!$A:$A,0))</f>
        <v>#N/A</v>
      </c>
      <c r="C193" s="90" t="e">
        <f>INDEX('NEW HIRE ROSTER'!$F:$F,MATCH(RAW!F193,'NEW HIRE ROSTER'!$A:$A,0))</f>
        <v>#N/A</v>
      </c>
      <c r="D193" s="90" t="e">
        <f>INDEX('Validation List'!$H:$H,MATCH(RAW!E193,'Validation List'!$F:$F,0))</f>
        <v>#N/A</v>
      </c>
      <c r="G193" s="90" t="e">
        <f>VLOOKUP(F193,ML!C177:D775,2,FALSE)</f>
        <v>#N/A</v>
      </c>
      <c r="H193" s="90" t="e">
        <f>VLOOKUP(F193,ML!C177:E775,3,FALSE)</f>
        <v>#N/A</v>
      </c>
    </row>
    <row r="194" spans="1:8" x14ac:dyDescent="0.35">
      <c r="A194" s="90" t="e">
        <f>VLOOKUP(E194,'Validation List'!F195:G590,2,FALSE)</f>
        <v>#N/A</v>
      </c>
      <c r="B194" s="90" t="e">
        <f>INDEX('NEW HIRE ROSTER'!$G:$G,MATCH(RAW!F194,'NEW HIRE ROSTER'!$A:$A,0))</f>
        <v>#N/A</v>
      </c>
      <c r="C194" s="90" t="e">
        <f>INDEX('NEW HIRE ROSTER'!$F:$F,MATCH(RAW!F194,'NEW HIRE ROSTER'!$A:$A,0))</f>
        <v>#N/A</v>
      </c>
      <c r="D194" s="90" t="e">
        <f>INDEX('Validation List'!$H:$H,MATCH(RAW!E194,'Validation List'!$F:$F,0))</f>
        <v>#N/A</v>
      </c>
      <c r="G194" s="90" t="e">
        <f>VLOOKUP(F194,ML!C178:D776,2,FALSE)</f>
        <v>#N/A</v>
      </c>
      <c r="H194" s="90" t="e">
        <f>VLOOKUP(F194,ML!C178:E776,3,FALSE)</f>
        <v>#N/A</v>
      </c>
    </row>
    <row r="195" spans="1:8" x14ac:dyDescent="0.35">
      <c r="A195" s="90" t="e">
        <f>VLOOKUP(E195,'Validation List'!F196:G591,2,FALSE)</f>
        <v>#N/A</v>
      </c>
      <c r="B195" s="90" t="e">
        <f>INDEX('NEW HIRE ROSTER'!$G:$G,MATCH(RAW!F195,'NEW HIRE ROSTER'!$A:$A,0))</f>
        <v>#N/A</v>
      </c>
      <c r="C195" s="90" t="e">
        <f>INDEX('NEW HIRE ROSTER'!$F:$F,MATCH(RAW!F195,'NEW HIRE ROSTER'!$A:$A,0))</f>
        <v>#N/A</v>
      </c>
      <c r="D195" s="90" t="e">
        <f>INDEX('Validation List'!$H:$H,MATCH(RAW!E195,'Validation List'!$F:$F,0))</f>
        <v>#N/A</v>
      </c>
      <c r="G195" s="90" t="e">
        <f>VLOOKUP(F195,ML!C179:D777,2,FALSE)</f>
        <v>#N/A</v>
      </c>
      <c r="H195" s="90" t="e">
        <f>VLOOKUP(F195,ML!C179:E777,3,FALSE)</f>
        <v>#N/A</v>
      </c>
    </row>
    <row r="196" spans="1:8" x14ac:dyDescent="0.35">
      <c r="A196" s="90" t="e">
        <f>VLOOKUP(E196,'Validation List'!F197:G592,2,FALSE)</f>
        <v>#N/A</v>
      </c>
      <c r="B196" s="90" t="e">
        <f>INDEX('NEW HIRE ROSTER'!$G:$G,MATCH(RAW!F196,'NEW HIRE ROSTER'!$A:$A,0))</f>
        <v>#N/A</v>
      </c>
      <c r="C196" s="90" t="e">
        <f>INDEX('NEW HIRE ROSTER'!$F:$F,MATCH(RAW!F196,'NEW HIRE ROSTER'!$A:$A,0))</f>
        <v>#N/A</v>
      </c>
      <c r="D196" s="90" t="e">
        <f>INDEX('Validation List'!$H:$H,MATCH(RAW!E196,'Validation List'!$F:$F,0))</f>
        <v>#N/A</v>
      </c>
      <c r="G196" s="90" t="e">
        <f>VLOOKUP(F196,ML!C180:D778,2,FALSE)</f>
        <v>#N/A</v>
      </c>
      <c r="H196" s="90" t="e">
        <f>VLOOKUP(F196,ML!C180:E778,3,FALSE)</f>
        <v>#N/A</v>
      </c>
    </row>
    <row r="197" spans="1:8" x14ac:dyDescent="0.35">
      <c r="A197" s="90" t="e">
        <f>VLOOKUP(E197,'Validation List'!F198:G593,2,FALSE)</f>
        <v>#N/A</v>
      </c>
      <c r="B197" s="90" t="e">
        <f>INDEX('NEW HIRE ROSTER'!$G:$G,MATCH(RAW!F197,'NEW HIRE ROSTER'!$A:$A,0))</f>
        <v>#N/A</v>
      </c>
      <c r="C197" s="90" t="e">
        <f>INDEX('NEW HIRE ROSTER'!$F:$F,MATCH(RAW!F197,'NEW HIRE ROSTER'!$A:$A,0))</f>
        <v>#N/A</v>
      </c>
      <c r="D197" s="90" t="e">
        <f>INDEX('Validation List'!$H:$H,MATCH(RAW!E197,'Validation List'!$F:$F,0))</f>
        <v>#N/A</v>
      </c>
      <c r="G197" s="90" t="e">
        <f>VLOOKUP(F197,ML!C181:D779,2,FALSE)</f>
        <v>#N/A</v>
      </c>
      <c r="H197" s="90" t="e">
        <f>VLOOKUP(F197,ML!C181:E779,3,FALSE)</f>
        <v>#N/A</v>
      </c>
    </row>
    <row r="198" spans="1:8" x14ac:dyDescent="0.35">
      <c r="A198" s="90" t="e">
        <f>VLOOKUP(E198,'Validation List'!F199:G594,2,FALSE)</f>
        <v>#N/A</v>
      </c>
      <c r="B198" s="90" t="e">
        <f>INDEX('NEW HIRE ROSTER'!$G:$G,MATCH(RAW!F198,'NEW HIRE ROSTER'!$A:$A,0))</f>
        <v>#N/A</v>
      </c>
      <c r="C198" s="90" t="e">
        <f>INDEX('NEW HIRE ROSTER'!$F:$F,MATCH(RAW!F198,'NEW HIRE ROSTER'!$A:$A,0))</f>
        <v>#N/A</v>
      </c>
      <c r="D198" s="90" t="e">
        <f>INDEX('Validation List'!$H:$H,MATCH(RAW!E198,'Validation List'!$F:$F,0))</f>
        <v>#N/A</v>
      </c>
      <c r="G198" s="90" t="e">
        <f>VLOOKUP(F198,ML!C182:D780,2,FALSE)</f>
        <v>#N/A</v>
      </c>
      <c r="H198" s="90" t="e">
        <f>VLOOKUP(F198,ML!C182:E780,3,FALSE)</f>
        <v>#N/A</v>
      </c>
    </row>
    <row r="199" spans="1:8" x14ac:dyDescent="0.35">
      <c r="A199" s="90" t="e">
        <f>VLOOKUP(E199,'Validation List'!F200:G595,2,FALSE)</f>
        <v>#N/A</v>
      </c>
      <c r="B199" s="90" t="e">
        <f>INDEX('NEW HIRE ROSTER'!$G:$G,MATCH(RAW!F199,'NEW HIRE ROSTER'!$A:$A,0))</f>
        <v>#N/A</v>
      </c>
      <c r="C199" s="90" t="e">
        <f>INDEX('NEW HIRE ROSTER'!$F:$F,MATCH(RAW!F199,'NEW HIRE ROSTER'!$A:$A,0))</f>
        <v>#N/A</v>
      </c>
      <c r="D199" s="90" t="e">
        <f>INDEX('Validation List'!$H:$H,MATCH(RAW!E199,'Validation List'!$F:$F,0))</f>
        <v>#N/A</v>
      </c>
      <c r="G199" s="90" t="e">
        <f>VLOOKUP(F199,ML!C183:D781,2,FALSE)</f>
        <v>#N/A</v>
      </c>
      <c r="H199" s="90" t="e">
        <f>VLOOKUP(F199,ML!C183:E781,3,FALSE)</f>
        <v>#N/A</v>
      </c>
    </row>
    <row r="200" spans="1:8" x14ac:dyDescent="0.35">
      <c r="A200" s="90" t="e">
        <f>VLOOKUP(E200,'Validation List'!F201:G596,2,FALSE)</f>
        <v>#N/A</v>
      </c>
      <c r="B200" s="90" t="e">
        <f>INDEX('NEW HIRE ROSTER'!$G:$G,MATCH(RAW!F200,'NEW HIRE ROSTER'!$A:$A,0))</f>
        <v>#N/A</v>
      </c>
      <c r="C200" s="90" t="e">
        <f>INDEX('NEW HIRE ROSTER'!$F:$F,MATCH(RAW!F200,'NEW HIRE ROSTER'!$A:$A,0))</f>
        <v>#N/A</v>
      </c>
      <c r="D200" s="90" t="e">
        <f>INDEX('Validation List'!$H:$H,MATCH(RAW!E200,'Validation List'!$F:$F,0))</f>
        <v>#N/A</v>
      </c>
      <c r="G200" s="90" t="e">
        <f>VLOOKUP(F200,ML!C184:D782,2,FALSE)</f>
        <v>#N/A</v>
      </c>
      <c r="H200" s="90" t="e">
        <f>VLOOKUP(F200,ML!C184:E782,3,FALSE)</f>
        <v>#N/A</v>
      </c>
    </row>
    <row r="201" spans="1:8" x14ac:dyDescent="0.35">
      <c r="A201" s="90" t="e">
        <f>VLOOKUP(E201,'Validation List'!F202:G597,2,FALSE)</f>
        <v>#N/A</v>
      </c>
      <c r="B201" s="90" t="e">
        <f>INDEX('NEW HIRE ROSTER'!$G:$G,MATCH(RAW!F201,'NEW HIRE ROSTER'!$A:$A,0))</f>
        <v>#N/A</v>
      </c>
      <c r="C201" s="90" t="e">
        <f>INDEX('NEW HIRE ROSTER'!$F:$F,MATCH(RAW!F201,'NEW HIRE ROSTER'!$A:$A,0))</f>
        <v>#N/A</v>
      </c>
      <c r="D201" s="90" t="e">
        <f>INDEX('Validation List'!$H:$H,MATCH(RAW!E201,'Validation List'!$F:$F,0))</f>
        <v>#N/A</v>
      </c>
      <c r="G201" s="90" t="e">
        <f>VLOOKUP(F201,ML!C185:D783,2,FALSE)</f>
        <v>#N/A</v>
      </c>
      <c r="H201" s="90" t="e">
        <f>VLOOKUP(F201,ML!C185:E783,3,FALSE)</f>
        <v>#N/A</v>
      </c>
    </row>
    <row r="202" spans="1:8" x14ac:dyDescent="0.35">
      <c r="A202" s="90" t="e">
        <f>VLOOKUP(E202,'Validation List'!F203:G598,2,FALSE)</f>
        <v>#N/A</v>
      </c>
      <c r="B202" s="90" t="e">
        <f>INDEX('NEW HIRE ROSTER'!$G:$G,MATCH(RAW!F202,'NEW HIRE ROSTER'!$A:$A,0))</f>
        <v>#N/A</v>
      </c>
      <c r="C202" s="90" t="e">
        <f>INDEX('NEW HIRE ROSTER'!$F:$F,MATCH(RAW!F202,'NEW HIRE ROSTER'!$A:$A,0))</f>
        <v>#N/A</v>
      </c>
      <c r="D202" s="90" t="e">
        <f>INDEX('Validation List'!$H:$H,MATCH(RAW!E202,'Validation List'!$F:$F,0))</f>
        <v>#N/A</v>
      </c>
      <c r="G202" s="90" t="e">
        <f>VLOOKUP(F202,ML!C186:D784,2,FALSE)</f>
        <v>#N/A</v>
      </c>
      <c r="H202" s="90" t="e">
        <f>VLOOKUP(F202,ML!C186:E784,3,FALSE)</f>
        <v>#N/A</v>
      </c>
    </row>
    <row r="203" spans="1:8" x14ac:dyDescent="0.35">
      <c r="A203" s="90" t="e">
        <f>VLOOKUP(E203,'Validation List'!F204:G599,2,FALSE)</f>
        <v>#N/A</v>
      </c>
      <c r="B203" s="90" t="e">
        <f>INDEX('NEW HIRE ROSTER'!$G:$G,MATCH(RAW!F203,'NEW HIRE ROSTER'!$A:$A,0))</f>
        <v>#N/A</v>
      </c>
      <c r="C203" s="90" t="e">
        <f>INDEX('NEW HIRE ROSTER'!$F:$F,MATCH(RAW!F203,'NEW HIRE ROSTER'!$A:$A,0))</f>
        <v>#N/A</v>
      </c>
      <c r="D203" s="90" t="e">
        <f>INDEX('Validation List'!$H:$H,MATCH(RAW!E203,'Validation List'!$F:$F,0))</f>
        <v>#N/A</v>
      </c>
      <c r="G203" s="90" t="e">
        <f>VLOOKUP(F203,ML!C187:D785,2,FALSE)</f>
        <v>#N/A</v>
      </c>
      <c r="H203" s="90" t="e">
        <f>VLOOKUP(F203,ML!C187:E785,3,FALSE)</f>
        <v>#N/A</v>
      </c>
    </row>
    <row r="204" spans="1:8" x14ac:dyDescent="0.35">
      <c r="A204" s="90" t="e">
        <f>VLOOKUP(E204,'Validation List'!F205:G600,2,FALSE)</f>
        <v>#N/A</v>
      </c>
      <c r="B204" s="90" t="e">
        <f>INDEX('NEW HIRE ROSTER'!$G:$G,MATCH(RAW!F204,'NEW HIRE ROSTER'!$A:$A,0))</f>
        <v>#N/A</v>
      </c>
      <c r="C204" s="90" t="e">
        <f>INDEX('NEW HIRE ROSTER'!$F:$F,MATCH(RAW!F204,'NEW HIRE ROSTER'!$A:$A,0))</f>
        <v>#N/A</v>
      </c>
      <c r="D204" s="90" t="e">
        <f>INDEX('Validation List'!$H:$H,MATCH(RAW!E204,'Validation List'!$F:$F,0))</f>
        <v>#N/A</v>
      </c>
      <c r="G204" s="90" t="e">
        <f>VLOOKUP(F204,ML!C188:D786,2,FALSE)</f>
        <v>#N/A</v>
      </c>
      <c r="H204" s="90" t="e">
        <f>VLOOKUP(F204,ML!C188:E786,3,FALSE)</f>
        <v>#N/A</v>
      </c>
    </row>
    <row r="205" spans="1:8" x14ac:dyDescent="0.35">
      <c r="A205" s="90" t="e">
        <f>VLOOKUP(E205,'Validation List'!F206:G601,2,FALSE)</f>
        <v>#N/A</v>
      </c>
      <c r="B205" s="90" t="e">
        <f>INDEX('NEW HIRE ROSTER'!$G:$G,MATCH(RAW!F205,'NEW HIRE ROSTER'!$A:$A,0))</f>
        <v>#N/A</v>
      </c>
      <c r="C205" s="90" t="e">
        <f>INDEX('NEW HIRE ROSTER'!$F:$F,MATCH(RAW!F205,'NEW HIRE ROSTER'!$A:$A,0))</f>
        <v>#N/A</v>
      </c>
      <c r="D205" s="90" t="e">
        <f>INDEX('Validation List'!$H:$H,MATCH(RAW!E205,'Validation List'!$F:$F,0))</f>
        <v>#N/A</v>
      </c>
      <c r="G205" s="90" t="e">
        <f>VLOOKUP(F205,ML!C189:D787,2,FALSE)</f>
        <v>#N/A</v>
      </c>
      <c r="H205" s="90" t="e">
        <f>VLOOKUP(F205,ML!C189:E787,3,FALSE)</f>
        <v>#N/A</v>
      </c>
    </row>
    <row r="206" spans="1:8" x14ac:dyDescent="0.35">
      <c r="A206" s="90" t="e">
        <f>VLOOKUP(E206,'Validation List'!F207:G602,2,FALSE)</f>
        <v>#N/A</v>
      </c>
      <c r="B206" s="90" t="e">
        <f>INDEX('NEW HIRE ROSTER'!$G:$G,MATCH(RAW!F206,'NEW HIRE ROSTER'!$A:$A,0))</f>
        <v>#N/A</v>
      </c>
      <c r="C206" s="90" t="e">
        <f>INDEX('NEW HIRE ROSTER'!$F:$F,MATCH(RAW!F206,'NEW HIRE ROSTER'!$A:$A,0))</f>
        <v>#N/A</v>
      </c>
      <c r="D206" s="90" t="e">
        <f>INDEX('Validation List'!$H:$H,MATCH(RAW!E206,'Validation List'!$F:$F,0))</f>
        <v>#N/A</v>
      </c>
      <c r="G206" s="90" t="e">
        <f>VLOOKUP(F206,ML!C190:D788,2,FALSE)</f>
        <v>#N/A</v>
      </c>
      <c r="H206" s="90" t="e">
        <f>VLOOKUP(F206,ML!C190:E788,3,FALSE)</f>
        <v>#N/A</v>
      </c>
    </row>
    <row r="207" spans="1:8" x14ac:dyDescent="0.35">
      <c r="A207" s="90" t="e">
        <f>VLOOKUP(E207,'Validation List'!F208:G603,2,FALSE)</f>
        <v>#N/A</v>
      </c>
      <c r="B207" s="90" t="e">
        <f>INDEX('NEW HIRE ROSTER'!$G:$G,MATCH(RAW!F207,'NEW HIRE ROSTER'!$A:$A,0))</f>
        <v>#N/A</v>
      </c>
      <c r="C207" s="90" t="e">
        <f>INDEX('NEW HIRE ROSTER'!$F:$F,MATCH(RAW!F207,'NEW HIRE ROSTER'!$A:$A,0))</f>
        <v>#N/A</v>
      </c>
      <c r="D207" s="90" t="e">
        <f>INDEX('Validation List'!$H:$H,MATCH(RAW!E207,'Validation List'!$F:$F,0))</f>
        <v>#N/A</v>
      </c>
      <c r="G207" s="90" t="e">
        <f>VLOOKUP(F207,ML!C191:D789,2,FALSE)</f>
        <v>#N/A</v>
      </c>
      <c r="H207" s="90" t="e">
        <f>VLOOKUP(F207,ML!C191:E789,3,FALSE)</f>
        <v>#N/A</v>
      </c>
    </row>
    <row r="208" spans="1:8" x14ac:dyDescent="0.35">
      <c r="A208" s="90" t="e">
        <f>VLOOKUP(E208,'Validation List'!F209:G604,2,FALSE)</f>
        <v>#N/A</v>
      </c>
      <c r="B208" s="90" t="e">
        <f>INDEX('NEW HIRE ROSTER'!$G:$G,MATCH(RAW!F208,'NEW HIRE ROSTER'!$A:$A,0))</f>
        <v>#N/A</v>
      </c>
      <c r="C208" s="90" t="e">
        <f>INDEX('NEW HIRE ROSTER'!$F:$F,MATCH(RAW!F208,'NEW HIRE ROSTER'!$A:$A,0))</f>
        <v>#N/A</v>
      </c>
      <c r="D208" s="90" t="e">
        <f>INDEX('Validation List'!$H:$H,MATCH(RAW!E208,'Validation List'!$F:$F,0))</f>
        <v>#N/A</v>
      </c>
      <c r="G208" s="90" t="e">
        <f>VLOOKUP(F208,ML!C192:D790,2,FALSE)</f>
        <v>#N/A</v>
      </c>
      <c r="H208" s="90" t="e">
        <f>VLOOKUP(F208,ML!C192:E790,3,FALSE)</f>
        <v>#N/A</v>
      </c>
    </row>
    <row r="209" spans="1:8" x14ac:dyDescent="0.35">
      <c r="A209" s="90" t="e">
        <f>VLOOKUP(E209,'Validation List'!F210:G605,2,FALSE)</f>
        <v>#N/A</v>
      </c>
      <c r="B209" s="90" t="e">
        <f>INDEX('NEW HIRE ROSTER'!$G:$G,MATCH(RAW!F209,'NEW HIRE ROSTER'!$A:$A,0))</f>
        <v>#N/A</v>
      </c>
      <c r="C209" s="90" t="e">
        <f>INDEX('NEW HIRE ROSTER'!$F:$F,MATCH(RAW!F209,'NEW HIRE ROSTER'!$A:$A,0))</f>
        <v>#N/A</v>
      </c>
      <c r="D209" s="90" t="e">
        <f>INDEX('Validation List'!$H:$H,MATCH(RAW!E209,'Validation List'!$F:$F,0))</f>
        <v>#N/A</v>
      </c>
      <c r="G209" s="90" t="e">
        <f>VLOOKUP(F209,ML!C193:D791,2,FALSE)</f>
        <v>#N/A</v>
      </c>
      <c r="H209" s="90" t="e">
        <f>VLOOKUP(F209,ML!C193:E791,3,FALSE)</f>
        <v>#N/A</v>
      </c>
    </row>
    <row r="210" spans="1:8" x14ac:dyDescent="0.35">
      <c r="A210" s="90" t="e">
        <f>VLOOKUP(E210,'Validation List'!F211:G606,2,FALSE)</f>
        <v>#N/A</v>
      </c>
      <c r="B210" s="90" t="e">
        <f>INDEX('NEW HIRE ROSTER'!$G:$G,MATCH(RAW!F210,'NEW HIRE ROSTER'!$A:$A,0))</f>
        <v>#N/A</v>
      </c>
      <c r="C210" s="90" t="e">
        <f>INDEX('NEW HIRE ROSTER'!$F:$F,MATCH(RAW!F210,'NEW HIRE ROSTER'!$A:$A,0))</f>
        <v>#N/A</v>
      </c>
      <c r="D210" s="90" t="e">
        <f>INDEX('Validation List'!$H:$H,MATCH(RAW!E210,'Validation List'!$F:$F,0))</f>
        <v>#N/A</v>
      </c>
      <c r="G210" s="90" t="e">
        <f>VLOOKUP(F210,ML!C194:D792,2,FALSE)</f>
        <v>#N/A</v>
      </c>
      <c r="H210" s="90" t="e">
        <f>VLOOKUP(F210,ML!C194:E792,3,FALSE)</f>
        <v>#N/A</v>
      </c>
    </row>
    <row r="211" spans="1:8" x14ac:dyDescent="0.35">
      <c r="A211" s="90" t="e">
        <f>VLOOKUP(E211,'Validation List'!F212:G607,2,FALSE)</f>
        <v>#N/A</v>
      </c>
      <c r="B211" s="90" t="e">
        <f>INDEX('NEW HIRE ROSTER'!$G:$G,MATCH(RAW!F211,'NEW HIRE ROSTER'!$A:$A,0))</f>
        <v>#N/A</v>
      </c>
      <c r="C211" s="90" t="e">
        <f>INDEX('NEW HIRE ROSTER'!$F:$F,MATCH(RAW!F211,'NEW HIRE ROSTER'!$A:$A,0))</f>
        <v>#N/A</v>
      </c>
      <c r="D211" s="90" t="e">
        <f>INDEX('Validation List'!$H:$H,MATCH(RAW!E211,'Validation List'!$F:$F,0))</f>
        <v>#N/A</v>
      </c>
      <c r="G211" s="90" t="e">
        <f>VLOOKUP(F211,ML!C195:D793,2,FALSE)</f>
        <v>#N/A</v>
      </c>
      <c r="H211" s="90" t="e">
        <f>VLOOKUP(F211,ML!C195:E793,3,FALSE)</f>
        <v>#N/A</v>
      </c>
    </row>
    <row r="212" spans="1:8" x14ac:dyDescent="0.35">
      <c r="A212" s="90" t="e">
        <f>VLOOKUP(E212,'Validation List'!F213:G608,2,FALSE)</f>
        <v>#N/A</v>
      </c>
      <c r="B212" s="90" t="e">
        <f>INDEX('NEW HIRE ROSTER'!$G:$G,MATCH(RAW!F212,'NEW HIRE ROSTER'!$A:$A,0))</f>
        <v>#N/A</v>
      </c>
      <c r="C212" s="90" t="e">
        <f>INDEX('NEW HIRE ROSTER'!$F:$F,MATCH(RAW!F212,'NEW HIRE ROSTER'!$A:$A,0))</f>
        <v>#N/A</v>
      </c>
      <c r="D212" s="90" t="e">
        <f>INDEX('Validation List'!$H:$H,MATCH(RAW!E212,'Validation List'!$F:$F,0))</f>
        <v>#N/A</v>
      </c>
      <c r="G212" s="90" t="e">
        <f>VLOOKUP(F212,ML!C196:D794,2,FALSE)</f>
        <v>#N/A</v>
      </c>
      <c r="H212" s="90" t="e">
        <f>VLOOKUP(F212,ML!C196:E794,3,FALSE)</f>
        <v>#N/A</v>
      </c>
    </row>
    <row r="213" spans="1:8" x14ac:dyDescent="0.35">
      <c r="A213" s="90" t="e">
        <f>VLOOKUP(E213,'Validation List'!F214:G609,2,FALSE)</f>
        <v>#N/A</v>
      </c>
      <c r="B213" s="90" t="e">
        <f>INDEX('NEW HIRE ROSTER'!$G:$G,MATCH(RAW!F213,'NEW HIRE ROSTER'!$A:$A,0))</f>
        <v>#N/A</v>
      </c>
      <c r="C213" s="90" t="e">
        <f>INDEX('NEW HIRE ROSTER'!$F:$F,MATCH(RAW!F213,'NEW HIRE ROSTER'!$A:$A,0))</f>
        <v>#N/A</v>
      </c>
      <c r="D213" s="90" t="e">
        <f>INDEX('Validation List'!$H:$H,MATCH(RAW!E213,'Validation List'!$F:$F,0))</f>
        <v>#N/A</v>
      </c>
      <c r="G213" s="90" t="e">
        <f>VLOOKUP(F213,ML!C197:D795,2,FALSE)</f>
        <v>#N/A</v>
      </c>
      <c r="H213" s="90" t="e">
        <f>VLOOKUP(F213,ML!C197:E795,3,FALSE)</f>
        <v>#N/A</v>
      </c>
    </row>
    <row r="214" spans="1:8" x14ac:dyDescent="0.35">
      <c r="A214" s="90" t="e">
        <f>VLOOKUP(E214,'Validation List'!F215:G610,2,FALSE)</f>
        <v>#N/A</v>
      </c>
      <c r="B214" s="90" t="e">
        <f>INDEX('NEW HIRE ROSTER'!$G:$G,MATCH(RAW!F214,'NEW HIRE ROSTER'!$A:$A,0))</f>
        <v>#N/A</v>
      </c>
      <c r="C214" s="90" t="e">
        <f>INDEX('NEW HIRE ROSTER'!$F:$F,MATCH(RAW!F214,'NEW HIRE ROSTER'!$A:$A,0))</f>
        <v>#N/A</v>
      </c>
      <c r="D214" s="90" t="e">
        <f>INDEX('Validation List'!$H:$H,MATCH(RAW!E214,'Validation List'!$F:$F,0))</f>
        <v>#N/A</v>
      </c>
      <c r="G214" s="90" t="e">
        <f>VLOOKUP(F214,ML!C198:D796,2,FALSE)</f>
        <v>#N/A</v>
      </c>
      <c r="H214" s="90" t="e">
        <f>VLOOKUP(F214,ML!C198:E796,3,FALSE)</f>
        <v>#N/A</v>
      </c>
    </row>
    <row r="215" spans="1:8" x14ac:dyDescent="0.35">
      <c r="A215" s="90" t="e">
        <f>VLOOKUP(E215,'Validation List'!F216:G611,2,FALSE)</f>
        <v>#N/A</v>
      </c>
      <c r="B215" s="90" t="e">
        <f>INDEX('NEW HIRE ROSTER'!$G:$G,MATCH(RAW!F215,'NEW HIRE ROSTER'!$A:$A,0))</f>
        <v>#N/A</v>
      </c>
      <c r="C215" s="90" t="e">
        <f>INDEX('NEW HIRE ROSTER'!$F:$F,MATCH(RAW!F215,'NEW HIRE ROSTER'!$A:$A,0))</f>
        <v>#N/A</v>
      </c>
      <c r="D215" s="90" t="e">
        <f>INDEX('Validation List'!$H:$H,MATCH(RAW!E215,'Validation List'!$F:$F,0))</f>
        <v>#N/A</v>
      </c>
      <c r="G215" s="90" t="e">
        <f>VLOOKUP(F215,ML!C199:D797,2,FALSE)</f>
        <v>#N/A</v>
      </c>
      <c r="H215" s="90" t="e">
        <f>VLOOKUP(F215,ML!C199:E797,3,FALSE)</f>
        <v>#N/A</v>
      </c>
    </row>
    <row r="216" spans="1:8" x14ac:dyDescent="0.35">
      <c r="A216" s="90" t="e">
        <f>VLOOKUP(E216,'Validation List'!F217:G612,2,FALSE)</f>
        <v>#N/A</v>
      </c>
      <c r="B216" s="90" t="e">
        <f>INDEX('NEW HIRE ROSTER'!$G:$G,MATCH(RAW!F216,'NEW HIRE ROSTER'!$A:$A,0))</f>
        <v>#N/A</v>
      </c>
      <c r="C216" s="90" t="e">
        <f>INDEX('NEW HIRE ROSTER'!$F:$F,MATCH(RAW!F216,'NEW HIRE ROSTER'!$A:$A,0))</f>
        <v>#N/A</v>
      </c>
      <c r="D216" s="90" t="e">
        <f>INDEX('Validation List'!$H:$H,MATCH(RAW!E216,'Validation List'!$F:$F,0))</f>
        <v>#N/A</v>
      </c>
      <c r="G216" s="90" t="e">
        <f>VLOOKUP(F216,ML!C200:D798,2,FALSE)</f>
        <v>#N/A</v>
      </c>
      <c r="H216" s="90" t="e">
        <f>VLOOKUP(F216,ML!C200:E798,3,FALSE)</f>
        <v>#N/A</v>
      </c>
    </row>
    <row r="217" spans="1:8" x14ac:dyDescent="0.35">
      <c r="A217" s="90" t="e">
        <f>VLOOKUP(E217,'Validation List'!F218:G613,2,FALSE)</f>
        <v>#N/A</v>
      </c>
      <c r="B217" s="90" t="e">
        <f>INDEX('NEW HIRE ROSTER'!$G:$G,MATCH(RAW!F217,'NEW HIRE ROSTER'!$A:$A,0))</f>
        <v>#N/A</v>
      </c>
      <c r="C217" s="90" t="e">
        <f>INDEX('NEW HIRE ROSTER'!$F:$F,MATCH(RAW!F217,'NEW HIRE ROSTER'!$A:$A,0))</f>
        <v>#N/A</v>
      </c>
      <c r="D217" s="90" t="e">
        <f>INDEX('Validation List'!$H:$H,MATCH(RAW!E217,'Validation List'!$F:$F,0))</f>
        <v>#N/A</v>
      </c>
      <c r="G217" s="90" t="e">
        <f>VLOOKUP(F217,ML!C201:D799,2,FALSE)</f>
        <v>#N/A</v>
      </c>
      <c r="H217" s="90" t="e">
        <f>VLOOKUP(F217,ML!C201:E799,3,FALSE)</f>
        <v>#N/A</v>
      </c>
    </row>
    <row r="218" spans="1:8" x14ac:dyDescent="0.35">
      <c r="A218" s="90" t="e">
        <f>VLOOKUP(E218,'Validation List'!F219:G614,2,FALSE)</f>
        <v>#N/A</v>
      </c>
      <c r="B218" s="90" t="e">
        <f>INDEX('NEW HIRE ROSTER'!$G:$G,MATCH(RAW!F218,'NEW HIRE ROSTER'!$A:$A,0))</f>
        <v>#N/A</v>
      </c>
      <c r="C218" s="90" t="e">
        <f>INDEX('NEW HIRE ROSTER'!$F:$F,MATCH(RAW!F218,'NEW HIRE ROSTER'!$A:$A,0))</f>
        <v>#N/A</v>
      </c>
      <c r="D218" s="90" t="e">
        <f>INDEX('Validation List'!$H:$H,MATCH(RAW!E218,'Validation List'!$F:$F,0))</f>
        <v>#N/A</v>
      </c>
      <c r="G218" s="90" t="e">
        <f>VLOOKUP(F218,ML!C202:D800,2,FALSE)</f>
        <v>#N/A</v>
      </c>
      <c r="H218" s="90" t="e">
        <f>VLOOKUP(F218,ML!C202:E800,3,FALSE)</f>
        <v>#N/A</v>
      </c>
    </row>
    <row r="219" spans="1:8" x14ac:dyDescent="0.35">
      <c r="A219" s="90" t="e">
        <f>VLOOKUP(E219,'Validation List'!F220:G615,2,FALSE)</f>
        <v>#N/A</v>
      </c>
      <c r="B219" s="90" t="e">
        <f>INDEX('NEW HIRE ROSTER'!$G:$G,MATCH(RAW!F219,'NEW HIRE ROSTER'!$A:$A,0))</f>
        <v>#N/A</v>
      </c>
      <c r="C219" s="90" t="e">
        <f>INDEX('NEW HIRE ROSTER'!$F:$F,MATCH(RAW!F219,'NEW HIRE ROSTER'!$A:$A,0))</f>
        <v>#N/A</v>
      </c>
      <c r="D219" s="90" t="e">
        <f>INDEX('Validation List'!$H:$H,MATCH(RAW!E219,'Validation List'!$F:$F,0))</f>
        <v>#N/A</v>
      </c>
      <c r="G219" s="90" t="e">
        <f>VLOOKUP(F219,ML!C203:D801,2,FALSE)</f>
        <v>#N/A</v>
      </c>
      <c r="H219" s="90" t="e">
        <f>VLOOKUP(F219,ML!C203:E801,3,FALSE)</f>
        <v>#N/A</v>
      </c>
    </row>
    <row r="220" spans="1:8" x14ac:dyDescent="0.35">
      <c r="A220" s="90" t="e">
        <f>VLOOKUP(E220,'Validation List'!F221:G616,2,FALSE)</f>
        <v>#N/A</v>
      </c>
      <c r="B220" s="90" t="e">
        <f>INDEX('NEW HIRE ROSTER'!$G:$G,MATCH(RAW!F220,'NEW HIRE ROSTER'!$A:$A,0))</f>
        <v>#N/A</v>
      </c>
      <c r="C220" s="90" t="e">
        <f>INDEX('NEW HIRE ROSTER'!$F:$F,MATCH(RAW!F220,'NEW HIRE ROSTER'!$A:$A,0))</f>
        <v>#N/A</v>
      </c>
      <c r="D220" s="90" t="e">
        <f>INDEX('Validation List'!$H:$H,MATCH(RAW!E220,'Validation List'!$F:$F,0))</f>
        <v>#N/A</v>
      </c>
      <c r="G220" s="90" t="e">
        <f>VLOOKUP(F220,ML!C204:D802,2,FALSE)</f>
        <v>#N/A</v>
      </c>
      <c r="H220" s="90" t="e">
        <f>VLOOKUP(F220,ML!C204:E802,3,FALSE)</f>
        <v>#N/A</v>
      </c>
    </row>
    <row r="221" spans="1:8" x14ac:dyDescent="0.35">
      <c r="A221" s="90" t="e">
        <f>VLOOKUP(E221,'Validation List'!F222:G617,2,FALSE)</f>
        <v>#N/A</v>
      </c>
      <c r="B221" s="90" t="e">
        <f>INDEX('NEW HIRE ROSTER'!$G:$G,MATCH(RAW!F221,'NEW HIRE ROSTER'!$A:$A,0))</f>
        <v>#N/A</v>
      </c>
      <c r="C221" s="90" t="e">
        <f>INDEX('NEW HIRE ROSTER'!$F:$F,MATCH(RAW!F221,'NEW HIRE ROSTER'!$A:$A,0))</f>
        <v>#N/A</v>
      </c>
      <c r="D221" s="90" t="e">
        <f>INDEX('Validation List'!$H:$H,MATCH(RAW!E221,'Validation List'!$F:$F,0))</f>
        <v>#N/A</v>
      </c>
      <c r="G221" s="90" t="e">
        <f>VLOOKUP(F221,ML!C205:D803,2,FALSE)</f>
        <v>#N/A</v>
      </c>
      <c r="H221" s="90" t="e">
        <f>VLOOKUP(F221,ML!C205:E803,3,FALSE)</f>
        <v>#N/A</v>
      </c>
    </row>
    <row r="222" spans="1:8" x14ac:dyDescent="0.35">
      <c r="A222" s="90" t="e">
        <f>VLOOKUP(E222,'Validation List'!F223:G618,2,FALSE)</f>
        <v>#N/A</v>
      </c>
      <c r="B222" s="90" t="e">
        <f>INDEX('NEW HIRE ROSTER'!$G:$G,MATCH(RAW!F222,'NEW HIRE ROSTER'!$A:$A,0))</f>
        <v>#N/A</v>
      </c>
      <c r="C222" s="90" t="e">
        <f>INDEX('NEW HIRE ROSTER'!$F:$F,MATCH(RAW!F222,'NEW HIRE ROSTER'!$A:$A,0))</f>
        <v>#N/A</v>
      </c>
      <c r="D222" s="90" t="e">
        <f>INDEX('Validation List'!$H:$H,MATCH(RAW!E222,'Validation List'!$F:$F,0))</f>
        <v>#N/A</v>
      </c>
      <c r="G222" s="90" t="e">
        <f>VLOOKUP(F222,ML!C206:D804,2,FALSE)</f>
        <v>#N/A</v>
      </c>
      <c r="H222" s="90" t="e">
        <f>VLOOKUP(F222,ML!C206:E804,3,FALSE)</f>
        <v>#N/A</v>
      </c>
    </row>
    <row r="223" spans="1:8" x14ac:dyDescent="0.35">
      <c r="A223" s="90" t="e">
        <f>VLOOKUP(E223,'Validation List'!F224:G619,2,FALSE)</f>
        <v>#N/A</v>
      </c>
      <c r="B223" s="90" t="e">
        <f>INDEX('NEW HIRE ROSTER'!$G:$G,MATCH(RAW!F223,'NEW HIRE ROSTER'!$A:$A,0))</f>
        <v>#N/A</v>
      </c>
      <c r="C223" s="90" t="e">
        <f>INDEX('NEW HIRE ROSTER'!$F:$F,MATCH(RAW!F223,'NEW HIRE ROSTER'!$A:$A,0))</f>
        <v>#N/A</v>
      </c>
      <c r="D223" s="90" t="e">
        <f>INDEX('Validation List'!$H:$H,MATCH(RAW!E223,'Validation List'!$F:$F,0))</f>
        <v>#N/A</v>
      </c>
      <c r="G223" s="90" t="e">
        <f>VLOOKUP(F223,ML!C207:D805,2,FALSE)</f>
        <v>#N/A</v>
      </c>
      <c r="H223" s="90" t="e">
        <f>VLOOKUP(F223,ML!C207:E805,3,FALSE)</f>
        <v>#N/A</v>
      </c>
    </row>
    <row r="224" spans="1:8" x14ac:dyDescent="0.35">
      <c r="A224" s="90" t="e">
        <f>VLOOKUP(E224,'Validation List'!F225:G620,2,FALSE)</f>
        <v>#N/A</v>
      </c>
      <c r="B224" s="90" t="e">
        <f>INDEX('NEW HIRE ROSTER'!$G:$G,MATCH(RAW!F224,'NEW HIRE ROSTER'!$A:$A,0))</f>
        <v>#N/A</v>
      </c>
      <c r="C224" s="90" t="e">
        <f>INDEX('NEW HIRE ROSTER'!$F:$F,MATCH(RAW!F224,'NEW HIRE ROSTER'!$A:$A,0))</f>
        <v>#N/A</v>
      </c>
      <c r="D224" s="90" t="e">
        <f>INDEX('Validation List'!$H:$H,MATCH(RAW!E224,'Validation List'!$F:$F,0))</f>
        <v>#N/A</v>
      </c>
      <c r="G224" s="90" t="e">
        <f>VLOOKUP(F224,ML!C208:D806,2,FALSE)</f>
        <v>#N/A</v>
      </c>
      <c r="H224" s="90" t="e">
        <f>VLOOKUP(F224,ML!C208:E806,3,FALSE)</f>
        <v>#N/A</v>
      </c>
    </row>
    <row r="225" spans="1:8" x14ac:dyDescent="0.35">
      <c r="A225" s="90" t="e">
        <f>VLOOKUP(E225,'Validation List'!F226:G621,2,FALSE)</f>
        <v>#N/A</v>
      </c>
      <c r="B225" s="90" t="e">
        <f>INDEX('NEW HIRE ROSTER'!$G:$G,MATCH(RAW!F225,'NEW HIRE ROSTER'!$A:$A,0))</f>
        <v>#N/A</v>
      </c>
      <c r="C225" s="90" t="e">
        <f>INDEX('NEW HIRE ROSTER'!$F:$F,MATCH(RAW!F225,'NEW HIRE ROSTER'!$A:$A,0))</f>
        <v>#N/A</v>
      </c>
      <c r="D225" s="90" t="e">
        <f>INDEX('Validation List'!$H:$H,MATCH(RAW!E225,'Validation List'!$F:$F,0))</f>
        <v>#N/A</v>
      </c>
      <c r="G225" s="90" t="e">
        <f>VLOOKUP(F225,ML!C209:D807,2,FALSE)</f>
        <v>#N/A</v>
      </c>
      <c r="H225" s="90" t="e">
        <f>VLOOKUP(F225,ML!C209:E807,3,FALSE)</f>
        <v>#N/A</v>
      </c>
    </row>
    <row r="226" spans="1:8" x14ac:dyDescent="0.35">
      <c r="A226" s="90" t="e">
        <f>VLOOKUP(E226,'Validation List'!F227:G622,2,FALSE)</f>
        <v>#N/A</v>
      </c>
      <c r="B226" s="90" t="e">
        <f>INDEX('NEW HIRE ROSTER'!$G:$G,MATCH(RAW!F226,'NEW HIRE ROSTER'!$A:$A,0))</f>
        <v>#N/A</v>
      </c>
      <c r="C226" s="90" t="e">
        <f>INDEX('NEW HIRE ROSTER'!$F:$F,MATCH(RAW!F226,'NEW HIRE ROSTER'!$A:$A,0))</f>
        <v>#N/A</v>
      </c>
      <c r="D226" s="90" t="e">
        <f>INDEX('Validation List'!$H:$H,MATCH(RAW!E226,'Validation List'!$F:$F,0))</f>
        <v>#N/A</v>
      </c>
      <c r="G226" s="90" t="e">
        <f>VLOOKUP(F226,ML!C210:D808,2,FALSE)</f>
        <v>#N/A</v>
      </c>
      <c r="H226" s="90" t="e">
        <f>VLOOKUP(F226,ML!C210:E808,3,FALSE)</f>
        <v>#N/A</v>
      </c>
    </row>
    <row r="227" spans="1:8" x14ac:dyDescent="0.35">
      <c r="A227" s="90" t="e">
        <f>VLOOKUP(E227,'Validation List'!F228:G623,2,FALSE)</f>
        <v>#N/A</v>
      </c>
      <c r="B227" s="90" t="e">
        <f>INDEX('NEW HIRE ROSTER'!$G:$G,MATCH(RAW!F227,'NEW HIRE ROSTER'!$A:$A,0))</f>
        <v>#N/A</v>
      </c>
      <c r="C227" s="90" t="e">
        <f>INDEX('NEW HIRE ROSTER'!$F:$F,MATCH(RAW!F227,'NEW HIRE ROSTER'!$A:$A,0))</f>
        <v>#N/A</v>
      </c>
      <c r="D227" s="90" t="e">
        <f>INDEX('Validation List'!$H:$H,MATCH(RAW!E227,'Validation List'!$F:$F,0))</f>
        <v>#N/A</v>
      </c>
      <c r="G227" s="90" t="e">
        <f>VLOOKUP(F227,ML!C211:D809,2,FALSE)</f>
        <v>#N/A</v>
      </c>
      <c r="H227" s="90" t="e">
        <f>VLOOKUP(F227,ML!C211:E809,3,FALSE)</f>
        <v>#N/A</v>
      </c>
    </row>
    <row r="228" spans="1:8" x14ac:dyDescent="0.35">
      <c r="A228" s="90" t="e">
        <f>VLOOKUP(E228,'Validation List'!F229:G624,2,FALSE)</f>
        <v>#N/A</v>
      </c>
      <c r="B228" s="90" t="e">
        <f>INDEX('NEW HIRE ROSTER'!$G:$G,MATCH(RAW!F228,'NEW HIRE ROSTER'!$A:$A,0))</f>
        <v>#N/A</v>
      </c>
      <c r="C228" s="90" t="e">
        <f>INDEX('NEW HIRE ROSTER'!$F:$F,MATCH(RAW!F228,'NEW HIRE ROSTER'!$A:$A,0))</f>
        <v>#N/A</v>
      </c>
      <c r="D228" s="90" t="e">
        <f>INDEX('Validation List'!$H:$H,MATCH(RAW!E228,'Validation List'!$F:$F,0))</f>
        <v>#N/A</v>
      </c>
      <c r="G228" s="90" t="e">
        <f>VLOOKUP(F228,ML!C212:D810,2,FALSE)</f>
        <v>#N/A</v>
      </c>
      <c r="H228" s="90" t="e">
        <f>VLOOKUP(F228,ML!C212:E810,3,FALSE)</f>
        <v>#N/A</v>
      </c>
    </row>
    <row r="229" spans="1:8" x14ac:dyDescent="0.35">
      <c r="A229" s="90" t="e">
        <f>VLOOKUP(E229,'Validation List'!F230:G625,2,FALSE)</f>
        <v>#N/A</v>
      </c>
      <c r="B229" s="90" t="e">
        <f>INDEX('NEW HIRE ROSTER'!$G:$G,MATCH(RAW!F229,'NEW HIRE ROSTER'!$A:$A,0))</f>
        <v>#N/A</v>
      </c>
      <c r="C229" s="90" t="e">
        <f>INDEX('NEW HIRE ROSTER'!$F:$F,MATCH(RAW!F229,'NEW HIRE ROSTER'!$A:$A,0))</f>
        <v>#N/A</v>
      </c>
      <c r="D229" s="90" t="e">
        <f>INDEX('Validation List'!$H:$H,MATCH(RAW!E229,'Validation List'!$F:$F,0))</f>
        <v>#N/A</v>
      </c>
      <c r="G229" s="90" t="e">
        <f>VLOOKUP(F229,ML!C213:D811,2,FALSE)</f>
        <v>#N/A</v>
      </c>
      <c r="H229" s="90" t="e">
        <f>VLOOKUP(F229,ML!C213:E811,3,FALSE)</f>
        <v>#N/A</v>
      </c>
    </row>
    <row r="230" spans="1:8" x14ac:dyDescent="0.35">
      <c r="A230" s="90" t="e">
        <f>VLOOKUP(E230,'Validation List'!F231:G626,2,FALSE)</f>
        <v>#N/A</v>
      </c>
      <c r="B230" s="90" t="e">
        <f>INDEX('NEW HIRE ROSTER'!$G:$G,MATCH(RAW!F230,'NEW HIRE ROSTER'!$A:$A,0))</f>
        <v>#N/A</v>
      </c>
      <c r="C230" s="90" t="e">
        <f>INDEX('NEW HIRE ROSTER'!$F:$F,MATCH(RAW!F230,'NEW HIRE ROSTER'!$A:$A,0))</f>
        <v>#N/A</v>
      </c>
      <c r="D230" s="90" t="e">
        <f>INDEX('Validation List'!$H:$H,MATCH(RAW!E230,'Validation List'!$F:$F,0))</f>
        <v>#N/A</v>
      </c>
      <c r="G230" s="90" t="e">
        <f>VLOOKUP(F230,ML!C214:D812,2,FALSE)</f>
        <v>#N/A</v>
      </c>
      <c r="H230" s="90" t="e">
        <f>VLOOKUP(F230,ML!C214:E812,3,FALSE)</f>
        <v>#N/A</v>
      </c>
    </row>
    <row r="231" spans="1:8" x14ac:dyDescent="0.35">
      <c r="A231" s="90" t="e">
        <f>VLOOKUP(E231,'Validation List'!F232:G627,2,FALSE)</f>
        <v>#N/A</v>
      </c>
      <c r="B231" s="90" t="e">
        <f>INDEX('NEW HIRE ROSTER'!$G:$G,MATCH(RAW!F231,'NEW HIRE ROSTER'!$A:$A,0))</f>
        <v>#N/A</v>
      </c>
      <c r="C231" s="90" t="e">
        <f>INDEX('NEW HIRE ROSTER'!$F:$F,MATCH(RAW!F231,'NEW HIRE ROSTER'!$A:$A,0))</f>
        <v>#N/A</v>
      </c>
      <c r="D231" s="90" t="e">
        <f>INDEX('Validation List'!$H:$H,MATCH(RAW!E231,'Validation List'!$F:$F,0))</f>
        <v>#N/A</v>
      </c>
      <c r="G231" s="90" t="e">
        <f>VLOOKUP(F231,ML!C215:D813,2,FALSE)</f>
        <v>#N/A</v>
      </c>
      <c r="H231" s="90" t="e">
        <f>VLOOKUP(F231,ML!C215:E813,3,FALSE)</f>
        <v>#N/A</v>
      </c>
    </row>
    <row r="232" spans="1:8" x14ac:dyDescent="0.35">
      <c r="A232" s="90" t="e">
        <f>VLOOKUP(E232,'Validation List'!F233:G628,2,FALSE)</f>
        <v>#N/A</v>
      </c>
      <c r="B232" s="90" t="e">
        <f>INDEX('NEW HIRE ROSTER'!$G:$G,MATCH(RAW!F232,'NEW HIRE ROSTER'!$A:$A,0))</f>
        <v>#N/A</v>
      </c>
      <c r="C232" s="90" t="e">
        <f>INDEX('NEW HIRE ROSTER'!$F:$F,MATCH(RAW!F232,'NEW HIRE ROSTER'!$A:$A,0))</f>
        <v>#N/A</v>
      </c>
      <c r="D232" s="90" t="e">
        <f>INDEX('Validation List'!$H:$H,MATCH(RAW!E232,'Validation List'!$F:$F,0))</f>
        <v>#N/A</v>
      </c>
      <c r="G232" s="90" t="e">
        <f>VLOOKUP(F232,ML!C216:D814,2,FALSE)</f>
        <v>#N/A</v>
      </c>
      <c r="H232" s="90" t="e">
        <f>VLOOKUP(F232,ML!C216:E814,3,FALSE)</f>
        <v>#N/A</v>
      </c>
    </row>
    <row r="233" spans="1:8" x14ac:dyDescent="0.35">
      <c r="A233" s="90" t="e">
        <f>VLOOKUP(E233,'Validation List'!F234:G629,2,FALSE)</f>
        <v>#N/A</v>
      </c>
      <c r="B233" s="90" t="e">
        <f>INDEX('NEW HIRE ROSTER'!$G:$G,MATCH(RAW!F233,'NEW HIRE ROSTER'!$A:$A,0))</f>
        <v>#N/A</v>
      </c>
      <c r="C233" s="90" t="e">
        <f>INDEX('NEW HIRE ROSTER'!$F:$F,MATCH(RAW!F233,'NEW HIRE ROSTER'!$A:$A,0))</f>
        <v>#N/A</v>
      </c>
      <c r="D233" s="90" t="e">
        <f>INDEX('Validation List'!$H:$H,MATCH(RAW!E233,'Validation List'!$F:$F,0))</f>
        <v>#N/A</v>
      </c>
      <c r="G233" s="90" t="e">
        <f>VLOOKUP(F233,ML!C217:D815,2,FALSE)</f>
        <v>#N/A</v>
      </c>
      <c r="H233" s="90" t="e">
        <f>VLOOKUP(F233,ML!C217:E815,3,FALSE)</f>
        <v>#N/A</v>
      </c>
    </row>
    <row r="234" spans="1:8" x14ac:dyDescent="0.35">
      <c r="A234" s="90" t="e">
        <f>VLOOKUP(E234,'Validation List'!F235:G630,2,FALSE)</f>
        <v>#N/A</v>
      </c>
      <c r="B234" s="90" t="e">
        <f>INDEX('NEW HIRE ROSTER'!$G:$G,MATCH(RAW!F234,'NEW HIRE ROSTER'!$A:$A,0))</f>
        <v>#N/A</v>
      </c>
      <c r="C234" s="90" t="e">
        <f>INDEX('NEW HIRE ROSTER'!$F:$F,MATCH(RAW!F234,'NEW HIRE ROSTER'!$A:$A,0))</f>
        <v>#N/A</v>
      </c>
      <c r="D234" s="90" t="e">
        <f>INDEX('Validation List'!$H:$H,MATCH(RAW!E234,'Validation List'!$F:$F,0))</f>
        <v>#N/A</v>
      </c>
      <c r="G234" s="90" t="e">
        <f>VLOOKUP(F234,ML!C218:D816,2,FALSE)</f>
        <v>#N/A</v>
      </c>
      <c r="H234" s="90" t="e">
        <f>VLOOKUP(F234,ML!C218:E816,3,FALSE)</f>
        <v>#N/A</v>
      </c>
    </row>
    <row r="235" spans="1:8" x14ac:dyDescent="0.35">
      <c r="A235" s="90" t="e">
        <f>VLOOKUP(E235,'Validation List'!F236:G631,2,FALSE)</f>
        <v>#N/A</v>
      </c>
      <c r="B235" s="90" t="e">
        <f>INDEX('NEW HIRE ROSTER'!$G:$G,MATCH(RAW!F235,'NEW HIRE ROSTER'!$A:$A,0))</f>
        <v>#N/A</v>
      </c>
      <c r="C235" s="90" t="e">
        <f>INDEX('NEW HIRE ROSTER'!$F:$F,MATCH(RAW!F235,'NEW HIRE ROSTER'!$A:$A,0))</f>
        <v>#N/A</v>
      </c>
      <c r="D235" s="90" t="e">
        <f>INDEX('Validation List'!$H:$H,MATCH(RAW!E235,'Validation List'!$F:$F,0))</f>
        <v>#N/A</v>
      </c>
      <c r="G235" s="90" t="e">
        <f>VLOOKUP(F235,ML!C219:D817,2,FALSE)</f>
        <v>#N/A</v>
      </c>
      <c r="H235" s="90" t="e">
        <f>VLOOKUP(F235,ML!C219:E817,3,FALSE)</f>
        <v>#N/A</v>
      </c>
    </row>
    <row r="236" spans="1:8" x14ac:dyDescent="0.35">
      <c r="A236" s="90" t="e">
        <f>VLOOKUP(E236,'Validation List'!F237:G632,2,FALSE)</f>
        <v>#N/A</v>
      </c>
      <c r="B236" s="90" t="e">
        <f>INDEX('NEW HIRE ROSTER'!$G:$G,MATCH(RAW!F236,'NEW HIRE ROSTER'!$A:$A,0))</f>
        <v>#N/A</v>
      </c>
      <c r="C236" s="90" t="e">
        <f>INDEX('NEW HIRE ROSTER'!$F:$F,MATCH(RAW!F236,'NEW HIRE ROSTER'!$A:$A,0))</f>
        <v>#N/A</v>
      </c>
      <c r="D236" s="90" t="e">
        <f>INDEX('Validation List'!$H:$H,MATCH(RAW!E236,'Validation List'!$F:$F,0))</f>
        <v>#N/A</v>
      </c>
      <c r="G236" s="90" t="e">
        <f>VLOOKUP(F236,ML!C220:D818,2,FALSE)</f>
        <v>#N/A</v>
      </c>
      <c r="H236" s="90" t="e">
        <f>VLOOKUP(F236,ML!C220:E818,3,FALSE)</f>
        <v>#N/A</v>
      </c>
    </row>
    <row r="237" spans="1:8" x14ac:dyDescent="0.35">
      <c r="A237" s="90" t="e">
        <f>VLOOKUP(E237,'Validation List'!F238:G633,2,FALSE)</f>
        <v>#N/A</v>
      </c>
      <c r="B237" s="90" t="e">
        <f>INDEX('NEW HIRE ROSTER'!$G:$G,MATCH(RAW!F237,'NEW HIRE ROSTER'!$A:$A,0))</f>
        <v>#N/A</v>
      </c>
      <c r="C237" s="90" t="e">
        <f>INDEX('NEW HIRE ROSTER'!$F:$F,MATCH(RAW!F237,'NEW HIRE ROSTER'!$A:$A,0))</f>
        <v>#N/A</v>
      </c>
      <c r="D237" s="90" t="e">
        <f>INDEX('Validation List'!$H:$H,MATCH(RAW!E237,'Validation List'!$F:$F,0))</f>
        <v>#N/A</v>
      </c>
      <c r="G237" s="90" t="e">
        <f>VLOOKUP(F237,ML!C221:D819,2,FALSE)</f>
        <v>#N/A</v>
      </c>
      <c r="H237" s="90" t="e">
        <f>VLOOKUP(F237,ML!C221:E819,3,FALSE)</f>
        <v>#N/A</v>
      </c>
    </row>
    <row r="238" spans="1:8" x14ac:dyDescent="0.35">
      <c r="A238" s="90" t="e">
        <f>VLOOKUP(E238,'Validation List'!F239:G634,2,FALSE)</f>
        <v>#N/A</v>
      </c>
      <c r="B238" s="90" t="e">
        <f>INDEX('NEW HIRE ROSTER'!$G:$G,MATCH(RAW!F238,'NEW HIRE ROSTER'!$A:$A,0))</f>
        <v>#N/A</v>
      </c>
      <c r="C238" s="90" t="e">
        <f>INDEX('NEW HIRE ROSTER'!$F:$F,MATCH(RAW!F238,'NEW HIRE ROSTER'!$A:$A,0))</f>
        <v>#N/A</v>
      </c>
      <c r="D238" s="90" t="e">
        <f>INDEX('Validation List'!$H:$H,MATCH(RAW!E238,'Validation List'!$F:$F,0))</f>
        <v>#N/A</v>
      </c>
      <c r="G238" s="90" t="e">
        <f>VLOOKUP(F238,ML!C222:D820,2,FALSE)</f>
        <v>#N/A</v>
      </c>
      <c r="H238" s="90" t="e">
        <f>VLOOKUP(F238,ML!C222:E820,3,FALSE)</f>
        <v>#N/A</v>
      </c>
    </row>
    <row r="239" spans="1:8" x14ac:dyDescent="0.35">
      <c r="A239" s="90" t="e">
        <f>VLOOKUP(E239,'Validation List'!F240:G635,2,FALSE)</f>
        <v>#N/A</v>
      </c>
      <c r="B239" s="90" t="e">
        <f>INDEX('NEW HIRE ROSTER'!$G:$G,MATCH(RAW!F239,'NEW HIRE ROSTER'!$A:$A,0))</f>
        <v>#N/A</v>
      </c>
      <c r="C239" s="90" t="e">
        <f>INDEX('NEW HIRE ROSTER'!$F:$F,MATCH(RAW!F239,'NEW HIRE ROSTER'!$A:$A,0))</f>
        <v>#N/A</v>
      </c>
      <c r="D239" s="90" t="e">
        <f>INDEX('Validation List'!$H:$H,MATCH(RAW!E239,'Validation List'!$F:$F,0))</f>
        <v>#N/A</v>
      </c>
      <c r="G239" s="90" t="e">
        <f>VLOOKUP(F239,ML!C223:D821,2,FALSE)</f>
        <v>#N/A</v>
      </c>
      <c r="H239" s="90" t="e">
        <f>VLOOKUP(F239,ML!C223:E821,3,FALSE)</f>
        <v>#N/A</v>
      </c>
    </row>
    <row r="240" spans="1:8" x14ac:dyDescent="0.35">
      <c r="A240" s="90" t="e">
        <f>VLOOKUP(E240,'Validation List'!F241:G636,2,FALSE)</f>
        <v>#N/A</v>
      </c>
      <c r="B240" s="90" t="e">
        <f>INDEX('NEW HIRE ROSTER'!$G:$G,MATCH(RAW!F240,'NEW HIRE ROSTER'!$A:$A,0))</f>
        <v>#N/A</v>
      </c>
      <c r="C240" s="90" t="e">
        <f>INDEX('NEW HIRE ROSTER'!$F:$F,MATCH(RAW!F240,'NEW HIRE ROSTER'!$A:$A,0))</f>
        <v>#N/A</v>
      </c>
      <c r="D240" s="90" t="e">
        <f>INDEX('Validation List'!$H:$H,MATCH(RAW!E240,'Validation List'!$F:$F,0))</f>
        <v>#N/A</v>
      </c>
      <c r="G240" s="90" t="e">
        <f>VLOOKUP(F240,ML!C224:D822,2,FALSE)</f>
        <v>#N/A</v>
      </c>
      <c r="H240" s="90" t="e">
        <f>VLOOKUP(F240,ML!C224:E822,3,FALSE)</f>
        <v>#N/A</v>
      </c>
    </row>
    <row r="241" spans="1:8" x14ac:dyDescent="0.35">
      <c r="A241" s="90" t="e">
        <f>VLOOKUP(E241,'Validation List'!F242:G637,2,FALSE)</f>
        <v>#N/A</v>
      </c>
      <c r="B241" s="90" t="e">
        <f>INDEX('NEW HIRE ROSTER'!$G:$G,MATCH(RAW!F241,'NEW HIRE ROSTER'!$A:$A,0))</f>
        <v>#N/A</v>
      </c>
      <c r="C241" s="90" t="e">
        <f>INDEX('NEW HIRE ROSTER'!$F:$F,MATCH(RAW!F241,'NEW HIRE ROSTER'!$A:$A,0))</f>
        <v>#N/A</v>
      </c>
      <c r="D241" s="90" t="e">
        <f>INDEX('Validation List'!$H:$H,MATCH(RAW!E241,'Validation List'!$F:$F,0))</f>
        <v>#N/A</v>
      </c>
      <c r="G241" s="90" t="e">
        <f>VLOOKUP(F241,ML!C225:D823,2,FALSE)</f>
        <v>#N/A</v>
      </c>
      <c r="H241" s="90" t="e">
        <f>VLOOKUP(F241,ML!C225:E823,3,FALSE)</f>
        <v>#N/A</v>
      </c>
    </row>
    <row r="242" spans="1:8" x14ac:dyDescent="0.35">
      <c r="A242" s="90" t="e">
        <f>VLOOKUP(E242,'Validation List'!F243:G638,2,FALSE)</f>
        <v>#N/A</v>
      </c>
      <c r="B242" s="90" t="e">
        <f>INDEX('NEW HIRE ROSTER'!$G:$G,MATCH(RAW!F242,'NEW HIRE ROSTER'!$A:$A,0))</f>
        <v>#N/A</v>
      </c>
      <c r="C242" s="90" t="e">
        <f>INDEX('NEW HIRE ROSTER'!$F:$F,MATCH(RAW!F242,'NEW HIRE ROSTER'!$A:$A,0))</f>
        <v>#N/A</v>
      </c>
      <c r="D242" s="90" t="e">
        <f>INDEX('Validation List'!$H:$H,MATCH(RAW!E242,'Validation List'!$F:$F,0))</f>
        <v>#N/A</v>
      </c>
      <c r="G242" s="90" t="e">
        <f>VLOOKUP(F242,ML!C226:D824,2,FALSE)</f>
        <v>#N/A</v>
      </c>
      <c r="H242" s="90" t="e">
        <f>VLOOKUP(F242,ML!C226:E824,3,FALSE)</f>
        <v>#N/A</v>
      </c>
    </row>
    <row r="243" spans="1:8" x14ac:dyDescent="0.35">
      <c r="A243" s="90" t="e">
        <f>VLOOKUP(E243,'Validation List'!F244:G639,2,FALSE)</f>
        <v>#N/A</v>
      </c>
      <c r="B243" s="90" t="e">
        <f>INDEX('NEW HIRE ROSTER'!$G:$G,MATCH(RAW!F243,'NEW HIRE ROSTER'!$A:$A,0))</f>
        <v>#N/A</v>
      </c>
      <c r="C243" s="90" t="e">
        <f>INDEX('NEW HIRE ROSTER'!$F:$F,MATCH(RAW!F243,'NEW HIRE ROSTER'!$A:$A,0))</f>
        <v>#N/A</v>
      </c>
      <c r="D243" s="90" t="e">
        <f>INDEX('Validation List'!$H:$H,MATCH(RAW!E243,'Validation List'!$F:$F,0))</f>
        <v>#N/A</v>
      </c>
      <c r="G243" s="90" t="e">
        <f>VLOOKUP(F243,ML!C227:D825,2,FALSE)</f>
        <v>#N/A</v>
      </c>
      <c r="H243" s="90" t="e">
        <f>VLOOKUP(F243,ML!C227:E825,3,FALSE)</f>
        <v>#N/A</v>
      </c>
    </row>
    <row r="244" spans="1:8" x14ac:dyDescent="0.35">
      <c r="A244" s="90" t="e">
        <f>VLOOKUP(E244,'Validation List'!F245:G640,2,FALSE)</f>
        <v>#N/A</v>
      </c>
      <c r="B244" s="90" t="e">
        <f>INDEX('NEW HIRE ROSTER'!$G:$G,MATCH(RAW!F244,'NEW HIRE ROSTER'!$A:$A,0))</f>
        <v>#N/A</v>
      </c>
      <c r="C244" s="90" t="e">
        <f>INDEX('NEW HIRE ROSTER'!$F:$F,MATCH(RAW!F244,'NEW HIRE ROSTER'!$A:$A,0))</f>
        <v>#N/A</v>
      </c>
      <c r="D244" s="90" t="e">
        <f>INDEX('Validation List'!$H:$H,MATCH(RAW!E244,'Validation List'!$F:$F,0))</f>
        <v>#N/A</v>
      </c>
      <c r="G244" s="90" t="e">
        <f>VLOOKUP(F244,ML!C228:D826,2,FALSE)</f>
        <v>#N/A</v>
      </c>
      <c r="H244" s="90" t="e">
        <f>VLOOKUP(F244,ML!C228:E826,3,FALSE)</f>
        <v>#N/A</v>
      </c>
    </row>
    <row r="245" spans="1:8" x14ac:dyDescent="0.35">
      <c r="A245" s="90" t="e">
        <f>VLOOKUP(E245,'Validation List'!F246:G641,2,FALSE)</f>
        <v>#N/A</v>
      </c>
      <c r="B245" s="90" t="e">
        <f>INDEX('NEW HIRE ROSTER'!$G:$G,MATCH(RAW!F245,'NEW HIRE ROSTER'!$A:$A,0))</f>
        <v>#N/A</v>
      </c>
      <c r="C245" s="90" t="e">
        <f>INDEX('NEW HIRE ROSTER'!$F:$F,MATCH(RAW!F245,'NEW HIRE ROSTER'!$A:$A,0))</f>
        <v>#N/A</v>
      </c>
      <c r="D245" s="90" t="e">
        <f>INDEX('Validation List'!$H:$H,MATCH(RAW!E245,'Validation List'!$F:$F,0))</f>
        <v>#N/A</v>
      </c>
      <c r="G245" s="90" t="e">
        <f>VLOOKUP(F245,ML!C229:D827,2,FALSE)</f>
        <v>#N/A</v>
      </c>
      <c r="H245" s="90" t="e">
        <f>VLOOKUP(F245,ML!C229:E827,3,FALSE)</f>
        <v>#N/A</v>
      </c>
    </row>
    <row r="246" spans="1:8" x14ac:dyDescent="0.35">
      <c r="A246" s="90" t="e">
        <f>VLOOKUP(E246,'Validation List'!F247:G642,2,FALSE)</f>
        <v>#N/A</v>
      </c>
      <c r="B246" s="90" t="e">
        <f>INDEX('NEW HIRE ROSTER'!$G:$G,MATCH(RAW!F246,'NEW HIRE ROSTER'!$A:$A,0))</f>
        <v>#N/A</v>
      </c>
      <c r="C246" s="90" t="e">
        <f>INDEX('NEW HIRE ROSTER'!$F:$F,MATCH(RAW!F246,'NEW HIRE ROSTER'!$A:$A,0))</f>
        <v>#N/A</v>
      </c>
      <c r="D246" s="90" t="e">
        <f>INDEX('Validation List'!$H:$H,MATCH(RAW!E246,'Validation List'!$F:$F,0))</f>
        <v>#N/A</v>
      </c>
      <c r="G246" s="90" t="e">
        <f>VLOOKUP(F246,ML!C230:D828,2,FALSE)</f>
        <v>#N/A</v>
      </c>
      <c r="H246" s="90" t="e">
        <f>VLOOKUP(F246,ML!C230:E828,3,FALSE)</f>
        <v>#N/A</v>
      </c>
    </row>
    <row r="247" spans="1:8" x14ac:dyDescent="0.35">
      <c r="A247" s="90" t="e">
        <f>VLOOKUP(E247,'Validation List'!F248:G643,2,FALSE)</f>
        <v>#N/A</v>
      </c>
      <c r="B247" s="90" t="e">
        <f>INDEX('NEW HIRE ROSTER'!$G:$G,MATCH(RAW!F247,'NEW HIRE ROSTER'!$A:$A,0))</f>
        <v>#N/A</v>
      </c>
      <c r="C247" s="90" t="e">
        <f>INDEX('NEW HIRE ROSTER'!$F:$F,MATCH(RAW!F247,'NEW HIRE ROSTER'!$A:$A,0))</f>
        <v>#N/A</v>
      </c>
      <c r="D247" s="90" t="e">
        <f>INDEX('Validation List'!$H:$H,MATCH(RAW!E247,'Validation List'!$F:$F,0))</f>
        <v>#N/A</v>
      </c>
      <c r="G247" s="90" t="e">
        <f>VLOOKUP(F247,ML!C231:D829,2,FALSE)</f>
        <v>#N/A</v>
      </c>
      <c r="H247" s="90" t="e">
        <f>VLOOKUP(F247,ML!C231:E829,3,FALSE)</f>
        <v>#N/A</v>
      </c>
    </row>
    <row r="248" spans="1:8" x14ac:dyDescent="0.35">
      <c r="A248" s="90" t="e">
        <f>VLOOKUP(E248,'Validation List'!F249:G644,2,FALSE)</f>
        <v>#N/A</v>
      </c>
      <c r="B248" s="90" t="e">
        <f>INDEX('NEW HIRE ROSTER'!$G:$G,MATCH(RAW!F248,'NEW HIRE ROSTER'!$A:$A,0))</f>
        <v>#N/A</v>
      </c>
      <c r="C248" s="90" t="e">
        <f>INDEX('NEW HIRE ROSTER'!$F:$F,MATCH(RAW!F248,'NEW HIRE ROSTER'!$A:$A,0))</f>
        <v>#N/A</v>
      </c>
      <c r="D248" s="90" t="e">
        <f>INDEX('Validation List'!$H:$H,MATCH(RAW!E248,'Validation List'!$F:$F,0))</f>
        <v>#N/A</v>
      </c>
      <c r="G248" s="90" t="e">
        <f>VLOOKUP(F248,ML!C232:D830,2,FALSE)</f>
        <v>#N/A</v>
      </c>
      <c r="H248" s="90" t="e">
        <f>VLOOKUP(F248,ML!C232:E830,3,FALSE)</f>
        <v>#N/A</v>
      </c>
    </row>
    <row r="249" spans="1:8" x14ac:dyDescent="0.35">
      <c r="A249" s="90" t="e">
        <f>VLOOKUP(E249,'Validation List'!F250:G645,2,FALSE)</f>
        <v>#N/A</v>
      </c>
      <c r="B249" s="90" t="e">
        <f>INDEX('NEW HIRE ROSTER'!$G:$G,MATCH(RAW!F249,'NEW HIRE ROSTER'!$A:$A,0))</f>
        <v>#N/A</v>
      </c>
      <c r="C249" s="90" t="e">
        <f>INDEX('NEW HIRE ROSTER'!$F:$F,MATCH(RAW!F249,'NEW HIRE ROSTER'!$A:$A,0))</f>
        <v>#N/A</v>
      </c>
      <c r="D249" s="90" t="e">
        <f>INDEX('Validation List'!$H:$H,MATCH(RAW!E249,'Validation List'!$F:$F,0))</f>
        <v>#N/A</v>
      </c>
      <c r="G249" s="90" t="e">
        <f>VLOOKUP(F249,ML!C233:D831,2,FALSE)</f>
        <v>#N/A</v>
      </c>
      <c r="H249" s="90" t="e">
        <f>VLOOKUP(F249,ML!C233:E831,3,FALSE)</f>
        <v>#N/A</v>
      </c>
    </row>
    <row r="250" spans="1:8" x14ac:dyDescent="0.35">
      <c r="A250" s="90" t="e">
        <f>VLOOKUP(E250,'Validation List'!F251:G646,2,FALSE)</f>
        <v>#N/A</v>
      </c>
      <c r="B250" s="90" t="e">
        <f>INDEX('NEW HIRE ROSTER'!$G:$G,MATCH(RAW!F250,'NEW HIRE ROSTER'!$A:$A,0))</f>
        <v>#N/A</v>
      </c>
      <c r="C250" s="90" t="e">
        <f>INDEX('NEW HIRE ROSTER'!$F:$F,MATCH(RAW!F250,'NEW HIRE ROSTER'!$A:$A,0))</f>
        <v>#N/A</v>
      </c>
      <c r="D250" s="90" t="e">
        <f>INDEX('Validation List'!$H:$H,MATCH(RAW!E250,'Validation List'!$F:$F,0))</f>
        <v>#N/A</v>
      </c>
      <c r="G250" s="90" t="e">
        <f>VLOOKUP(F250,ML!C234:D832,2,FALSE)</f>
        <v>#N/A</v>
      </c>
      <c r="H250" s="90" t="e">
        <f>VLOOKUP(F250,ML!C234:E832,3,FALSE)</f>
        <v>#N/A</v>
      </c>
    </row>
    <row r="251" spans="1:8" x14ac:dyDescent="0.35">
      <c r="A251" s="90" t="e">
        <f>VLOOKUP(E251,'Validation List'!F252:G647,2,FALSE)</f>
        <v>#N/A</v>
      </c>
      <c r="B251" s="90" t="e">
        <f>INDEX('NEW HIRE ROSTER'!$G:$G,MATCH(RAW!F251,'NEW HIRE ROSTER'!$A:$A,0))</f>
        <v>#N/A</v>
      </c>
      <c r="C251" s="90" t="e">
        <f>INDEX('NEW HIRE ROSTER'!$F:$F,MATCH(RAW!F251,'NEW HIRE ROSTER'!$A:$A,0))</f>
        <v>#N/A</v>
      </c>
      <c r="D251" s="90" t="e">
        <f>INDEX('Validation List'!$H:$H,MATCH(RAW!E251,'Validation List'!$F:$F,0))</f>
        <v>#N/A</v>
      </c>
      <c r="G251" s="90" t="e">
        <f>VLOOKUP(F251,ML!C235:D833,2,FALSE)</f>
        <v>#N/A</v>
      </c>
      <c r="H251" s="90" t="e">
        <f>VLOOKUP(F251,ML!C235:E833,3,FALSE)</f>
        <v>#N/A</v>
      </c>
    </row>
    <row r="252" spans="1:8" x14ac:dyDescent="0.35">
      <c r="A252" s="90" t="e">
        <f>VLOOKUP(E252,'Validation List'!F253:G648,2,FALSE)</f>
        <v>#N/A</v>
      </c>
      <c r="B252" s="90" t="e">
        <f>INDEX('NEW HIRE ROSTER'!$G:$G,MATCH(RAW!F252,'NEW HIRE ROSTER'!$A:$A,0))</f>
        <v>#N/A</v>
      </c>
      <c r="C252" s="90" t="e">
        <f>INDEX('NEW HIRE ROSTER'!$F:$F,MATCH(RAW!F252,'NEW HIRE ROSTER'!$A:$A,0))</f>
        <v>#N/A</v>
      </c>
      <c r="D252" s="90" t="e">
        <f>INDEX('Validation List'!$H:$H,MATCH(RAW!E252,'Validation List'!$F:$F,0))</f>
        <v>#N/A</v>
      </c>
      <c r="G252" s="90" t="e">
        <f>VLOOKUP(F252,ML!C236:D834,2,FALSE)</f>
        <v>#N/A</v>
      </c>
      <c r="H252" s="90" t="e">
        <f>VLOOKUP(F252,ML!C236:E834,3,FALSE)</f>
        <v>#N/A</v>
      </c>
    </row>
    <row r="253" spans="1:8" x14ac:dyDescent="0.35">
      <c r="A253" s="90" t="e">
        <f>VLOOKUP(E253,'Validation List'!F254:G649,2,FALSE)</f>
        <v>#N/A</v>
      </c>
      <c r="B253" s="90" t="e">
        <f>INDEX('NEW HIRE ROSTER'!$G:$G,MATCH(RAW!F253,'NEW HIRE ROSTER'!$A:$A,0))</f>
        <v>#N/A</v>
      </c>
      <c r="C253" s="90" t="e">
        <f>INDEX('NEW HIRE ROSTER'!$F:$F,MATCH(RAW!F253,'NEW HIRE ROSTER'!$A:$A,0))</f>
        <v>#N/A</v>
      </c>
      <c r="D253" s="90" t="e">
        <f>INDEX('Validation List'!$H:$H,MATCH(RAW!E253,'Validation List'!$F:$F,0))</f>
        <v>#N/A</v>
      </c>
      <c r="G253" s="90" t="e">
        <f>VLOOKUP(F253,ML!C237:D835,2,FALSE)</f>
        <v>#N/A</v>
      </c>
      <c r="H253" s="90" t="e">
        <f>VLOOKUP(F253,ML!C237:E835,3,FALSE)</f>
        <v>#N/A</v>
      </c>
    </row>
    <row r="254" spans="1:8" x14ac:dyDescent="0.35">
      <c r="A254" s="90" t="e">
        <f>VLOOKUP(E254,'Validation List'!F255:G650,2,FALSE)</f>
        <v>#N/A</v>
      </c>
      <c r="B254" s="90" t="e">
        <f>INDEX('NEW HIRE ROSTER'!$G:$G,MATCH(RAW!F254,'NEW HIRE ROSTER'!$A:$A,0))</f>
        <v>#N/A</v>
      </c>
      <c r="C254" s="90" t="e">
        <f>INDEX('NEW HIRE ROSTER'!$F:$F,MATCH(RAW!F254,'NEW HIRE ROSTER'!$A:$A,0))</f>
        <v>#N/A</v>
      </c>
      <c r="D254" s="90" t="e">
        <f>INDEX('Validation List'!$H:$H,MATCH(RAW!E254,'Validation List'!$F:$F,0))</f>
        <v>#N/A</v>
      </c>
      <c r="G254" s="90" t="e">
        <f>VLOOKUP(F254,ML!C238:D836,2,FALSE)</f>
        <v>#N/A</v>
      </c>
      <c r="H254" s="90" t="e">
        <f>VLOOKUP(F254,ML!C238:E836,3,FALSE)</f>
        <v>#N/A</v>
      </c>
    </row>
    <row r="255" spans="1:8" x14ac:dyDescent="0.35">
      <c r="A255" s="90" t="e">
        <f>VLOOKUP(E255,'Validation List'!F256:G651,2,FALSE)</f>
        <v>#N/A</v>
      </c>
      <c r="B255" s="90" t="e">
        <f>INDEX('NEW HIRE ROSTER'!$G:$G,MATCH(RAW!F255,'NEW HIRE ROSTER'!$A:$A,0))</f>
        <v>#N/A</v>
      </c>
      <c r="C255" s="90" t="e">
        <f>INDEX('NEW HIRE ROSTER'!$F:$F,MATCH(RAW!F255,'NEW HIRE ROSTER'!$A:$A,0))</f>
        <v>#N/A</v>
      </c>
      <c r="D255" s="90" t="e">
        <f>INDEX('Validation List'!$H:$H,MATCH(RAW!E255,'Validation List'!$F:$F,0))</f>
        <v>#N/A</v>
      </c>
      <c r="G255" s="90" t="e">
        <f>VLOOKUP(F255,ML!C239:D837,2,FALSE)</f>
        <v>#N/A</v>
      </c>
      <c r="H255" s="90" t="e">
        <f>VLOOKUP(F255,ML!C239:E837,3,FALSE)</f>
        <v>#N/A</v>
      </c>
    </row>
    <row r="256" spans="1:8" x14ac:dyDescent="0.35">
      <c r="A256" s="90" t="e">
        <f>VLOOKUP(E256,'Validation List'!F257:G652,2,FALSE)</f>
        <v>#N/A</v>
      </c>
      <c r="B256" s="90" t="e">
        <f>INDEX('NEW HIRE ROSTER'!$G:$G,MATCH(RAW!F256,'NEW HIRE ROSTER'!$A:$A,0))</f>
        <v>#N/A</v>
      </c>
      <c r="C256" s="90" t="e">
        <f>INDEX('NEW HIRE ROSTER'!$F:$F,MATCH(RAW!F256,'NEW HIRE ROSTER'!$A:$A,0))</f>
        <v>#N/A</v>
      </c>
      <c r="D256" s="90" t="e">
        <f>INDEX('Validation List'!$H:$H,MATCH(RAW!E256,'Validation List'!$F:$F,0))</f>
        <v>#N/A</v>
      </c>
      <c r="G256" s="90" t="e">
        <f>VLOOKUP(F256,ML!C240:D838,2,FALSE)</f>
        <v>#N/A</v>
      </c>
      <c r="H256" s="90" t="e">
        <f>VLOOKUP(F256,ML!C240:E838,3,FALSE)</f>
        <v>#N/A</v>
      </c>
    </row>
    <row r="257" spans="1:8" x14ac:dyDescent="0.35">
      <c r="A257" s="90" t="e">
        <f>VLOOKUP(E257,'Validation List'!F258:G653,2,FALSE)</f>
        <v>#N/A</v>
      </c>
      <c r="B257" s="90" t="e">
        <f>INDEX('NEW HIRE ROSTER'!$G:$G,MATCH(RAW!F257,'NEW HIRE ROSTER'!$A:$A,0))</f>
        <v>#N/A</v>
      </c>
      <c r="C257" s="90" t="e">
        <f>INDEX('NEW HIRE ROSTER'!$F:$F,MATCH(RAW!F257,'NEW HIRE ROSTER'!$A:$A,0))</f>
        <v>#N/A</v>
      </c>
      <c r="D257" s="90" t="e">
        <f>INDEX('Validation List'!$H:$H,MATCH(RAW!E257,'Validation List'!$F:$F,0))</f>
        <v>#N/A</v>
      </c>
      <c r="G257" s="90" t="e">
        <f>VLOOKUP(F257,ML!C241:D839,2,FALSE)</f>
        <v>#N/A</v>
      </c>
      <c r="H257" s="90" t="e">
        <f>VLOOKUP(F257,ML!C241:E839,3,FALSE)</f>
        <v>#N/A</v>
      </c>
    </row>
    <row r="258" spans="1:8" x14ac:dyDescent="0.35">
      <c r="A258" s="90" t="e">
        <f>VLOOKUP(E258,'Validation List'!F259:G654,2,FALSE)</f>
        <v>#N/A</v>
      </c>
      <c r="B258" s="90" t="e">
        <f>INDEX('NEW HIRE ROSTER'!$G:$G,MATCH(RAW!F258,'NEW HIRE ROSTER'!$A:$A,0))</f>
        <v>#N/A</v>
      </c>
      <c r="C258" s="90" t="e">
        <f>INDEX('NEW HIRE ROSTER'!$F:$F,MATCH(RAW!F258,'NEW HIRE ROSTER'!$A:$A,0))</f>
        <v>#N/A</v>
      </c>
      <c r="D258" s="90" t="e">
        <f>INDEX('Validation List'!$H:$H,MATCH(RAW!E258,'Validation List'!$F:$F,0))</f>
        <v>#N/A</v>
      </c>
      <c r="G258" s="90" t="e">
        <f>VLOOKUP(F258,ML!C242:D840,2,FALSE)</f>
        <v>#N/A</v>
      </c>
      <c r="H258" s="90" t="e">
        <f>VLOOKUP(F258,ML!C242:E840,3,FALSE)</f>
        <v>#N/A</v>
      </c>
    </row>
    <row r="259" spans="1:8" x14ac:dyDescent="0.35">
      <c r="A259" s="90" t="e">
        <f>VLOOKUP(E259,'Validation List'!F260:G655,2,FALSE)</f>
        <v>#N/A</v>
      </c>
      <c r="B259" s="90" t="e">
        <f>INDEX('NEW HIRE ROSTER'!$G:$G,MATCH(RAW!F259,'NEW HIRE ROSTER'!$A:$A,0))</f>
        <v>#N/A</v>
      </c>
      <c r="C259" s="90" t="e">
        <f>INDEX('NEW HIRE ROSTER'!$F:$F,MATCH(RAW!F259,'NEW HIRE ROSTER'!$A:$A,0))</f>
        <v>#N/A</v>
      </c>
      <c r="D259" s="90" t="e">
        <f>INDEX('Validation List'!$H:$H,MATCH(RAW!E259,'Validation List'!$F:$F,0))</f>
        <v>#N/A</v>
      </c>
      <c r="G259" s="90" t="e">
        <f>VLOOKUP(F259,ML!C243:D841,2,FALSE)</f>
        <v>#N/A</v>
      </c>
      <c r="H259" s="90" t="e">
        <f>VLOOKUP(F259,ML!C243:E841,3,FALSE)</f>
        <v>#N/A</v>
      </c>
    </row>
    <row r="260" spans="1:8" x14ac:dyDescent="0.35">
      <c r="A260" s="90" t="e">
        <f>VLOOKUP(E260,'Validation List'!F261:G656,2,FALSE)</f>
        <v>#N/A</v>
      </c>
      <c r="B260" s="90" t="e">
        <f>INDEX('NEW HIRE ROSTER'!$G:$G,MATCH(RAW!F260,'NEW HIRE ROSTER'!$A:$A,0))</f>
        <v>#N/A</v>
      </c>
      <c r="C260" s="90" t="e">
        <f>INDEX('NEW HIRE ROSTER'!$F:$F,MATCH(RAW!F260,'NEW HIRE ROSTER'!$A:$A,0))</f>
        <v>#N/A</v>
      </c>
      <c r="D260" s="90" t="e">
        <f>INDEX('Validation List'!$H:$H,MATCH(RAW!E260,'Validation List'!$F:$F,0))</f>
        <v>#N/A</v>
      </c>
      <c r="G260" s="90" t="e">
        <f>VLOOKUP(F260,ML!C244:D842,2,FALSE)</f>
        <v>#N/A</v>
      </c>
      <c r="H260" s="90" t="e">
        <f>VLOOKUP(F260,ML!C244:E842,3,FALSE)</f>
        <v>#N/A</v>
      </c>
    </row>
    <row r="261" spans="1:8" x14ac:dyDescent="0.35">
      <c r="A261" s="90" t="e">
        <f>VLOOKUP(E261,'Validation List'!F262:G657,2,FALSE)</f>
        <v>#N/A</v>
      </c>
      <c r="B261" s="90" t="e">
        <f>INDEX('NEW HIRE ROSTER'!$G:$G,MATCH(RAW!F261,'NEW HIRE ROSTER'!$A:$A,0))</f>
        <v>#N/A</v>
      </c>
      <c r="C261" s="90" t="e">
        <f>INDEX('NEW HIRE ROSTER'!$F:$F,MATCH(RAW!F261,'NEW HIRE ROSTER'!$A:$A,0))</f>
        <v>#N/A</v>
      </c>
      <c r="D261" s="90" t="e">
        <f>INDEX('Validation List'!$H:$H,MATCH(RAW!E261,'Validation List'!$F:$F,0))</f>
        <v>#N/A</v>
      </c>
      <c r="G261" s="90" t="e">
        <f>VLOOKUP(F261,ML!C245:D843,2,FALSE)</f>
        <v>#N/A</v>
      </c>
      <c r="H261" s="90" t="e">
        <f>VLOOKUP(F261,ML!C245:E843,3,FALSE)</f>
        <v>#N/A</v>
      </c>
    </row>
    <row r="262" spans="1:8" x14ac:dyDescent="0.35">
      <c r="A262" s="90" t="e">
        <f>VLOOKUP(E262,'Validation List'!F263:G658,2,FALSE)</f>
        <v>#N/A</v>
      </c>
      <c r="B262" s="90" t="e">
        <f>INDEX('NEW HIRE ROSTER'!$G:$G,MATCH(RAW!F262,'NEW HIRE ROSTER'!$A:$A,0))</f>
        <v>#N/A</v>
      </c>
      <c r="C262" s="90" t="e">
        <f>INDEX('NEW HIRE ROSTER'!$F:$F,MATCH(RAW!F262,'NEW HIRE ROSTER'!$A:$A,0))</f>
        <v>#N/A</v>
      </c>
      <c r="D262" s="90" t="e">
        <f>INDEX('Validation List'!$H:$H,MATCH(RAW!E262,'Validation List'!$F:$F,0))</f>
        <v>#N/A</v>
      </c>
      <c r="G262" s="90" t="e">
        <f>VLOOKUP(F262,ML!C246:D844,2,FALSE)</f>
        <v>#N/A</v>
      </c>
      <c r="H262" s="90" t="e">
        <f>VLOOKUP(F262,ML!C246:E844,3,FALSE)</f>
        <v>#N/A</v>
      </c>
    </row>
    <row r="263" spans="1:8" x14ac:dyDescent="0.35">
      <c r="A263" s="90" t="e">
        <f>VLOOKUP(E263,'Validation List'!F264:G659,2,FALSE)</f>
        <v>#N/A</v>
      </c>
      <c r="B263" s="90" t="e">
        <f>INDEX('NEW HIRE ROSTER'!$G:$G,MATCH(RAW!F263,'NEW HIRE ROSTER'!$A:$A,0))</f>
        <v>#N/A</v>
      </c>
      <c r="C263" s="90" t="e">
        <f>INDEX('NEW HIRE ROSTER'!$F:$F,MATCH(RAW!F263,'NEW HIRE ROSTER'!$A:$A,0))</f>
        <v>#N/A</v>
      </c>
      <c r="D263" s="90" t="e">
        <f>INDEX('Validation List'!$H:$H,MATCH(RAW!E263,'Validation List'!$F:$F,0))</f>
        <v>#N/A</v>
      </c>
      <c r="G263" s="90" t="e">
        <f>VLOOKUP(F263,ML!C247:D845,2,FALSE)</f>
        <v>#N/A</v>
      </c>
      <c r="H263" s="90" t="e">
        <f>VLOOKUP(F263,ML!C247:E845,3,FALSE)</f>
        <v>#N/A</v>
      </c>
    </row>
    <row r="264" spans="1:8" x14ac:dyDescent="0.35">
      <c r="A264" s="90" t="e">
        <f>VLOOKUP(E264,'Validation List'!F265:G660,2,FALSE)</f>
        <v>#N/A</v>
      </c>
      <c r="B264" s="90" t="e">
        <f>INDEX('NEW HIRE ROSTER'!$G:$G,MATCH(RAW!F264,'NEW HIRE ROSTER'!$A:$A,0))</f>
        <v>#N/A</v>
      </c>
      <c r="C264" s="90" t="e">
        <f>INDEX('NEW HIRE ROSTER'!$F:$F,MATCH(RAW!F264,'NEW HIRE ROSTER'!$A:$A,0))</f>
        <v>#N/A</v>
      </c>
      <c r="D264" s="90" t="e">
        <f>INDEX('Validation List'!$H:$H,MATCH(RAW!E264,'Validation List'!$F:$F,0))</f>
        <v>#N/A</v>
      </c>
      <c r="G264" s="90" t="e">
        <f>VLOOKUP(F264,ML!C248:D846,2,FALSE)</f>
        <v>#N/A</v>
      </c>
      <c r="H264" s="90" t="e">
        <f>VLOOKUP(F264,ML!C248:E846,3,FALSE)</f>
        <v>#N/A</v>
      </c>
    </row>
    <row r="265" spans="1:8" x14ac:dyDescent="0.35">
      <c r="A265" s="90" t="e">
        <f>VLOOKUP(E265,'Validation List'!F266:G661,2,FALSE)</f>
        <v>#N/A</v>
      </c>
      <c r="B265" s="90" t="e">
        <f>INDEX('NEW HIRE ROSTER'!$G:$G,MATCH(RAW!F265,'NEW HIRE ROSTER'!$A:$A,0))</f>
        <v>#N/A</v>
      </c>
      <c r="C265" s="90" t="e">
        <f>INDEX('NEW HIRE ROSTER'!$F:$F,MATCH(RAW!F265,'NEW HIRE ROSTER'!$A:$A,0))</f>
        <v>#N/A</v>
      </c>
      <c r="D265" s="90" t="e">
        <f>INDEX('Validation List'!$H:$H,MATCH(RAW!E265,'Validation List'!$F:$F,0))</f>
        <v>#N/A</v>
      </c>
      <c r="G265" s="90" t="e">
        <f>VLOOKUP(F265,ML!C249:D847,2,FALSE)</f>
        <v>#N/A</v>
      </c>
      <c r="H265" s="90" t="e">
        <f>VLOOKUP(F265,ML!C249:E847,3,FALSE)</f>
        <v>#N/A</v>
      </c>
    </row>
    <row r="266" spans="1:8" x14ac:dyDescent="0.35">
      <c r="A266" s="90" t="e">
        <f>VLOOKUP(E266,'Validation List'!F267:G662,2,FALSE)</f>
        <v>#N/A</v>
      </c>
      <c r="B266" s="90" t="e">
        <f>INDEX('NEW HIRE ROSTER'!$G:$G,MATCH(RAW!F266,'NEW HIRE ROSTER'!$A:$A,0))</f>
        <v>#N/A</v>
      </c>
      <c r="C266" s="90" t="e">
        <f>INDEX('NEW HIRE ROSTER'!$F:$F,MATCH(RAW!F266,'NEW HIRE ROSTER'!$A:$A,0))</f>
        <v>#N/A</v>
      </c>
      <c r="D266" s="90" t="e">
        <f>INDEX('Validation List'!$H:$H,MATCH(RAW!E266,'Validation List'!$F:$F,0))</f>
        <v>#N/A</v>
      </c>
      <c r="G266" s="90" t="e">
        <f>VLOOKUP(F266,ML!C250:D848,2,FALSE)</f>
        <v>#N/A</v>
      </c>
      <c r="H266" s="90" t="e">
        <f>VLOOKUP(F266,ML!C250:E848,3,FALSE)</f>
        <v>#N/A</v>
      </c>
    </row>
    <row r="267" spans="1:8" x14ac:dyDescent="0.35">
      <c r="A267" s="90" t="e">
        <f>VLOOKUP(E267,'Validation List'!F268:G663,2,FALSE)</f>
        <v>#N/A</v>
      </c>
      <c r="B267" s="90" t="e">
        <f>INDEX('NEW HIRE ROSTER'!$G:$G,MATCH(RAW!F267,'NEW HIRE ROSTER'!$A:$A,0))</f>
        <v>#N/A</v>
      </c>
      <c r="C267" s="90" t="e">
        <f>INDEX('NEW HIRE ROSTER'!$F:$F,MATCH(RAW!F267,'NEW HIRE ROSTER'!$A:$A,0))</f>
        <v>#N/A</v>
      </c>
      <c r="D267" s="90" t="e">
        <f>INDEX('Validation List'!$H:$H,MATCH(RAW!E267,'Validation List'!$F:$F,0))</f>
        <v>#N/A</v>
      </c>
      <c r="G267" s="90" t="e">
        <f>VLOOKUP(F267,ML!C251:D849,2,FALSE)</f>
        <v>#N/A</v>
      </c>
      <c r="H267" s="90" t="e">
        <f>VLOOKUP(F267,ML!C251:E849,3,FALSE)</f>
        <v>#N/A</v>
      </c>
    </row>
    <row r="268" spans="1:8" x14ac:dyDescent="0.35">
      <c r="A268" s="90" t="e">
        <f>VLOOKUP(E268,'Validation List'!F269:G664,2,FALSE)</f>
        <v>#N/A</v>
      </c>
      <c r="B268" s="90" t="e">
        <f>INDEX('NEW HIRE ROSTER'!$G:$G,MATCH(RAW!F268,'NEW HIRE ROSTER'!$A:$A,0))</f>
        <v>#N/A</v>
      </c>
      <c r="C268" s="90" t="e">
        <f>INDEX('NEW HIRE ROSTER'!$F:$F,MATCH(RAW!F268,'NEW HIRE ROSTER'!$A:$A,0))</f>
        <v>#N/A</v>
      </c>
      <c r="D268" s="90" t="e">
        <f>INDEX('Validation List'!$H:$H,MATCH(RAW!E268,'Validation List'!$F:$F,0))</f>
        <v>#N/A</v>
      </c>
      <c r="G268" s="90" t="e">
        <f>VLOOKUP(F268,ML!C252:D850,2,FALSE)</f>
        <v>#N/A</v>
      </c>
      <c r="H268" s="90" t="e">
        <f>VLOOKUP(F268,ML!C252:E850,3,FALSE)</f>
        <v>#N/A</v>
      </c>
    </row>
    <row r="269" spans="1:8" x14ac:dyDescent="0.35">
      <c r="A269" s="90" t="e">
        <f>VLOOKUP(E269,'Validation List'!F270:G665,2,FALSE)</f>
        <v>#N/A</v>
      </c>
      <c r="B269" s="90" t="e">
        <f>INDEX('NEW HIRE ROSTER'!$G:$G,MATCH(RAW!F269,'NEW HIRE ROSTER'!$A:$A,0))</f>
        <v>#N/A</v>
      </c>
      <c r="C269" s="90" t="e">
        <f>INDEX('NEW HIRE ROSTER'!$F:$F,MATCH(RAW!F269,'NEW HIRE ROSTER'!$A:$A,0))</f>
        <v>#N/A</v>
      </c>
      <c r="D269" s="90" t="e">
        <f>INDEX('Validation List'!$H:$H,MATCH(RAW!E269,'Validation List'!$F:$F,0))</f>
        <v>#N/A</v>
      </c>
      <c r="G269" s="90" t="e">
        <f>VLOOKUP(F269,ML!C253:D851,2,FALSE)</f>
        <v>#N/A</v>
      </c>
      <c r="H269" s="90" t="e">
        <f>VLOOKUP(F269,ML!C253:E851,3,FALSE)</f>
        <v>#N/A</v>
      </c>
    </row>
    <row r="270" spans="1:8" x14ac:dyDescent="0.35">
      <c r="A270" s="90" t="e">
        <f>VLOOKUP(E270,'Validation List'!F271:G666,2,FALSE)</f>
        <v>#N/A</v>
      </c>
      <c r="B270" s="90" t="e">
        <f>INDEX('NEW HIRE ROSTER'!$G:$G,MATCH(RAW!F270,'NEW HIRE ROSTER'!$A:$A,0))</f>
        <v>#N/A</v>
      </c>
      <c r="C270" s="90" t="e">
        <f>INDEX('NEW HIRE ROSTER'!$F:$F,MATCH(RAW!F270,'NEW HIRE ROSTER'!$A:$A,0))</f>
        <v>#N/A</v>
      </c>
      <c r="D270" s="90" t="e">
        <f>INDEX('Validation List'!$H:$H,MATCH(RAW!E270,'Validation List'!$F:$F,0))</f>
        <v>#N/A</v>
      </c>
      <c r="G270" s="90" t="e">
        <f>VLOOKUP(F270,ML!C254:D852,2,FALSE)</f>
        <v>#N/A</v>
      </c>
      <c r="H270" s="90" t="e">
        <f>VLOOKUP(F270,ML!C254:E852,3,FALSE)</f>
        <v>#N/A</v>
      </c>
    </row>
    <row r="271" spans="1:8" x14ac:dyDescent="0.35">
      <c r="A271" s="90" t="e">
        <f>VLOOKUP(E271,'Validation List'!F272:G667,2,FALSE)</f>
        <v>#N/A</v>
      </c>
      <c r="B271" s="90" t="e">
        <f>INDEX('NEW HIRE ROSTER'!$G:$G,MATCH(RAW!F271,'NEW HIRE ROSTER'!$A:$A,0))</f>
        <v>#N/A</v>
      </c>
      <c r="C271" s="90" t="e">
        <f>INDEX('NEW HIRE ROSTER'!$F:$F,MATCH(RAW!F271,'NEW HIRE ROSTER'!$A:$A,0))</f>
        <v>#N/A</v>
      </c>
      <c r="D271" s="90" t="e">
        <f>INDEX('Validation List'!$H:$H,MATCH(RAW!E271,'Validation List'!$F:$F,0))</f>
        <v>#N/A</v>
      </c>
      <c r="G271" s="90" t="e">
        <f>VLOOKUP(F271,ML!C255:D853,2,FALSE)</f>
        <v>#N/A</v>
      </c>
      <c r="H271" s="90" t="e">
        <f>VLOOKUP(F271,ML!C255:E853,3,FALSE)</f>
        <v>#N/A</v>
      </c>
    </row>
    <row r="272" spans="1:8" x14ac:dyDescent="0.35">
      <c r="A272" s="90" t="e">
        <f>VLOOKUP(E272,'Validation List'!F273:G668,2,FALSE)</f>
        <v>#N/A</v>
      </c>
      <c r="B272" s="90" t="e">
        <f>INDEX('NEW HIRE ROSTER'!$G:$G,MATCH(RAW!F272,'NEW HIRE ROSTER'!$A:$A,0))</f>
        <v>#N/A</v>
      </c>
      <c r="C272" s="90" t="e">
        <f>INDEX('NEW HIRE ROSTER'!$F:$F,MATCH(RAW!F272,'NEW HIRE ROSTER'!$A:$A,0))</f>
        <v>#N/A</v>
      </c>
      <c r="D272" s="90" t="e">
        <f>INDEX('Validation List'!$H:$H,MATCH(RAW!E272,'Validation List'!$F:$F,0))</f>
        <v>#N/A</v>
      </c>
      <c r="G272" s="90" t="e">
        <f>VLOOKUP(F272,ML!C256:D854,2,FALSE)</f>
        <v>#N/A</v>
      </c>
      <c r="H272" s="90" t="e">
        <f>VLOOKUP(F272,ML!C256:E854,3,FALSE)</f>
        <v>#N/A</v>
      </c>
    </row>
    <row r="273" spans="1:8" x14ac:dyDescent="0.35">
      <c r="A273" s="90" t="e">
        <f>VLOOKUP(E273,'Validation List'!F274:G669,2,FALSE)</f>
        <v>#N/A</v>
      </c>
      <c r="B273" s="90" t="e">
        <f>INDEX('NEW HIRE ROSTER'!$G:$G,MATCH(RAW!F273,'NEW HIRE ROSTER'!$A:$A,0))</f>
        <v>#N/A</v>
      </c>
      <c r="C273" s="90" t="e">
        <f>INDEX('NEW HIRE ROSTER'!$F:$F,MATCH(RAW!F273,'NEW HIRE ROSTER'!$A:$A,0))</f>
        <v>#N/A</v>
      </c>
      <c r="D273" s="90" t="e">
        <f>INDEX('Validation List'!$H:$H,MATCH(RAW!E273,'Validation List'!$F:$F,0))</f>
        <v>#N/A</v>
      </c>
      <c r="G273" s="90" t="e">
        <f>VLOOKUP(F273,ML!C257:D855,2,FALSE)</f>
        <v>#N/A</v>
      </c>
      <c r="H273" s="90" t="e">
        <f>VLOOKUP(F273,ML!C257:E855,3,FALSE)</f>
        <v>#N/A</v>
      </c>
    </row>
    <row r="274" spans="1:8" x14ac:dyDescent="0.35">
      <c r="A274" s="90" t="e">
        <f>VLOOKUP(E274,'Validation List'!F275:G670,2,FALSE)</f>
        <v>#N/A</v>
      </c>
      <c r="B274" s="90" t="e">
        <f>INDEX('NEW HIRE ROSTER'!$G:$G,MATCH(RAW!F274,'NEW HIRE ROSTER'!$A:$A,0))</f>
        <v>#N/A</v>
      </c>
      <c r="C274" s="90" t="e">
        <f>INDEX('NEW HIRE ROSTER'!$F:$F,MATCH(RAW!F274,'NEW HIRE ROSTER'!$A:$A,0))</f>
        <v>#N/A</v>
      </c>
      <c r="D274" s="90" t="e">
        <f>INDEX('Validation List'!$H:$H,MATCH(RAW!E274,'Validation List'!$F:$F,0))</f>
        <v>#N/A</v>
      </c>
      <c r="G274" s="90" t="e">
        <f>VLOOKUP(F274,ML!C258:D856,2,FALSE)</f>
        <v>#N/A</v>
      </c>
      <c r="H274" s="90" t="e">
        <f>VLOOKUP(F274,ML!C258:E856,3,FALSE)</f>
        <v>#N/A</v>
      </c>
    </row>
    <row r="275" spans="1:8" x14ac:dyDescent="0.35">
      <c r="A275" s="90" t="e">
        <f>VLOOKUP(E275,'Validation List'!F276:G671,2,FALSE)</f>
        <v>#N/A</v>
      </c>
      <c r="B275" s="90" t="e">
        <f>INDEX('NEW HIRE ROSTER'!$G:$G,MATCH(RAW!F275,'NEW HIRE ROSTER'!$A:$A,0))</f>
        <v>#N/A</v>
      </c>
      <c r="C275" s="90" t="e">
        <f>INDEX('NEW HIRE ROSTER'!$F:$F,MATCH(RAW!F275,'NEW HIRE ROSTER'!$A:$A,0))</f>
        <v>#N/A</v>
      </c>
      <c r="D275" s="90" t="e">
        <f>INDEX('Validation List'!$H:$H,MATCH(RAW!E275,'Validation List'!$F:$F,0))</f>
        <v>#N/A</v>
      </c>
      <c r="G275" s="90" t="e">
        <f>VLOOKUP(F275,ML!C259:D857,2,FALSE)</f>
        <v>#N/A</v>
      </c>
      <c r="H275" s="90" t="e">
        <f>VLOOKUP(F275,ML!C259:E857,3,FALSE)</f>
        <v>#N/A</v>
      </c>
    </row>
    <row r="276" spans="1:8" x14ac:dyDescent="0.35">
      <c r="A276" s="90" t="e">
        <f>VLOOKUP(E276,'Validation List'!F277:G672,2,FALSE)</f>
        <v>#N/A</v>
      </c>
      <c r="B276" s="90" t="e">
        <f>INDEX('NEW HIRE ROSTER'!$G:$G,MATCH(RAW!F276,'NEW HIRE ROSTER'!$A:$A,0))</f>
        <v>#N/A</v>
      </c>
      <c r="C276" s="90" t="e">
        <f>INDEX('NEW HIRE ROSTER'!$F:$F,MATCH(RAW!F276,'NEW HIRE ROSTER'!$A:$A,0))</f>
        <v>#N/A</v>
      </c>
      <c r="D276" s="90" t="e">
        <f>INDEX('Validation List'!$H:$H,MATCH(RAW!E276,'Validation List'!$F:$F,0))</f>
        <v>#N/A</v>
      </c>
      <c r="G276" s="90" t="e">
        <f>VLOOKUP(F276,ML!C260:D858,2,FALSE)</f>
        <v>#N/A</v>
      </c>
      <c r="H276" s="90" t="e">
        <f>VLOOKUP(F276,ML!C260:E858,3,FALSE)</f>
        <v>#N/A</v>
      </c>
    </row>
    <row r="277" spans="1:8" x14ac:dyDescent="0.35">
      <c r="A277" s="90" t="e">
        <f>VLOOKUP(E277,'Validation List'!F278:G673,2,FALSE)</f>
        <v>#N/A</v>
      </c>
      <c r="B277" s="90" t="e">
        <f>INDEX('NEW HIRE ROSTER'!$G:$G,MATCH(RAW!F277,'NEW HIRE ROSTER'!$A:$A,0))</f>
        <v>#N/A</v>
      </c>
      <c r="C277" s="90" t="e">
        <f>INDEX('NEW HIRE ROSTER'!$F:$F,MATCH(RAW!F277,'NEW HIRE ROSTER'!$A:$A,0))</f>
        <v>#N/A</v>
      </c>
      <c r="D277" s="90" t="e">
        <f>INDEX('Validation List'!$H:$H,MATCH(RAW!E277,'Validation List'!$F:$F,0))</f>
        <v>#N/A</v>
      </c>
      <c r="G277" s="90" t="e">
        <f>VLOOKUP(F277,ML!C261:D859,2,FALSE)</f>
        <v>#N/A</v>
      </c>
      <c r="H277" s="90" t="e">
        <f>VLOOKUP(F277,ML!C261:E859,3,FALSE)</f>
        <v>#N/A</v>
      </c>
    </row>
    <row r="278" spans="1:8" x14ac:dyDescent="0.35">
      <c r="A278" s="90" t="e">
        <f>VLOOKUP(E278,'Validation List'!F279:G674,2,FALSE)</f>
        <v>#N/A</v>
      </c>
      <c r="B278" s="90" t="e">
        <f>INDEX('NEW HIRE ROSTER'!$G:$G,MATCH(RAW!F278,'NEW HIRE ROSTER'!$A:$A,0))</f>
        <v>#N/A</v>
      </c>
      <c r="C278" s="90" t="e">
        <f>INDEX('NEW HIRE ROSTER'!$F:$F,MATCH(RAW!F278,'NEW HIRE ROSTER'!$A:$A,0))</f>
        <v>#N/A</v>
      </c>
      <c r="D278" s="90" t="e">
        <f>INDEX('Validation List'!$H:$H,MATCH(RAW!E278,'Validation List'!$F:$F,0))</f>
        <v>#N/A</v>
      </c>
      <c r="G278" s="90" t="e">
        <f>VLOOKUP(F278,ML!C262:D860,2,FALSE)</f>
        <v>#N/A</v>
      </c>
      <c r="H278" s="90" t="e">
        <f>VLOOKUP(F278,ML!C262:E860,3,FALSE)</f>
        <v>#N/A</v>
      </c>
    </row>
    <row r="279" spans="1:8" x14ac:dyDescent="0.35">
      <c r="A279" s="90" t="e">
        <f>VLOOKUP(E279,'Validation List'!F280:G675,2,FALSE)</f>
        <v>#N/A</v>
      </c>
      <c r="B279" s="90" t="e">
        <f>INDEX('NEW HIRE ROSTER'!$G:$G,MATCH(RAW!F279,'NEW HIRE ROSTER'!$A:$A,0))</f>
        <v>#N/A</v>
      </c>
      <c r="C279" s="90" t="e">
        <f>INDEX('NEW HIRE ROSTER'!$F:$F,MATCH(RAW!F279,'NEW HIRE ROSTER'!$A:$A,0))</f>
        <v>#N/A</v>
      </c>
      <c r="D279" s="90" t="e">
        <f>INDEX('Validation List'!$H:$H,MATCH(RAW!E279,'Validation List'!$F:$F,0))</f>
        <v>#N/A</v>
      </c>
      <c r="G279" s="90" t="e">
        <f>VLOOKUP(F279,ML!C263:D861,2,FALSE)</f>
        <v>#N/A</v>
      </c>
      <c r="H279" s="90" t="e">
        <f>VLOOKUP(F279,ML!C263:E861,3,FALSE)</f>
        <v>#N/A</v>
      </c>
    </row>
    <row r="280" spans="1:8" x14ac:dyDescent="0.35">
      <c r="A280" s="90" t="e">
        <f>VLOOKUP(E280,'Validation List'!F281:G676,2,FALSE)</f>
        <v>#N/A</v>
      </c>
      <c r="B280" s="90" t="e">
        <f>INDEX('NEW HIRE ROSTER'!$G:$G,MATCH(RAW!F280,'NEW HIRE ROSTER'!$A:$A,0))</f>
        <v>#N/A</v>
      </c>
      <c r="C280" s="90" t="e">
        <f>INDEX('NEW HIRE ROSTER'!$F:$F,MATCH(RAW!F280,'NEW HIRE ROSTER'!$A:$A,0))</f>
        <v>#N/A</v>
      </c>
      <c r="D280" s="90" t="e">
        <f>INDEX('Validation List'!$H:$H,MATCH(RAW!E280,'Validation List'!$F:$F,0))</f>
        <v>#N/A</v>
      </c>
      <c r="G280" s="90" t="e">
        <f>VLOOKUP(F280,ML!C264:D862,2,FALSE)</f>
        <v>#N/A</v>
      </c>
      <c r="H280" s="90" t="e">
        <f>VLOOKUP(F280,ML!C264:E862,3,FALSE)</f>
        <v>#N/A</v>
      </c>
    </row>
    <row r="281" spans="1:8" x14ac:dyDescent="0.35">
      <c r="A281" s="90" t="e">
        <f>VLOOKUP(E281,'Validation List'!F282:G677,2,FALSE)</f>
        <v>#N/A</v>
      </c>
      <c r="B281" s="90" t="e">
        <f>INDEX('NEW HIRE ROSTER'!$G:$G,MATCH(RAW!F281,'NEW HIRE ROSTER'!$A:$A,0))</f>
        <v>#N/A</v>
      </c>
      <c r="C281" s="90" t="e">
        <f>INDEX('NEW HIRE ROSTER'!$F:$F,MATCH(RAW!F281,'NEW HIRE ROSTER'!$A:$A,0))</f>
        <v>#N/A</v>
      </c>
      <c r="D281" s="90" t="e">
        <f>INDEX('Validation List'!$H:$H,MATCH(RAW!E281,'Validation List'!$F:$F,0))</f>
        <v>#N/A</v>
      </c>
      <c r="G281" s="90" t="e">
        <f>VLOOKUP(F281,ML!C265:D863,2,FALSE)</f>
        <v>#N/A</v>
      </c>
      <c r="H281" s="90" t="e">
        <f>VLOOKUP(F281,ML!C265:E863,3,FALSE)</f>
        <v>#N/A</v>
      </c>
    </row>
    <row r="282" spans="1:8" x14ac:dyDescent="0.35">
      <c r="A282" s="90" t="e">
        <f>VLOOKUP(E282,'Validation List'!F283:G678,2,FALSE)</f>
        <v>#N/A</v>
      </c>
      <c r="B282" s="90" t="e">
        <f>INDEX('NEW HIRE ROSTER'!$G:$G,MATCH(RAW!F282,'NEW HIRE ROSTER'!$A:$A,0))</f>
        <v>#N/A</v>
      </c>
      <c r="C282" s="90" t="e">
        <f>INDEX('NEW HIRE ROSTER'!$F:$F,MATCH(RAW!F282,'NEW HIRE ROSTER'!$A:$A,0))</f>
        <v>#N/A</v>
      </c>
      <c r="D282" s="90" t="e">
        <f>INDEX('Validation List'!$H:$H,MATCH(RAW!E282,'Validation List'!$F:$F,0))</f>
        <v>#N/A</v>
      </c>
      <c r="G282" s="90" t="e">
        <f>VLOOKUP(F282,ML!C266:D864,2,FALSE)</f>
        <v>#N/A</v>
      </c>
      <c r="H282" s="90" t="e">
        <f>VLOOKUP(F282,ML!C266:E864,3,FALSE)</f>
        <v>#N/A</v>
      </c>
    </row>
    <row r="283" spans="1:8" x14ac:dyDescent="0.35">
      <c r="A283" s="90" t="e">
        <f>VLOOKUP(E283,'Validation List'!F284:G679,2,FALSE)</f>
        <v>#N/A</v>
      </c>
      <c r="B283" s="90" t="e">
        <f>INDEX('NEW HIRE ROSTER'!$G:$G,MATCH(RAW!F283,'NEW HIRE ROSTER'!$A:$A,0))</f>
        <v>#N/A</v>
      </c>
      <c r="C283" s="90" t="e">
        <f>INDEX('NEW HIRE ROSTER'!$F:$F,MATCH(RAW!F283,'NEW HIRE ROSTER'!$A:$A,0))</f>
        <v>#N/A</v>
      </c>
      <c r="D283" s="90" t="e">
        <f>INDEX('Validation List'!$H:$H,MATCH(RAW!E283,'Validation List'!$F:$F,0))</f>
        <v>#N/A</v>
      </c>
      <c r="G283" s="90" t="e">
        <f>VLOOKUP(F283,ML!C267:D865,2,FALSE)</f>
        <v>#N/A</v>
      </c>
      <c r="H283" s="90" t="e">
        <f>VLOOKUP(F283,ML!C267:E865,3,FALSE)</f>
        <v>#N/A</v>
      </c>
    </row>
    <row r="284" spans="1:8" x14ac:dyDescent="0.35">
      <c r="A284" s="90" t="e">
        <f>VLOOKUP(E284,'Validation List'!F285:G680,2,FALSE)</f>
        <v>#N/A</v>
      </c>
      <c r="B284" s="90" t="e">
        <f>INDEX('NEW HIRE ROSTER'!$G:$G,MATCH(RAW!F284,'NEW HIRE ROSTER'!$A:$A,0))</f>
        <v>#N/A</v>
      </c>
      <c r="C284" s="90" t="e">
        <f>INDEX('NEW HIRE ROSTER'!$F:$F,MATCH(RAW!F284,'NEW HIRE ROSTER'!$A:$A,0))</f>
        <v>#N/A</v>
      </c>
      <c r="D284" s="90" t="e">
        <f>INDEX('Validation List'!$H:$H,MATCH(RAW!E284,'Validation List'!$F:$F,0))</f>
        <v>#N/A</v>
      </c>
      <c r="G284" s="90" t="e">
        <f>VLOOKUP(F284,ML!C268:D866,2,FALSE)</f>
        <v>#N/A</v>
      </c>
      <c r="H284" s="90" t="e">
        <f>VLOOKUP(F284,ML!C268:E866,3,FALSE)</f>
        <v>#N/A</v>
      </c>
    </row>
    <row r="285" spans="1:8" x14ac:dyDescent="0.35">
      <c r="A285" s="90" t="e">
        <f>VLOOKUP(E285,'Validation List'!F286:G681,2,FALSE)</f>
        <v>#N/A</v>
      </c>
      <c r="B285" s="90" t="e">
        <f>INDEX('NEW HIRE ROSTER'!$G:$G,MATCH(RAW!F285,'NEW HIRE ROSTER'!$A:$A,0))</f>
        <v>#N/A</v>
      </c>
      <c r="C285" s="90" t="e">
        <f>INDEX('NEW HIRE ROSTER'!$F:$F,MATCH(RAW!F285,'NEW HIRE ROSTER'!$A:$A,0))</f>
        <v>#N/A</v>
      </c>
      <c r="D285" s="90" t="e">
        <f>INDEX('Validation List'!$H:$H,MATCH(RAW!E285,'Validation List'!$F:$F,0))</f>
        <v>#N/A</v>
      </c>
      <c r="G285" s="90" t="e">
        <f>VLOOKUP(F285,ML!C269:D867,2,FALSE)</f>
        <v>#N/A</v>
      </c>
      <c r="H285" s="90" t="e">
        <f>VLOOKUP(F285,ML!C269:E867,3,FALSE)</f>
        <v>#N/A</v>
      </c>
    </row>
    <row r="286" spans="1:8" x14ac:dyDescent="0.35">
      <c r="A286" s="90" t="e">
        <f>VLOOKUP(E286,'Validation List'!F287:G682,2,FALSE)</f>
        <v>#N/A</v>
      </c>
      <c r="B286" s="90" t="e">
        <f>INDEX('NEW HIRE ROSTER'!$G:$G,MATCH(RAW!F286,'NEW HIRE ROSTER'!$A:$A,0))</f>
        <v>#N/A</v>
      </c>
      <c r="C286" s="90" t="e">
        <f>INDEX('NEW HIRE ROSTER'!$F:$F,MATCH(RAW!F286,'NEW HIRE ROSTER'!$A:$A,0))</f>
        <v>#N/A</v>
      </c>
      <c r="D286" s="90" t="e">
        <f>INDEX('Validation List'!$H:$H,MATCH(RAW!E286,'Validation List'!$F:$F,0))</f>
        <v>#N/A</v>
      </c>
      <c r="G286" s="90" t="e">
        <f>VLOOKUP(F286,ML!C270:D868,2,FALSE)</f>
        <v>#N/A</v>
      </c>
      <c r="H286" s="90" t="e">
        <f>VLOOKUP(F286,ML!C270:E868,3,FALSE)</f>
        <v>#N/A</v>
      </c>
    </row>
    <row r="287" spans="1:8" x14ac:dyDescent="0.35">
      <c r="A287" s="90" t="e">
        <f>VLOOKUP(E287,'Validation List'!F288:G683,2,FALSE)</f>
        <v>#N/A</v>
      </c>
      <c r="B287" s="90" t="e">
        <f>INDEX('NEW HIRE ROSTER'!$G:$G,MATCH(RAW!F287,'NEW HIRE ROSTER'!$A:$A,0))</f>
        <v>#N/A</v>
      </c>
      <c r="C287" s="90" t="e">
        <f>INDEX('NEW HIRE ROSTER'!$F:$F,MATCH(RAW!F287,'NEW HIRE ROSTER'!$A:$A,0))</f>
        <v>#N/A</v>
      </c>
      <c r="D287" s="90" t="e">
        <f>INDEX('Validation List'!$H:$H,MATCH(RAW!E287,'Validation List'!$F:$F,0))</f>
        <v>#N/A</v>
      </c>
      <c r="G287" s="90" t="e">
        <f>VLOOKUP(F287,ML!C271:D869,2,FALSE)</f>
        <v>#N/A</v>
      </c>
      <c r="H287" s="90" t="e">
        <f>VLOOKUP(F287,ML!C271:E869,3,FALSE)</f>
        <v>#N/A</v>
      </c>
    </row>
    <row r="288" spans="1:8" x14ac:dyDescent="0.35">
      <c r="A288" s="90" t="e">
        <f>VLOOKUP(E288,'Validation List'!F289:G684,2,FALSE)</f>
        <v>#N/A</v>
      </c>
      <c r="B288" s="90" t="e">
        <f>INDEX('NEW HIRE ROSTER'!$G:$G,MATCH(RAW!F288,'NEW HIRE ROSTER'!$A:$A,0))</f>
        <v>#N/A</v>
      </c>
      <c r="C288" s="90" t="e">
        <f>INDEX('NEW HIRE ROSTER'!$F:$F,MATCH(RAW!F288,'NEW HIRE ROSTER'!$A:$A,0))</f>
        <v>#N/A</v>
      </c>
      <c r="D288" s="90" t="e">
        <f>INDEX('Validation List'!$H:$H,MATCH(RAW!E288,'Validation List'!$F:$F,0))</f>
        <v>#N/A</v>
      </c>
      <c r="G288" s="90" t="e">
        <f>VLOOKUP(F288,ML!C272:D870,2,FALSE)</f>
        <v>#N/A</v>
      </c>
      <c r="H288" s="90" t="e">
        <f>VLOOKUP(F288,ML!C272:E870,3,FALSE)</f>
        <v>#N/A</v>
      </c>
    </row>
    <row r="289" spans="1:8" x14ac:dyDescent="0.35">
      <c r="A289" s="90" t="e">
        <f>VLOOKUP(E289,'Validation List'!F290:G685,2,FALSE)</f>
        <v>#N/A</v>
      </c>
      <c r="B289" s="90" t="e">
        <f>INDEX('NEW HIRE ROSTER'!$G:$G,MATCH(RAW!F289,'NEW HIRE ROSTER'!$A:$A,0))</f>
        <v>#N/A</v>
      </c>
      <c r="C289" s="90" t="e">
        <f>INDEX('NEW HIRE ROSTER'!$F:$F,MATCH(RAW!F289,'NEW HIRE ROSTER'!$A:$A,0))</f>
        <v>#N/A</v>
      </c>
      <c r="D289" s="90" t="e">
        <f>INDEX('Validation List'!$H:$H,MATCH(RAW!E289,'Validation List'!$F:$F,0))</f>
        <v>#N/A</v>
      </c>
      <c r="G289" s="90" t="e">
        <f>VLOOKUP(F289,ML!C273:D871,2,FALSE)</f>
        <v>#N/A</v>
      </c>
      <c r="H289" s="90" t="e">
        <f>VLOOKUP(F289,ML!C273:E871,3,FALSE)</f>
        <v>#N/A</v>
      </c>
    </row>
    <row r="290" spans="1:8" x14ac:dyDescent="0.35">
      <c r="A290" s="90" t="e">
        <f>VLOOKUP(E290,'Validation List'!F291:G686,2,FALSE)</f>
        <v>#N/A</v>
      </c>
      <c r="B290" s="90" t="e">
        <f>INDEX('NEW HIRE ROSTER'!$G:$G,MATCH(RAW!F290,'NEW HIRE ROSTER'!$A:$A,0))</f>
        <v>#N/A</v>
      </c>
      <c r="C290" s="90" t="e">
        <f>INDEX('NEW HIRE ROSTER'!$F:$F,MATCH(RAW!F290,'NEW HIRE ROSTER'!$A:$A,0))</f>
        <v>#N/A</v>
      </c>
      <c r="D290" s="90" t="e">
        <f>INDEX('Validation List'!$H:$H,MATCH(RAW!E290,'Validation List'!$F:$F,0))</f>
        <v>#N/A</v>
      </c>
      <c r="G290" s="90" t="e">
        <f>VLOOKUP(F290,ML!C274:D872,2,FALSE)</f>
        <v>#N/A</v>
      </c>
      <c r="H290" s="90" t="e">
        <f>VLOOKUP(F290,ML!C274:E872,3,FALSE)</f>
        <v>#N/A</v>
      </c>
    </row>
    <row r="291" spans="1:8" x14ac:dyDescent="0.35">
      <c r="A291" s="90" t="e">
        <f>VLOOKUP(E291,'Validation List'!F292:G687,2,FALSE)</f>
        <v>#N/A</v>
      </c>
      <c r="B291" s="90" t="e">
        <f>INDEX('NEW HIRE ROSTER'!$G:$G,MATCH(RAW!F291,'NEW HIRE ROSTER'!$A:$A,0))</f>
        <v>#N/A</v>
      </c>
      <c r="C291" s="90" t="e">
        <f>INDEX('NEW HIRE ROSTER'!$F:$F,MATCH(RAW!F291,'NEW HIRE ROSTER'!$A:$A,0))</f>
        <v>#N/A</v>
      </c>
      <c r="D291" s="90" t="e">
        <f>INDEX('Validation List'!$H:$H,MATCH(RAW!E291,'Validation List'!$F:$F,0))</f>
        <v>#N/A</v>
      </c>
      <c r="G291" s="90" t="e">
        <f>VLOOKUP(F291,ML!C275:D873,2,FALSE)</f>
        <v>#N/A</v>
      </c>
      <c r="H291" s="90" t="e">
        <f>VLOOKUP(F291,ML!C275:E873,3,FALSE)</f>
        <v>#N/A</v>
      </c>
    </row>
    <row r="292" spans="1:8" x14ac:dyDescent="0.35">
      <c r="A292" s="90" t="e">
        <f>VLOOKUP(E292,'Validation List'!F293:G688,2,FALSE)</f>
        <v>#N/A</v>
      </c>
      <c r="B292" s="90" t="e">
        <f>INDEX('NEW HIRE ROSTER'!$G:$G,MATCH(RAW!F292,'NEW HIRE ROSTER'!$A:$A,0))</f>
        <v>#N/A</v>
      </c>
      <c r="C292" s="90" t="e">
        <f>INDEX('NEW HIRE ROSTER'!$F:$F,MATCH(RAW!F292,'NEW HIRE ROSTER'!$A:$A,0))</f>
        <v>#N/A</v>
      </c>
      <c r="D292" s="90" t="e">
        <f>INDEX('Validation List'!$H:$H,MATCH(RAW!E292,'Validation List'!$F:$F,0))</f>
        <v>#N/A</v>
      </c>
      <c r="G292" s="90" t="e">
        <f>VLOOKUP(F292,ML!C276:D874,2,FALSE)</f>
        <v>#N/A</v>
      </c>
      <c r="H292" s="90" t="e">
        <f>VLOOKUP(F292,ML!C276:E874,3,FALSE)</f>
        <v>#N/A</v>
      </c>
    </row>
    <row r="293" spans="1:8" x14ac:dyDescent="0.35">
      <c r="A293" s="90" t="e">
        <f>VLOOKUP(E293,'Validation List'!F294:G689,2,FALSE)</f>
        <v>#N/A</v>
      </c>
      <c r="B293" s="90" t="e">
        <f>INDEX('NEW HIRE ROSTER'!$G:$G,MATCH(RAW!F293,'NEW HIRE ROSTER'!$A:$A,0))</f>
        <v>#N/A</v>
      </c>
      <c r="C293" s="90" t="e">
        <f>INDEX('NEW HIRE ROSTER'!$F:$F,MATCH(RAW!F293,'NEW HIRE ROSTER'!$A:$A,0))</f>
        <v>#N/A</v>
      </c>
      <c r="D293" s="90" t="e">
        <f>INDEX('Validation List'!$H:$H,MATCH(RAW!E293,'Validation List'!$F:$F,0))</f>
        <v>#N/A</v>
      </c>
      <c r="G293" s="90" t="e">
        <f>VLOOKUP(F293,ML!C277:D875,2,FALSE)</f>
        <v>#N/A</v>
      </c>
      <c r="H293" s="90" t="e">
        <f>VLOOKUP(F293,ML!C277:E875,3,FALSE)</f>
        <v>#N/A</v>
      </c>
    </row>
    <row r="294" spans="1:8" x14ac:dyDescent="0.35">
      <c r="A294" s="90" t="e">
        <f>VLOOKUP(E294,'Validation List'!F295:G690,2,FALSE)</f>
        <v>#N/A</v>
      </c>
      <c r="B294" s="90" t="e">
        <f>INDEX('NEW HIRE ROSTER'!$G:$G,MATCH(RAW!F294,'NEW HIRE ROSTER'!$A:$A,0))</f>
        <v>#N/A</v>
      </c>
      <c r="C294" s="90" t="e">
        <f>INDEX('NEW HIRE ROSTER'!$F:$F,MATCH(RAW!F294,'NEW HIRE ROSTER'!$A:$A,0))</f>
        <v>#N/A</v>
      </c>
      <c r="D294" s="90" t="e">
        <f>INDEX('Validation List'!$H:$H,MATCH(RAW!E294,'Validation List'!$F:$F,0))</f>
        <v>#N/A</v>
      </c>
      <c r="G294" s="90" t="e">
        <f>VLOOKUP(F294,ML!C278:D876,2,FALSE)</f>
        <v>#N/A</v>
      </c>
      <c r="H294" s="90" t="e">
        <f>VLOOKUP(F294,ML!C278:E876,3,FALSE)</f>
        <v>#N/A</v>
      </c>
    </row>
    <row r="295" spans="1:8" x14ac:dyDescent="0.35">
      <c r="A295" s="90" t="e">
        <f>VLOOKUP(E295,'Validation List'!F296:G691,2,FALSE)</f>
        <v>#N/A</v>
      </c>
      <c r="B295" s="90" t="e">
        <f>INDEX('NEW HIRE ROSTER'!$G:$G,MATCH(RAW!F295,'NEW HIRE ROSTER'!$A:$A,0))</f>
        <v>#N/A</v>
      </c>
      <c r="C295" s="90" t="e">
        <f>INDEX('NEW HIRE ROSTER'!$F:$F,MATCH(RAW!F295,'NEW HIRE ROSTER'!$A:$A,0))</f>
        <v>#N/A</v>
      </c>
      <c r="D295" s="90" t="e">
        <f>INDEX('Validation List'!$H:$H,MATCH(RAW!E295,'Validation List'!$F:$F,0))</f>
        <v>#N/A</v>
      </c>
      <c r="G295" s="90" t="e">
        <f>VLOOKUP(F295,ML!C279:D877,2,FALSE)</f>
        <v>#N/A</v>
      </c>
      <c r="H295" s="90" t="e">
        <f>VLOOKUP(F295,ML!C279:E877,3,FALSE)</f>
        <v>#N/A</v>
      </c>
    </row>
    <row r="296" spans="1:8" x14ac:dyDescent="0.35">
      <c r="A296" s="90" t="e">
        <f>VLOOKUP(E296,'Validation List'!F297:G692,2,FALSE)</f>
        <v>#N/A</v>
      </c>
      <c r="B296" s="90" t="e">
        <f>INDEX('NEW HIRE ROSTER'!$G:$G,MATCH(RAW!F296,'NEW HIRE ROSTER'!$A:$A,0))</f>
        <v>#N/A</v>
      </c>
      <c r="C296" s="90" t="e">
        <f>INDEX('NEW HIRE ROSTER'!$F:$F,MATCH(RAW!F296,'NEW HIRE ROSTER'!$A:$A,0))</f>
        <v>#N/A</v>
      </c>
      <c r="D296" s="90" t="e">
        <f>INDEX('Validation List'!$H:$H,MATCH(RAW!E296,'Validation List'!$F:$F,0))</f>
        <v>#N/A</v>
      </c>
      <c r="G296" s="90" t="e">
        <f>VLOOKUP(F296,ML!C280:D878,2,FALSE)</f>
        <v>#N/A</v>
      </c>
      <c r="H296" s="90" t="e">
        <f>VLOOKUP(F296,ML!C280:E878,3,FALSE)</f>
        <v>#N/A</v>
      </c>
    </row>
    <row r="297" spans="1:8" x14ac:dyDescent="0.35">
      <c r="A297" s="90" t="e">
        <f>VLOOKUP(E297,'Validation List'!F298:G693,2,FALSE)</f>
        <v>#N/A</v>
      </c>
      <c r="B297" s="90" t="e">
        <f>INDEX('NEW HIRE ROSTER'!$G:$G,MATCH(RAW!F297,'NEW HIRE ROSTER'!$A:$A,0))</f>
        <v>#N/A</v>
      </c>
      <c r="C297" s="90" t="e">
        <f>INDEX('NEW HIRE ROSTER'!$F:$F,MATCH(RAW!F297,'NEW HIRE ROSTER'!$A:$A,0))</f>
        <v>#N/A</v>
      </c>
      <c r="D297" s="90" t="e">
        <f>INDEX('Validation List'!$H:$H,MATCH(RAW!E297,'Validation List'!$F:$F,0))</f>
        <v>#N/A</v>
      </c>
      <c r="G297" s="90" t="e">
        <f>VLOOKUP(F297,ML!C281:D879,2,FALSE)</f>
        <v>#N/A</v>
      </c>
      <c r="H297" s="90" t="e">
        <f>VLOOKUP(F297,ML!C281:E879,3,FALSE)</f>
        <v>#N/A</v>
      </c>
    </row>
    <row r="298" spans="1:8" x14ac:dyDescent="0.35">
      <c r="A298" s="90" t="e">
        <f>VLOOKUP(E298,'Validation List'!F299:G694,2,FALSE)</f>
        <v>#N/A</v>
      </c>
      <c r="B298" s="90" t="e">
        <f>INDEX('NEW HIRE ROSTER'!$G:$G,MATCH(RAW!F298,'NEW HIRE ROSTER'!$A:$A,0))</f>
        <v>#N/A</v>
      </c>
      <c r="C298" s="90" t="e">
        <f>INDEX('NEW HIRE ROSTER'!$F:$F,MATCH(RAW!F298,'NEW HIRE ROSTER'!$A:$A,0))</f>
        <v>#N/A</v>
      </c>
      <c r="D298" s="90" t="e">
        <f>INDEX('Validation List'!$H:$H,MATCH(RAW!E298,'Validation List'!$F:$F,0))</f>
        <v>#N/A</v>
      </c>
      <c r="G298" s="90" t="e">
        <f>VLOOKUP(F298,ML!C282:D880,2,FALSE)</f>
        <v>#N/A</v>
      </c>
      <c r="H298" s="90" t="e">
        <f>VLOOKUP(F298,ML!C282:E880,3,FALSE)</f>
        <v>#N/A</v>
      </c>
    </row>
    <row r="299" spans="1:8" x14ac:dyDescent="0.35">
      <c r="A299" s="90" t="e">
        <f>VLOOKUP(E299,'Validation List'!F300:G695,2,FALSE)</f>
        <v>#N/A</v>
      </c>
      <c r="B299" s="90" t="e">
        <f>INDEX('NEW HIRE ROSTER'!$G:$G,MATCH(RAW!F299,'NEW HIRE ROSTER'!$A:$A,0))</f>
        <v>#N/A</v>
      </c>
      <c r="C299" s="90" t="e">
        <f>INDEX('NEW HIRE ROSTER'!$F:$F,MATCH(RAW!F299,'NEW HIRE ROSTER'!$A:$A,0))</f>
        <v>#N/A</v>
      </c>
      <c r="D299" s="90" t="e">
        <f>INDEX('Validation List'!$H:$H,MATCH(RAW!E299,'Validation List'!$F:$F,0))</f>
        <v>#N/A</v>
      </c>
      <c r="G299" s="90" t="e">
        <f>VLOOKUP(F299,ML!C283:D881,2,FALSE)</f>
        <v>#N/A</v>
      </c>
      <c r="H299" s="90" t="e">
        <f>VLOOKUP(F299,ML!C283:E881,3,FALSE)</f>
        <v>#N/A</v>
      </c>
    </row>
    <row r="300" spans="1:8" x14ac:dyDescent="0.35">
      <c r="A300" s="90" t="e">
        <f>VLOOKUP(E300,'Validation List'!F301:G696,2,FALSE)</f>
        <v>#N/A</v>
      </c>
      <c r="B300" s="90" t="e">
        <f>INDEX('NEW HIRE ROSTER'!$G:$G,MATCH(RAW!F300,'NEW HIRE ROSTER'!$A:$A,0))</f>
        <v>#N/A</v>
      </c>
      <c r="C300" s="90" t="e">
        <f>INDEX('NEW HIRE ROSTER'!$F:$F,MATCH(RAW!F300,'NEW HIRE ROSTER'!$A:$A,0))</f>
        <v>#N/A</v>
      </c>
      <c r="D300" s="90" t="e">
        <f>INDEX('Validation List'!$H:$H,MATCH(RAW!E300,'Validation List'!$F:$F,0))</f>
        <v>#N/A</v>
      </c>
      <c r="G300" s="90" t="e">
        <f>VLOOKUP(F300,ML!C284:D882,2,FALSE)</f>
        <v>#N/A</v>
      </c>
      <c r="H300" s="90" t="e">
        <f>VLOOKUP(F300,ML!C284:E882,3,FALSE)</f>
        <v>#N/A</v>
      </c>
    </row>
    <row r="301" spans="1:8" x14ac:dyDescent="0.35">
      <c r="A301" s="90" t="e">
        <f>VLOOKUP(E301,'Validation List'!F302:G697,2,FALSE)</f>
        <v>#N/A</v>
      </c>
      <c r="B301" s="90" t="e">
        <f>INDEX('NEW HIRE ROSTER'!$G:$G,MATCH(RAW!F301,'NEW HIRE ROSTER'!$A:$A,0))</f>
        <v>#N/A</v>
      </c>
      <c r="C301" s="90" t="e">
        <f>INDEX('NEW HIRE ROSTER'!$F:$F,MATCH(RAW!F301,'NEW HIRE ROSTER'!$A:$A,0))</f>
        <v>#N/A</v>
      </c>
      <c r="D301" s="90" t="e">
        <f>INDEX('Validation List'!$H:$H,MATCH(RAW!E301,'Validation List'!$F:$F,0))</f>
        <v>#N/A</v>
      </c>
      <c r="G301" s="90" t="e">
        <f>VLOOKUP(F301,ML!C285:D883,2,FALSE)</f>
        <v>#N/A</v>
      </c>
      <c r="H301" s="90" t="e">
        <f>VLOOKUP(F301,ML!C285:E883,3,FALSE)</f>
        <v>#N/A</v>
      </c>
    </row>
    <row r="302" spans="1:8" x14ac:dyDescent="0.35">
      <c r="A302" s="90" t="e">
        <f>VLOOKUP(E302,'Validation List'!F303:G698,2,FALSE)</f>
        <v>#N/A</v>
      </c>
      <c r="B302" s="90" t="e">
        <f>INDEX('NEW HIRE ROSTER'!$G:$G,MATCH(RAW!F302,'NEW HIRE ROSTER'!$A:$A,0))</f>
        <v>#N/A</v>
      </c>
      <c r="C302" s="90" t="e">
        <f>INDEX('NEW HIRE ROSTER'!$F:$F,MATCH(RAW!F302,'NEW HIRE ROSTER'!$A:$A,0))</f>
        <v>#N/A</v>
      </c>
      <c r="D302" s="90" t="e">
        <f>INDEX('Validation List'!$H:$H,MATCH(RAW!E302,'Validation List'!$F:$F,0))</f>
        <v>#N/A</v>
      </c>
      <c r="G302" s="90" t="e">
        <f>VLOOKUP(F302,ML!C286:D884,2,FALSE)</f>
        <v>#N/A</v>
      </c>
      <c r="H302" s="90" t="e">
        <f>VLOOKUP(F302,ML!C286:E884,3,FALSE)</f>
        <v>#N/A</v>
      </c>
    </row>
    <row r="303" spans="1:8" x14ac:dyDescent="0.35">
      <c r="A303" s="90" t="e">
        <f>VLOOKUP(E303,'Validation List'!F304:G699,2,FALSE)</f>
        <v>#N/A</v>
      </c>
      <c r="B303" s="90" t="e">
        <f>INDEX('NEW HIRE ROSTER'!$G:$G,MATCH(RAW!F303,'NEW HIRE ROSTER'!$A:$A,0))</f>
        <v>#N/A</v>
      </c>
      <c r="C303" s="90" t="e">
        <f>INDEX('NEW HIRE ROSTER'!$F:$F,MATCH(RAW!F303,'NEW HIRE ROSTER'!$A:$A,0))</f>
        <v>#N/A</v>
      </c>
      <c r="D303" s="90" t="e">
        <f>INDEX('Validation List'!$H:$H,MATCH(RAW!E303,'Validation List'!$F:$F,0))</f>
        <v>#N/A</v>
      </c>
      <c r="G303" s="90" t="e">
        <f>VLOOKUP(F303,ML!C287:D885,2,FALSE)</f>
        <v>#N/A</v>
      </c>
      <c r="H303" s="90" t="e">
        <f>VLOOKUP(F303,ML!C287:E885,3,FALSE)</f>
        <v>#N/A</v>
      </c>
    </row>
    <row r="304" spans="1:8" x14ac:dyDescent="0.35">
      <c r="A304" s="90" t="e">
        <f>VLOOKUP(E304,'Validation List'!F305:G700,2,FALSE)</f>
        <v>#N/A</v>
      </c>
      <c r="B304" s="90" t="e">
        <f>INDEX('NEW HIRE ROSTER'!$G:$G,MATCH(RAW!F304,'NEW HIRE ROSTER'!$A:$A,0))</f>
        <v>#N/A</v>
      </c>
      <c r="C304" s="90" t="e">
        <f>INDEX('NEW HIRE ROSTER'!$F:$F,MATCH(RAW!F304,'NEW HIRE ROSTER'!$A:$A,0))</f>
        <v>#N/A</v>
      </c>
      <c r="D304" s="90" t="e">
        <f>INDEX('Validation List'!$H:$H,MATCH(RAW!E304,'Validation List'!$F:$F,0))</f>
        <v>#N/A</v>
      </c>
      <c r="G304" s="90" t="e">
        <f>VLOOKUP(F304,ML!C288:D886,2,FALSE)</f>
        <v>#N/A</v>
      </c>
      <c r="H304" s="90" t="e">
        <f>VLOOKUP(F304,ML!C288:E886,3,FALSE)</f>
        <v>#N/A</v>
      </c>
    </row>
    <row r="305" spans="1:8" x14ac:dyDescent="0.35">
      <c r="A305" s="90" t="e">
        <f>VLOOKUP(E305,'Validation List'!F306:G701,2,FALSE)</f>
        <v>#N/A</v>
      </c>
      <c r="B305" s="90" t="e">
        <f>INDEX('NEW HIRE ROSTER'!$G:$G,MATCH(RAW!F305,'NEW HIRE ROSTER'!$A:$A,0))</f>
        <v>#N/A</v>
      </c>
      <c r="C305" s="90" t="e">
        <f>INDEX('NEW HIRE ROSTER'!$F:$F,MATCH(RAW!F305,'NEW HIRE ROSTER'!$A:$A,0))</f>
        <v>#N/A</v>
      </c>
      <c r="D305" s="90" t="e">
        <f>INDEX('Validation List'!$H:$H,MATCH(RAW!E305,'Validation List'!$F:$F,0))</f>
        <v>#N/A</v>
      </c>
      <c r="G305" s="90" t="e">
        <f>VLOOKUP(F305,ML!C289:D887,2,FALSE)</f>
        <v>#N/A</v>
      </c>
      <c r="H305" s="90" t="e">
        <f>VLOOKUP(F305,ML!C289:E887,3,FALSE)</f>
        <v>#N/A</v>
      </c>
    </row>
    <row r="306" spans="1:8" x14ac:dyDescent="0.35">
      <c r="A306" s="90" t="e">
        <f>VLOOKUP(E306,'Validation List'!F307:G702,2,FALSE)</f>
        <v>#N/A</v>
      </c>
      <c r="B306" s="90" t="e">
        <f>INDEX('NEW HIRE ROSTER'!$G:$G,MATCH(RAW!F306,'NEW HIRE ROSTER'!$A:$A,0))</f>
        <v>#N/A</v>
      </c>
      <c r="C306" s="90" t="e">
        <f>INDEX('NEW HIRE ROSTER'!$F:$F,MATCH(RAW!F306,'NEW HIRE ROSTER'!$A:$A,0))</f>
        <v>#N/A</v>
      </c>
      <c r="D306" s="90" t="e">
        <f>INDEX('Validation List'!$H:$H,MATCH(RAW!E306,'Validation List'!$F:$F,0))</f>
        <v>#N/A</v>
      </c>
      <c r="G306" s="90" t="e">
        <f>VLOOKUP(F306,ML!C290:D888,2,FALSE)</f>
        <v>#N/A</v>
      </c>
      <c r="H306" s="90" t="e">
        <f>VLOOKUP(F306,ML!C290:E888,3,FALSE)</f>
        <v>#N/A</v>
      </c>
    </row>
    <row r="307" spans="1:8" x14ac:dyDescent="0.35">
      <c r="A307" s="90" t="e">
        <f>VLOOKUP(E307,'Validation List'!F308:G703,2,FALSE)</f>
        <v>#N/A</v>
      </c>
      <c r="B307" s="90" t="e">
        <f>INDEX('NEW HIRE ROSTER'!$G:$G,MATCH(RAW!F307,'NEW HIRE ROSTER'!$A:$A,0))</f>
        <v>#N/A</v>
      </c>
      <c r="C307" s="90" t="e">
        <f>INDEX('NEW HIRE ROSTER'!$F:$F,MATCH(RAW!F307,'NEW HIRE ROSTER'!$A:$A,0))</f>
        <v>#N/A</v>
      </c>
      <c r="D307" s="90" t="e">
        <f>INDEX('Validation List'!$H:$H,MATCH(RAW!E307,'Validation List'!$F:$F,0))</f>
        <v>#N/A</v>
      </c>
      <c r="G307" s="90" t="e">
        <f>VLOOKUP(F307,ML!C291:D889,2,FALSE)</f>
        <v>#N/A</v>
      </c>
      <c r="H307" s="90" t="e">
        <f>VLOOKUP(F307,ML!C291:E889,3,FALSE)</f>
        <v>#N/A</v>
      </c>
    </row>
    <row r="308" spans="1:8" x14ac:dyDescent="0.35">
      <c r="A308" s="90" t="e">
        <f>VLOOKUP(E308,'Validation List'!F309:G704,2,FALSE)</f>
        <v>#N/A</v>
      </c>
      <c r="B308" s="90" t="e">
        <f>INDEX('NEW HIRE ROSTER'!$G:$G,MATCH(RAW!F308,'NEW HIRE ROSTER'!$A:$A,0))</f>
        <v>#N/A</v>
      </c>
      <c r="C308" s="90" t="e">
        <f>INDEX('NEW HIRE ROSTER'!$F:$F,MATCH(RAW!F308,'NEW HIRE ROSTER'!$A:$A,0))</f>
        <v>#N/A</v>
      </c>
      <c r="D308" s="90" t="e">
        <f>INDEX('Validation List'!$H:$H,MATCH(RAW!E308,'Validation List'!$F:$F,0))</f>
        <v>#N/A</v>
      </c>
      <c r="G308" s="90" t="e">
        <f>VLOOKUP(F308,ML!C292:D890,2,FALSE)</f>
        <v>#N/A</v>
      </c>
      <c r="H308" s="90" t="e">
        <f>VLOOKUP(F308,ML!C292:E890,3,FALSE)</f>
        <v>#N/A</v>
      </c>
    </row>
    <row r="309" spans="1:8" x14ac:dyDescent="0.35">
      <c r="A309" s="90" t="e">
        <f>VLOOKUP(E309,'Validation List'!F310:G705,2,FALSE)</f>
        <v>#N/A</v>
      </c>
      <c r="B309" s="90" t="e">
        <f>INDEX('NEW HIRE ROSTER'!$G:$G,MATCH(RAW!F309,'NEW HIRE ROSTER'!$A:$A,0))</f>
        <v>#N/A</v>
      </c>
      <c r="C309" s="90" t="e">
        <f>INDEX('NEW HIRE ROSTER'!$F:$F,MATCH(RAW!F309,'NEW HIRE ROSTER'!$A:$A,0))</f>
        <v>#N/A</v>
      </c>
      <c r="D309" s="90" t="e">
        <f>INDEX('Validation List'!$H:$H,MATCH(RAW!E309,'Validation List'!$F:$F,0))</f>
        <v>#N/A</v>
      </c>
      <c r="G309" s="90" t="e">
        <f>VLOOKUP(F309,ML!C293:D891,2,FALSE)</f>
        <v>#N/A</v>
      </c>
      <c r="H309" s="90" t="e">
        <f>VLOOKUP(F309,ML!C293:E891,3,FALSE)</f>
        <v>#N/A</v>
      </c>
    </row>
    <row r="310" spans="1:8" x14ac:dyDescent="0.35">
      <c r="A310" s="90" t="e">
        <f>VLOOKUP(E310,'Validation List'!F311:G706,2,FALSE)</f>
        <v>#N/A</v>
      </c>
      <c r="B310" s="90" t="e">
        <f>INDEX('NEW HIRE ROSTER'!$G:$G,MATCH(RAW!F310,'NEW HIRE ROSTER'!$A:$A,0))</f>
        <v>#N/A</v>
      </c>
      <c r="C310" s="90" t="e">
        <f>INDEX('NEW HIRE ROSTER'!$F:$F,MATCH(RAW!F310,'NEW HIRE ROSTER'!$A:$A,0))</f>
        <v>#N/A</v>
      </c>
      <c r="D310" s="90" t="e">
        <f>INDEX('Validation List'!$H:$H,MATCH(RAW!E310,'Validation List'!$F:$F,0))</f>
        <v>#N/A</v>
      </c>
      <c r="G310" s="90" t="e">
        <f>VLOOKUP(F310,ML!C294:D892,2,FALSE)</f>
        <v>#N/A</v>
      </c>
      <c r="H310" s="90" t="e">
        <f>VLOOKUP(F310,ML!C294:E892,3,FALSE)</f>
        <v>#N/A</v>
      </c>
    </row>
    <row r="311" spans="1:8" x14ac:dyDescent="0.35">
      <c r="A311" s="90" t="e">
        <f>VLOOKUP(E311,'Validation List'!F312:G707,2,FALSE)</f>
        <v>#N/A</v>
      </c>
      <c r="B311" s="90" t="e">
        <f>INDEX('NEW HIRE ROSTER'!$G:$G,MATCH(RAW!F311,'NEW HIRE ROSTER'!$A:$A,0))</f>
        <v>#N/A</v>
      </c>
      <c r="C311" s="90" t="e">
        <f>INDEX('NEW HIRE ROSTER'!$F:$F,MATCH(RAW!F311,'NEW HIRE ROSTER'!$A:$A,0))</f>
        <v>#N/A</v>
      </c>
      <c r="D311" s="90" t="e">
        <f>INDEX('Validation List'!$H:$H,MATCH(RAW!E311,'Validation List'!$F:$F,0))</f>
        <v>#N/A</v>
      </c>
      <c r="G311" s="90" t="e">
        <f>VLOOKUP(F311,ML!C295:D893,2,FALSE)</f>
        <v>#N/A</v>
      </c>
      <c r="H311" s="90" t="e">
        <f>VLOOKUP(F311,ML!C295:E893,3,FALSE)</f>
        <v>#N/A</v>
      </c>
    </row>
    <row r="312" spans="1:8" x14ac:dyDescent="0.35">
      <c r="A312" s="90" t="e">
        <f>VLOOKUP(E312,'Validation List'!F313:G708,2,FALSE)</f>
        <v>#N/A</v>
      </c>
      <c r="B312" s="90" t="e">
        <f>INDEX('NEW HIRE ROSTER'!$G:$G,MATCH(RAW!F312,'NEW HIRE ROSTER'!$A:$A,0))</f>
        <v>#N/A</v>
      </c>
      <c r="C312" s="90" t="e">
        <f>INDEX('NEW HIRE ROSTER'!$F:$F,MATCH(RAW!F312,'NEW HIRE ROSTER'!$A:$A,0))</f>
        <v>#N/A</v>
      </c>
      <c r="D312" s="90" t="e">
        <f>INDEX('Validation List'!$H:$H,MATCH(RAW!E312,'Validation List'!$F:$F,0))</f>
        <v>#N/A</v>
      </c>
      <c r="G312" s="90" t="e">
        <f>VLOOKUP(F312,ML!C296:D894,2,FALSE)</f>
        <v>#N/A</v>
      </c>
      <c r="H312" s="90" t="e">
        <f>VLOOKUP(F312,ML!C296:E894,3,FALSE)</f>
        <v>#N/A</v>
      </c>
    </row>
    <row r="313" spans="1:8" x14ac:dyDescent="0.35">
      <c r="A313" s="90" t="e">
        <f>VLOOKUP(E313,'Validation List'!F314:G709,2,FALSE)</f>
        <v>#N/A</v>
      </c>
      <c r="B313" s="90" t="e">
        <f>INDEX('NEW HIRE ROSTER'!$G:$G,MATCH(RAW!F313,'NEW HIRE ROSTER'!$A:$A,0))</f>
        <v>#N/A</v>
      </c>
      <c r="C313" s="90" t="e">
        <f>INDEX('NEW HIRE ROSTER'!$F:$F,MATCH(RAW!F313,'NEW HIRE ROSTER'!$A:$A,0))</f>
        <v>#N/A</v>
      </c>
      <c r="D313" s="90" t="e">
        <f>INDEX('Validation List'!$H:$H,MATCH(RAW!E313,'Validation List'!$F:$F,0))</f>
        <v>#N/A</v>
      </c>
      <c r="G313" s="90" t="e">
        <f>VLOOKUP(F313,ML!C297:D895,2,FALSE)</f>
        <v>#N/A</v>
      </c>
      <c r="H313" s="90" t="e">
        <f>VLOOKUP(F313,ML!C297:E895,3,FALSE)</f>
        <v>#N/A</v>
      </c>
    </row>
    <row r="314" spans="1:8" x14ac:dyDescent="0.35">
      <c r="A314" s="90" t="e">
        <f>VLOOKUP(E314,'Validation List'!F315:G710,2,FALSE)</f>
        <v>#N/A</v>
      </c>
      <c r="B314" s="90" t="e">
        <f>INDEX('NEW HIRE ROSTER'!$G:$G,MATCH(RAW!F314,'NEW HIRE ROSTER'!$A:$A,0))</f>
        <v>#N/A</v>
      </c>
      <c r="C314" s="90" t="e">
        <f>INDEX('NEW HIRE ROSTER'!$F:$F,MATCH(RAW!F314,'NEW HIRE ROSTER'!$A:$A,0))</f>
        <v>#N/A</v>
      </c>
      <c r="D314" s="90" t="e">
        <f>INDEX('Validation List'!$H:$H,MATCH(RAW!E314,'Validation List'!$F:$F,0))</f>
        <v>#N/A</v>
      </c>
      <c r="G314" s="90" t="e">
        <f>VLOOKUP(F314,ML!C298:D896,2,FALSE)</f>
        <v>#N/A</v>
      </c>
      <c r="H314" s="90" t="e">
        <f>VLOOKUP(F314,ML!C298:E896,3,FALSE)</f>
        <v>#N/A</v>
      </c>
    </row>
    <row r="315" spans="1:8" x14ac:dyDescent="0.35">
      <c r="A315" s="90" t="e">
        <f>VLOOKUP(E315,'Validation List'!F316:G711,2,FALSE)</f>
        <v>#N/A</v>
      </c>
      <c r="B315" s="90" t="e">
        <f>INDEX('NEW HIRE ROSTER'!$G:$G,MATCH(RAW!F315,'NEW HIRE ROSTER'!$A:$A,0))</f>
        <v>#N/A</v>
      </c>
      <c r="C315" s="90" t="e">
        <f>INDEX('NEW HIRE ROSTER'!$F:$F,MATCH(RAW!F315,'NEW HIRE ROSTER'!$A:$A,0))</f>
        <v>#N/A</v>
      </c>
      <c r="D315" s="90" t="e">
        <f>INDEX('Validation List'!$H:$H,MATCH(RAW!E315,'Validation List'!$F:$F,0))</f>
        <v>#N/A</v>
      </c>
      <c r="G315" s="90" t="e">
        <f>VLOOKUP(F315,ML!C299:D897,2,FALSE)</f>
        <v>#N/A</v>
      </c>
      <c r="H315" s="90" t="e">
        <f>VLOOKUP(F315,ML!C299:E897,3,FALSE)</f>
        <v>#N/A</v>
      </c>
    </row>
    <row r="316" spans="1:8" x14ac:dyDescent="0.35">
      <c r="A316" s="90" t="e">
        <f>VLOOKUP(E316,'Validation List'!F317:G712,2,FALSE)</f>
        <v>#N/A</v>
      </c>
      <c r="B316" s="90" t="e">
        <f>INDEX('NEW HIRE ROSTER'!$G:$G,MATCH(RAW!F316,'NEW HIRE ROSTER'!$A:$A,0))</f>
        <v>#N/A</v>
      </c>
      <c r="C316" s="90" t="e">
        <f>INDEX('NEW HIRE ROSTER'!$F:$F,MATCH(RAW!F316,'NEW HIRE ROSTER'!$A:$A,0))</f>
        <v>#N/A</v>
      </c>
      <c r="D316" s="90" t="e">
        <f>INDEX('Validation List'!$H:$H,MATCH(RAW!E316,'Validation List'!$F:$F,0))</f>
        <v>#N/A</v>
      </c>
      <c r="G316" s="90" t="e">
        <f>VLOOKUP(F316,ML!C300:D898,2,FALSE)</f>
        <v>#N/A</v>
      </c>
      <c r="H316" s="90" t="e">
        <f>VLOOKUP(F316,ML!C300:E898,3,FALSE)</f>
        <v>#N/A</v>
      </c>
    </row>
    <row r="317" spans="1:8" x14ac:dyDescent="0.35">
      <c r="A317" s="90" t="e">
        <f>VLOOKUP(E317,'Validation List'!F318:G713,2,FALSE)</f>
        <v>#N/A</v>
      </c>
      <c r="B317" s="90" t="e">
        <f>INDEX('NEW HIRE ROSTER'!$G:$G,MATCH(RAW!F317,'NEW HIRE ROSTER'!$A:$A,0))</f>
        <v>#N/A</v>
      </c>
      <c r="C317" s="90" t="e">
        <f>INDEX('NEW HIRE ROSTER'!$F:$F,MATCH(RAW!F317,'NEW HIRE ROSTER'!$A:$A,0))</f>
        <v>#N/A</v>
      </c>
      <c r="D317" s="90" t="e">
        <f>INDEX('Validation List'!$H:$H,MATCH(RAW!E317,'Validation List'!$F:$F,0))</f>
        <v>#N/A</v>
      </c>
      <c r="G317" s="90" t="e">
        <f>VLOOKUP(F317,ML!C301:D899,2,FALSE)</f>
        <v>#N/A</v>
      </c>
      <c r="H317" s="90" t="e">
        <f>VLOOKUP(F317,ML!C301:E899,3,FALSE)</f>
        <v>#N/A</v>
      </c>
    </row>
    <row r="318" spans="1:8" x14ac:dyDescent="0.35">
      <c r="A318" s="90" t="e">
        <f>VLOOKUP(E318,'Validation List'!F319:G714,2,FALSE)</f>
        <v>#N/A</v>
      </c>
      <c r="B318" s="90" t="e">
        <f>INDEX('NEW HIRE ROSTER'!$G:$G,MATCH(RAW!F318,'NEW HIRE ROSTER'!$A:$A,0))</f>
        <v>#N/A</v>
      </c>
      <c r="C318" s="90" t="e">
        <f>INDEX('NEW HIRE ROSTER'!$F:$F,MATCH(RAW!F318,'NEW HIRE ROSTER'!$A:$A,0))</f>
        <v>#N/A</v>
      </c>
      <c r="D318" s="90" t="e">
        <f>INDEX('Validation List'!$H:$H,MATCH(RAW!E318,'Validation List'!$F:$F,0))</f>
        <v>#N/A</v>
      </c>
      <c r="G318" s="90" t="e">
        <f>VLOOKUP(F318,ML!C302:D900,2,FALSE)</f>
        <v>#N/A</v>
      </c>
      <c r="H318" s="90" t="e">
        <f>VLOOKUP(F318,ML!C302:E900,3,FALSE)</f>
        <v>#N/A</v>
      </c>
    </row>
    <row r="319" spans="1:8" x14ac:dyDescent="0.35">
      <c r="A319" s="90" t="e">
        <f>VLOOKUP(E319,'Validation List'!F320:G715,2,FALSE)</f>
        <v>#N/A</v>
      </c>
      <c r="B319" s="90" t="e">
        <f>INDEX('NEW HIRE ROSTER'!$G:$G,MATCH(RAW!F319,'NEW HIRE ROSTER'!$A:$A,0))</f>
        <v>#N/A</v>
      </c>
      <c r="C319" s="90" t="e">
        <f>INDEX('NEW HIRE ROSTER'!$F:$F,MATCH(RAW!F319,'NEW HIRE ROSTER'!$A:$A,0))</f>
        <v>#N/A</v>
      </c>
      <c r="D319" s="90" t="e">
        <f>INDEX('Validation List'!$H:$H,MATCH(RAW!E319,'Validation List'!$F:$F,0))</f>
        <v>#N/A</v>
      </c>
      <c r="G319" s="90" t="e">
        <f>VLOOKUP(F319,ML!C303:D901,2,FALSE)</f>
        <v>#N/A</v>
      </c>
      <c r="H319" s="90" t="e">
        <f>VLOOKUP(F319,ML!C303:E901,3,FALSE)</f>
        <v>#N/A</v>
      </c>
    </row>
    <row r="320" spans="1:8" x14ac:dyDescent="0.35">
      <c r="A320" s="90" t="e">
        <f>VLOOKUP(E320,'Validation List'!F321:G716,2,FALSE)</f>
        <v>#N/A</v>
      </c>
      <c r="B320" s="90" t="e">
        <f>INDEX('NEW HIRE ROSTER'!$G:$G,MATCH(RAW!F320,'NEW HIRE ROSTER'!$A:$A,0))</f>
        <v>#N/A</v>
      </c>
      <c r="C320" s="90" t="e">
        <f>INDEX('NEW HIRE ROSTER'!$F:$F,MATCH(RAW!F320,'NEW HIRE ROSTER'!$A:$A,0))</f>
        <v>#N/A</v>
      </c>
      <c r="D320" s="90" t="e">
        <f>INDEX('Validation List'!$H:$H,MATCH(RAW!E320,'Validation List'!$F:$F,0))</f>
        <v>#N/A</v>
      </c>
      <c r="G320" s="90" t="e">
        <f>VLOOKUP(F320,ML!C304:D902,2,FALSE)</f>
        <v>#N/A</v>
      </c>
      <c r="H320" s="90" t="e">
        <f>VLOOKUP(F320,ML!C304:E902,3,FALSE)</f>
        <v>#N/A</v>
      </c>
    </row>
    <row r="321" spans="1:8" x14ac:dyDescent="0.35">
      <c r="A321" s="90" t="e">
        <f>VLOOKUP(E321,'Validation List'!F322:G717,2,FALSE)</f>
        <v>#N/A</v>
      </c>
      <c r="B321" s="90" t="e">
        <f>INDEX('NEW HIRE ROSTER'!$G:$G,MATCH(RAW!F321,'NEW HIRE ROSTER'!$A:$A,0))</f>
        <v>#N/A</v>
      </c>
      <c r="C321" s="90" t="e">
        <f>INDEX('NEW HIRE ROSTER'!$F:$F,MATCH(RAW!F321,'NEW HIRE ROSTER'!$A:$A,0))</f>
        <v>#N/A</v>
      </c>
      <c r="D321" s="90" t="e">
        <f>INDEX('Validation List'!$H:$H,MATCH(RAW!E321,'Validation List'!$F:$F,0))</f>
        <v>#N/A</v>
      </c>
      <c r="G321" s="90" t="e">
        <f>VLOOKUP(F321,ML!C305:D903,2,FALSE)</f>
        <v>#N/A</v>
      </c>
      <c r="H321" s="90" t="e">
        <f>VLOOKUP(F321,ML!C305:E903,3,FALSE)</f>
        <v>#N/A</v>
      </c>
    </row>
    <row r="322" spans="1:8" x14ac:dyDescent="0.35">
      <c r="A322" s="90" t="e">
        <f>VLOOKUP(E322,'Validation List'!F323:G718,2,FALSE)</f>
        <v>#N/A</v>
      </c>
      <c r="B322" s="90" t="e">
        <f>INDEX('NEW HIRE ROSTER'!$G:$G,MATCH(RAW!F322,'NEW HIRE ROSTER'!$A:$A,0))</f>
        <v>#N/A</v>
      </c>
      <c r="C322" s="90" t="e">
        <f>INDEX('NEW HIRE ROSTER'!$F:$F,MATCH(RAW!F322,'NEW HIRE ROSTER'!$A:$A,0))</f>
        <v>#N/A</v>
      </c>
      <c r="D322" s="90" t="e">
        <f>INDEX('Validation List'!$H:$H,MATCH(RAW!E322,'Validation List'!$F:$F,0))</f>
        <v>#N/A</v>
      </c>
      <c r="G322" s="90" t="e">
        <f>VLOOKUP(F322,ML!C306:D904,2,FALSE)</f>
        <v>#N/A</v>
      </c>
      <c r="H322" s="90" t="e">
        <f>VLOOKUP(F322,ML!C306:E904,3,FALSE)</f>
        <v>#N/A</v>
      </c>
    </row>
    <row r="323" spans="1:8" x14ac:dyDescent="0.35">
      <c r="A323" s="90" t="e">
        <f>VLOOKUP(E323,'Validation List'!F324:G719,2,FALSE)</f>
        <v>#N/A</v>
      </c>
      <c r="B323" s="90" t="e">
        <f>INDEX('NEW HIRE ROSTER'!$G:$G,MATCH(RAW!F323,'NEW HIRE ROSTER'!$A:$A,0))</f>
        <v>#N/A</v>
      </c>
      <c r="C323" s="90" t="e">
        <f>INDEX('NEW HIRE ROSTER'!$F:$F,MATCH(RAW!F323,'NEW HIRE ROSTER'!$A:$A,0))</f>
        <v>#N/A</v>
      </c>
      <c r="D323" s="90" t="e">
        <f>INDEX('Validation List'!$H:$H,MATCH(RAW!E323,'Validation List'!$F:$F,0))</f>
        <v>#N/A</v>
      </c>
      <c r="G323" s="90" t="e">
        <f>VLOOKUP(F323,ML!C307:D905,2,FALSE)</f>
        <v>#N/A</v>
      </c>
      <c r="H323" s="90" t="e">
        <f>VLOOKUP(F323,ML!C307:E905,3,FALSE)</f>
        <v>#N/A</v>
      </c>
    </row>
    <row r="324" spans="1:8" x14ac:dyDescent="0.35">
      <c r="A324" s="90" t="e">
        <f>VLOOKUP(E324,'Validation List'!F325:G720,2,FALSE)</f>
        <v>#N/A</v>
      </c>
      <c r="B324" s="90" t="e">
        <f>INDEX('NEW HIRE ROSTER'!$G:$G,MATCH(RAW!F324,'NEW HIRE ROSTER'!$A:$A,0))</f>
        <v>#N/A</v>
      </c>
      <c r="C324" s="90" t="e">
        <f>INDEX('NEW HIRE ROSTER'!$F:$F,MATCH(RAW!F324,'NEW HIRE ROSTER'!$A:$A,0))</f>
        <v>#N/A</v>
      </c>
      <c r="D324" s="90" t="e">
        <f>INDEX('Validation List'!$H:$H,MATCH(RAW!E324,'Validation List'!$F:$F,0))</f>
        <v>#N/A</v>
      </c>
      <c r="G324" s="90" t="e">
        <f>VLOOKUP(F324,ML!C308:D906,2,FALSE)</f>
        <v>#N/A</v>
      </c>
      <c r="H324" s="90" t="e">
        <f>VLOOKUP(F324,ML!C308:E906,3,FALSE)</f>
        <v>#N/A</v>
      </c>
    </row>
    <row r="325" spans="1:8" x14ac:dyDescent="0.35">
      <c r="A325" s="90" t="e">
        <f>VLOOKUP(E325,'Validation List'!F326:G721,2,FALSE)</f>
        <v>#N/A</v>
      </c>
      <c r="B325" s="90" t="e">
        <f>INDEX('NEW HIRE ROSTER'!$G:$G,MATCH(RAW!F325,'NEW HIRE ROSTER'!$A:$A,0))</f>
        <v>#N/A</v>
      </c>
      <c r="C325" s="90" t="e">
        <f>INDEX('NEW HIRE ROSTER'!$F:$F,MATCH(RAW!F325,'NEW HIRE ROSTER'!$A:$A,0))</f>
        <v>#N/A</v>
      </c>
      <c r="D325" s="90" t="e">
        <f>INDEX('Validation List'!$H:$H,MATCH(RAW!E325,'Validation List'!$F:$F,0))</f>
        <v>#N/A</v>
      </c>
      <c r="G325" s="90" t="e">
        <f>VLOOKUP(F325,ML!C309:D907,2,FALSE)</f>
        <v>#N/A</v>
      </c>
      <c r="H325" s="90" t="e">
        <f>VLOOKUP(F325,ML!C309:E907,3,FALSE)</f>
        <v>#N/A</v>
      </c>
    </row>
    <row r="326" spans="1:8" x14ac:dyDescent="0.35">
      <c r="A326" s="90" t="e">
        <f>VLOOKUP(E326,'Validation List'!F327:G722,2,FALSE)</f>
        <v>#N/A</v>
      </c>
      <c r="B326" s="90" t="e">
        <f>INDEX('NEW HIRE ROSTER'!$G:$G,MATCH(RAW!F326,'NEW HIRE ROSTER'!$A:$A,0))</f>
        <v>#N/A</v>
      </c>
      <c r="C326" s="90" t="e">
        <f>INDEX('NEW HIRE ROSTER'!$F:$F,MATCH(RAW!F326,'NEW HIRE ROSTER'!$A:$A,0))</f>
        <v>#N/A</v>
      </c>
      <c r="D326" s="90" t="e">
        <f>INDEX('Validation List'!$H:$H,MATCH(RAW!E326,'Validation List'!$F:$F,0))</f>
        <v>#N/A</v>
      </c>
      <c r="G326" s="90" t="e">
        <f>VLOOKUP(F326,ML!C310:D908,2,FALSE)</f>
        <v>#N/A</v>
      </c>
      <c r="H326" s="90" t="e">
        <f>VLOOKUP(F326,ML!C310:E908,3,FALSE)</f>
        <v>#N/A</v>
      </c>
    </row>
    <row r="327" spans="1:8" x14ac:dyDescent="0.35">
      <c r="A327" s="90" t="e">
        <f>VLOOKUP(E327,'Validation List'!F328:G723,2,FALSE)</f>
        <v>#N/A</v>
      </c>
      <c r="B327" s="90" t="e">
        <f>INDEX('NEW HIRE ROSTER'!$G:$G,MATCH(RAW!F327,'NEW HIRE ROSTER'!$A:$A,0))</f>
        <v>#N/A</v>
      </c>
      <c r="C327" s="90" t="e">
        <f>INDEX('NEW HIRE ROSTER'!$F:$F,MATCH(RAW!F327,'NEW HIRE ROSTER'!$A:$A,0))</f>
        <v>#N/A</v>
      </c>
      <c r="D327" s="90" t="e">
        <f>INDEX('Validation List'!$H:$H,MATCH(RAW!E327,'Validation List'!$F:$F,0))</f>
        <v>#N/A</v>
      </c>
      <c r="G327" s="90" t="e">
        <f>VLOOKUP(F327,ML!C311:D909,2,FALSE)</f>
        <v>#N/A</v>
      </c>
      <c r="H327" s="90" t="e">
        <f>VLOOKUP(F327,ML!C311:E909,3,FALSE)</f>
        <v>#N/A</v>
      </c>
    </row>
    <row r="328" spans="1:8" x14ac:dyDescent="0.35">
      <c r="A328" s="90" t="e">
        <f>VLOOKUP(E328,'Validation List'!F329:G724,2,FALSE)</f>
        <v>#N/A</v>
      </c>
      <c r="B328" s="90" t="e">
        <f>INDEX('NEW HIRE ROSTER'!$G:$G,MATCH(RAW!F328,'NEW HIRE ROSTER'!$A:$A,0))</f>
        <v>#N/A</v>
      </c>
      <c r="C328" s="90" t="e">
        <f>INDEX('NEW HIRE ROSTER'!$F:$F,MATCH(RAW!F328,'NEW HIRE ROSTER'!$A:$A,0))</f>
        <v>#N/A</v>
      </c>
      <c r="D328" s="90" t="e">
        <f>INDEX('Validation List'!$H:$H,MATCH(RAW!E328,'Validation List'!$F:$F,0))</f>
        <v>#N/A</v>
      </c>
      <c r="G328" s="90" t="e">
        <f>VLOOKUP(F328,ML!C312:D910,2,FALSE)</f>
        <v>#N/A</v>
      </c>
      <c r="H328" s="90" t="e">
        <f>VLOOKUP(F328,ML!C312:E910,3,FALSE)</f>
        <v>#N/A</v>
      </c>
    </row>
    <row r="329" spans="1:8" x14ac:dyDescent="0.35">
      <c r="A329" s="90" t="e">
        <f>VLOOKUP(E329,'Validation List'!F330:G725,2,FALSE)</f>
        <v>#N/A</v>
      </c>
      <c r="B329" s="90" t="e">
        <f>INDEX('NEW HIRE ROSTER'!$G:$G,MATCH(RAW!F329,'NEW HIRE ROSTER'!$A:$A,0))</f>
        <v>#N/A</v>
      </c>
      <c r="C329" s="90" t="e">
        <f>INDEX('NEW HIRE ROSTER'!$F:$F,MATCH(RAW!F329,'NEW HIRE ROSTER'!$A:$A,0))</f>
        <v>#N/A</v>
      </c>
      <c r="D329" s="90" t="e">
        <f>INDEX('Validation List'!$H:$H,MATCH(RAW!E329,'Validation List'!$F:$F,0))</f>
        <v>#N/A</v>
      </c>
      <c r="G329" s="90" t="e">
        <f>VLOOKUP(F329,ML!C313:D911,2,FALSE)</f>
        <v>#N/A</v>
      </c>
      <c r="H329" s="90" t="e">
        <f>VLOOKUP(F329,ML!C313:E911,3,FALSE)</f>
        <v>#N/A</v>
      </c>
    </row>
    <row r="330" spans="1:8" x14ac:dyDescent="0.35">
      <c r="A330" s="90" t="e">
        <f>VLOOKUP(E330,'Validation List'!F331:G726,2,FALSE)</f>
        <v>#N/A</v>
      </c>
      <c r="B330" s="90" t="e">
        <f>INDEX('NEW HIRE ROSTER'!$G:$G,MATCH(RAW!F330,'NEW HIRE ROSTER'!$A:$A,0))</f>
        <v>#N/A</v>
      </c>
      <c r="C330" s="90" t="e">
        <f>INDEX('NEW HIRE ROSTER'!$F:$F,MATCH(RAW!F330,'NEW HIRE ROSTER'!$A:$A,0))</f>
        <v>#N/A</v>
      </c>
      <c r="D330" s="90" t="e">
        <f>INDEX('Validation List'!$H:$H,MATCH(RAW!E330,'Validation List'!$F:$F,0))</f>
        <v>#N/A</v>
      </c>
      <c r="G330" s="90" t="e">
        <f>VLOOKUP(F330,ML!C314:D912,2,FALSE)</f>
        <v>#N/A</v>
      </c>
      <c r="H330" s="90" t="e">
        <f>VLOOKUP(F330,ML!C314:E912,3,FALSE)</f>
        <v>#N/A</v>
      </c>
    </row>
    <row r="331" spans="1:8" x14ac:dyDescent="0.35">
      <c r="A331" s="90" t="e">
        <f>VLOOKUP(E331,'Validation List'!F332:G727,2,FALSE)</f>
        <v>#N/A</v>
      </c>
      <c r="B331" s="90" t="e">
        <f>INDEX('NEW HIRE ROSTER'!$G:$G,MATCH(RAW!F331,'NEW HIRE ROSTER'!$A:$A,0))</f>
        <v>#N/A</v>
      </c>
      <c r="C331" s="90" t="e">
        <f>INDEX('NEW HIRE ROSTER'!$F:$F,MATCH(RAW!F331,'NEW HIRE ROSTER'!$A:$A,0))</f>
        <v>#N/A</v>
      </c>
      <c r="D331" s="90" t="e">
        <f>INDEX('Validation List'!$H:$H,MATCH(RAW!E331,'Validation List'!$F:$F,0))</f>
        <v>#N/A</v>
      </c>
      <c r="G331" s="90" t="e">
        <f>VLOOKUP(F331,ML!C315:D913,2,FALSE)</f>
        <v>#N/A</v>
      </c>
      <c r="H331" s="90" t="e">
        <f>VLOOKUP(F331,ML!C315:E913,3,FALSE)</f>
        <v>#N/A</v>
      </c>
    </row>
    <row r="332" spans="1:8" x14ac:dyDescent="0.35">
      <c r="A332" s="90" t="e">
        <f>VLOOKUP(E332,'Validation List'!F333:G728,2,FALSE)</f>
        <v>#N/A</v>
      </c>
      <c r="B332" s="90" t="e">
        <f>INDEX('NEW HIRE ROSTER'!$G:$G,MATCH(RAW!F332,'NEW HIRE ROSTER'!$A:$A,0))</f>
        <v>#N/A</v>
      </c>
      <c r="C332" s="90" t="e">
        <f>INDEX('NEW HIRE ROSTER'!$F:$F,MATCH(RAW!F332,'NEW HIRE ROSTER'!$A:$A,0))</f>
        <v>#N/A</v>
      </c>
      <c r="D332" s="90" t="e">
        <f>INDEX('Validation List'!$H:$H,MATCH(RAW!E332,'Validation List'!$F:$F,0))</f>
        <v>#N/A</v>
      </c>
      <c r="G332" s="90" t="e">
        <f>VLOOKUP(F332,ML!C316:D914,2,FALSE)</f>
        <v>#N/A</v>
      </c>
      <c r="H332" s="90" t="e">
        <f>VLOOKUP(F332,ML!C316:E914,3,FALSE)</f>
        <v>#N/A</v>
      </c>
    </row>
    <row r="333" spans="1:8" x14ac:dyDescent="0.35">
      <c r="A333" s="90" t="e">
        <f>VLOOKUP(E333,'Validation List'!F334:G729,2,FALSE)</f>
        <v>#N/A</v>
      </c>
      <c r="B333" s="90" t="e">
        <f>INDEX('NEW HIRE ROSTER'!$G:$G,MATCH(RAW!F333,'NEW HIRE ROSTER'!$A:$A,0))</f>
        <v>#N/A</v>
      </c>
      <c r="C333" s="90" t="e">
        <f>INDEX('NEW HIRE ROSTER'!$F:$F,MATCH(RAW!F333,'NEW HIRE ROSTER'!$A:$A,0))</f>
        <v>#N/A</v>
      </c>
      <c r="D333" s="90" t="e">
        <f>INDEX('Validation List'!$H:$H,MATCH(RAW!E333,'Validation List'!$F:$F,0))</f>
        <v>#N/A</v>
      </c>
      <c r="G333" s="90" t="e">
        <f>VLOOKUP(F333,ML!C317:D915,2,FALSE)</f>
        <v>#N/A</v>
      </c>
      <c r="H333" s="90" t="e">
        <f>VLOOKUP(F333,ML!C317:E915,3,FALSE)</f>
        <v>#N/A</v>
      </c>
    </row>
    <row r="334" spans="1:8" x14ac:dyDescent="0.35">
      <c r="A334" s="90" t="e">
        <f>VLOOKUP(E334,'Validation List'!F335:G730,2,FALSE)</f>
        <v>#N/A</v>
      </c>
      <c r="B334" s="90" t="e">
        <f>INDEX('NEW HIRE ROSTER'!$G:$G,MATCH(RAW!F334,'NEW HIRE ROSTER'!$A:$A,0))</f>
        <v>#N/A</v>
      </c>
      <c r="C334" s="90" t="e">
        <f>INDEX('NEW HIRE ROSTER'!$F:$F,MATCH(RAW!F334,'NEW HIRE ROSTER'!$A:$A,0))</f>
        <v>#N/A</v>
      </c>
      <c r="D334" s="90" t="e">
        <f>INDEX('Validation List'!$H:$H,MATCH(RAW!E334,'Validation List'!$F:$F,0))</f>
        <v>#N/A</v>
      </c>
      <c r="G334" s="90" t="e">
        <f>VLOOKUP(F334,ML!C318:D916,2,FALSE)</f>
        <v>#N/A</v>
      </c>
      <c r="H334" s="90" t="e">
        <f>VLOOKUP(F334,ML!C318:E916,3,FALSE)</f>
        <v>#N/A</v>
      </c>
    </row>
    <row r="335" spans="1:8" x14ac:dyDescent="0.35">
      <c r="A335" s="90" t="e">
        <f>VLOOKUP(E335,'Validation List'!F336:G731,2,FALSE)</f>
        <v>#N/A</v>
      </c>
      <c r="B335" s="90" t="e">
        <f>INDEX('NEW HIRE ROSTER'!$G:$G,MATCH(RAW!F335,'NEW HIRE ROSTER'!$A:$A,0))</f>
        <v>#N/A</v>
      </c>
      <c r="C335" s="90" t="e">
        <f>INDEX('NEW HIRE ROSTER'!$F:$F,MATCH(RAW!F335,'NEW HIRE ROSTER'!$A:$A,0))</f>
        <v>#N/A</v>
      </c>
      <c r="D335" s="90" t="e">
        <f>INDEX('Validation List'!$H:$H,MATCH(RAW!E335,'Validation List'!$F:$F,0))</f>
        <v>#N/A</v>
      </c>
      <c r="G335" s="90" t="e">
        <f>VLOOKUP(F335,ML!C319:D917,2,FALSE)</f>
        <v>#N/A</v>
      </c>
      <c r="H335" s="90" t="e">
        <f>VLOOKUP(F335,ML!C319:E917,3,FALSE)</f>
        <v>#N/A</v>
      </c>
    </row>
    <row r="336" spans="1:8" x14ac:dyDescent="0.35">
      <c r="A336" s="90" t="e">
        <f>VLOOKUP(E336,'Validation List'!F337:G732,2,FALSE)</f>
        <v>#N/A</v>
      </c>
      <c r="B336" s="90" t="e">
        <f>INDEX('NEW HIRE ROSTER'!$G:$G,MATCH(RAW!F336,'NEW HIRE ROSTER'!$A:$A,0))</f>
        <v>#N/A</v>
      </c>
      <c r="C336" s="90" t="e">
        <f>INDEX('NEW HIRE ROSTER'!$F:$F,MATCH(RAW!F336,'NEW HIRE ROSTER'!$A:$A,0))</f>
        <v>#N/A</v>
      </c>
      <c r="D336" s="90" t="e">
        <f>INDEX('Validation List'!$H:$H,MATCH(RAW!E336,'Validation List'!$F:$F,0))</f>
        <v>#N/A</v>
      </c>
      <c r="G336" s="90" t="e">
        <f>VLOOKUP(F336,ML!C320:D918,2,FALSE)</f>
        <v>#N/A</v>
      </c>
      <c r="H336" s="90" t="e">
        <f>VLOOKUP(F336,ML!C320:E918,3,FALSE)</f>
        <v>#N/A</v>
      </c>
    </row>
    <row r="337" spans="1:8" x14ac:dyDescent="0.35">
      <c r="A337" s="90" t="e">
        <f>VLOOKUP(E337,'Validation List'!F338:G733,2,FALSE)</f>
        <v>#N/A</v>
      </c>
      <c r="B337" s="90" t="e">
        <f>INDEX('NEW HIRE ROSTER'!$G:$G,MATCH(RAW!F337,'NEW HIRE ROSTER'!$A:$A,0))</f>
        <v>#N/A</v>
      </c>
      <c r="C337" s="90" t="e">
        <f>INDEX('NEW HIRE ROSTER'!$F:$F,MATCH(RAW!F337,'NEW HIRE ROSTER'!$A:$A,0))</f>
        <v>#N/A</v>
      </c>
      <c r="D337" s="90" t="e">
        <f>INDEX('Validation List'!$H:$H,MATCH(RAW!E337,'Validation List'!$F:$F,0))</f>
        <v>#N/A</v>
      </c>
      <c r="G337" s="90" t="e">
        <f>VLOOKUP(F337,ML!C321:D919,2,FALSE)</f>
        <v>#N/A</v>
      </c>
      <c r="H337" s="90" t="e">
        <f>VLOOKUP(F337,ML!C321:E919,3,FALSE)</f>
        <v>#N/A</v>
      </c>
    </row>
    <row r="338" spans="1:8" x14ac:dyDescent="0.35">
      <c r="A338" s="90" t="e">
        <f>VLOOKUP(E338,'Validation List'!F339:G734,2,FALSE)</f>
        <v>#N/A</v>
      </c>
      <c r="B338" s="90" t="e">
        <f>INDEX('NEW HIRE ROSTER'!$G:$G,MATCH(RAW!F338,'NEW HIRE ROSTER'!$A:$A,0))</f>
        <v>#N/A</v>
      </c>
      <c r="C338" s="90" t="e">
        <f>INDEX('NEW HIRE ROSTER'!$F:$F,MATCH(RAW!F338,'NEW HIRE ROSTER'!$A:$A,0))</f>
        <v>#N/A</v>
      </c>
      <c r="D338" s="90" t="e">
        <f>INDEX('Validation List'!$H:$H,MATCH(RAW!E338,'Validation List'!$F:$F,0))</f>
        <v>#N/A</v>
      </c>
      <c r="G338" s="90" t="e">
        <f>VLOOKUP(F338,ML!C322:D920,2,FALSE)</f>
        <v>#N/A</v>
      </c>
      <c r="H338" s="90" t="e">
        <f>VLOOKUP(F338,ML!C322:E920,3,FALSE)</f>
        <v>#N/A</v>
      </c>
    </row>
    <row r="339" spans="1:8" x14ac:dyDescent="0.35">
      <c r="A339" s="90" t="e">
        <f>VLOOKUP(E339,'Validation List'!F340:G735,2,FALSE)</f>
        <v>#N/A</v>
      </c>
      <c r="B339" s="90" t="e">
        <f>INDEX('NEW HIRE ROSTER'!$G:$G,MATCH(RAW!F339,'NEW HIRE ROSTER'!$A:$A,0))</f>
        <v>#N/A</v>
      </c>
      <c r="C339" s="90" t="e">
        <f>INDEX('NEW HIRE ROSTER'!$F:$F,MATCH(RAW!F339,'NEW HIRE ROSTER'!$A:$A,0))</f>
        <v>#N/A</v>
      </c>
      <c r="D339" s="90" t="e">
        <f>INDEX('Validation List'!$H:$H,MATCH(RAW!E339,'Validation List'!$F:$F,0))</f>
        <v>#N/A</v>
      </c>
      <c r="G339" s="90" t="e">
        <f>VLOOKUP(F339,ML!C323:D921,2,FALSE)</f>
        <v>#N/A</v>
      </c>
      <c r="H339" s="90" t="e">
        <f>VLOOKUP(F339,ML!C323:E921,3,FALSE)</f>
        <v>#N/A</v>
      </c>
    </row>
    <row r="340" spans="1:8" x14ac:dyDescent="0.35">
      <c r="A340" s="90" t="e">
        <f>VLOOKUP(E340,'Validation List'!F341:G736,2,FALSE)</f>
        <v>#N/A</v>
      </c>
      <c r="B340" s="90" t="e">
        <f>INDEX('NEW HIRE ROSTER'!$G:$G,MATCH(RAW!F340,'NEW HIRE ROSTER'!$A:$A,0))</f>
        <v>#N/A</v>
      </c>
      <c r="C340" s="90" t="e">
        <f>INDEX('NEW HIRE ROSTER'!$F:$F,MATCH(RAW!F340,'NEW HIRE ROSTER'!$A:$A,0))</f>
        <v>#N/A</v>
      </c>
      <c r="D340" s="90" t="e">
        <f>INDEX('Validation List'!$H:$H,MATCH(RAW!E340,'Validation List'!$F:$F,0))</f>
        <v>#N/A</v>
      </c>
      <c r="G340" s="90" t="e">
        <f>VLOOKUP(F340,ML!C324:D922,2,FALSE)</f>
        <v>#N/A</v>
      </c>
      <c r="H340" s="90" t="e">
        <f>VLOOKUP(F340,ML!C324:E922,3,FALSE)</f>
        <v>#N/A</v>
      </c>
    </row>
    <row r="341" spans="1:8" x14ac:dyDescent="0.35">
      <c r="A341" s="90" t="e">
        <f>VLOOKUP(E341,'Validation List'!F342:G737,2,FALSE)</f>
        <v>#N/A</v>
      </c>
      <c r="B341" s="90" t="e">
        <f>INDEX('NEW HIRE ROSTER'!$G:$G,MATCH(RAW!F341,'NEW HIRE ROSTER'!$A:$A,0))</f>
        <v>#N/A</v>
      </c>
      <c r="C341" s="90" t="e">
        <f>INDEX('NEW HIRE ROSTER'!$F:$F,MATCH(RAW!F341,'NEW HIRE ROSTER'!$A:$A,0))</f>
        <v>#N/A</v>
      </c>
      <c r="D341" s="90" t="e">
        <f>INDEX('Validation List'!$H:$H,MATCH(RAW!E341,'Validation List'!$F:$F,0))</f>
        <v>#N/A</v>
      </c>
      <c r="G341" s="90" t="e">
        <f>VLOOKUP(F341,ML!C325:D923,2,FALSE)</f>
        <v>#N/A</v>
      </c>
      <c r="H341" s="90" t="e">
        <f>VLOOKUP(F341,ML!C325:E923,3,FALSE)</f>
        <v>#N/A</v>
      </c>
    </row>
    <row r="342" spans="1:8" x14ac:dyDescent="0.35">
      <c r="A342" s="90" t="e">
        <f>VLOOKUP(E342,'Validation List'!F343:G738,2,FALSE)</f>
        <v>#N/A</v>
      </c>
      <c r="B342" s="90" t="e">
        <f>INDEX('NEW HIRE ROSTER'!$G:$G,MATCH(RAW!F342,'NEW HIRE ROSTER'!$A:$A,0))</f>
        <v>#N/A</v>
      </c>
      <c r="C342" s="90" t="e">
        <f>INDEX('NEW HIRE ROSTER'!$F:$F,MATCH(RAW!F342,'NEW HIRE ROSTER'!$A:$A,0))</f>
        <v>#N/A</v>
      </c>
      <c r="D342" s="90" t="e">
        <f>INDEX('Validation List'!$H:$H,MATCH(RAW!E342,'Validation List'!$F:$F,0))</f>
        <v>#N/A</v>
      </c>
      <c r="G342" s="90" t="e">
        <f>VLOOKUP(F342,ML!C326:D924,2,FALSE)</f>
        <v>#N/A</v>
      </c>
      <c r="H342" s="90" t="e">
        <f>VLOOKUP(F342,ML!C326:E924,3,FALSE)</f>
        <v>#N/A</v>
      </c>
    </row>
    <row r="343" spans="1:8" x14ac:dyDescent="0.35">
      <c r="A343" s="90" t="e">
        <f>VLOOKUP(E343,'Validation List'!F344:G739,2,FALSE)</f>
        <v>#N/A</v>
      </c>
      <c r="B343" s="90" t="e">
        <f>INDEX('NEW HIRE ROSTER'!$G:$G,MATCH(RAW!F343,'NEW HIRE ROSTER'!$A:$A,0))</f>
        <v>#N/A</v>
      </c>
      <c r="C343" s="90" t="e">
        <f>INDEX('NEW HIRE ROSTER'!$F:$F,MATCH(RAW!F343,'NEW HIRE ROSTER'!$A:$A,0))</f>
        <v>#N/A</v>
      </c>
      <c r="D343" s="90" t="e">
        <f>INDEX('Validation List'!$H:$H,MATCH(RAW!E343,'Validation List'!$F:$F,0))</f>
        <v>#N/A</v>
      </c>
      <c r="G343" s="90" t="e">
        <f>VLOOKUP(F343,ML!C327:D925,2,FALSE)</f>
        <v>#N/A</v>
      </c>
      <c r="H343" s="90" t="e">
        <f>VLOOKUP(F343,ML!C327:E925,3,FALSE)</f>
        <v>#N/A</v>
      </c>
    </row>
    <row r="344" spans="1:8" x14ac:dyDescent="0.35">
      <c r="A344" s="90" t="e">
        <f>VLOOKUP(E344,'Validation List'!F345:G740,2,FALSE)</f>
        <v>#N/A</v>
      </c>
      <c r="B344" s="90" t="e">
        <f>INDEX('NEW HIRE ROSTER'!$G:$G,MATCH(RAW!F344,'NEW HIRE ROSTER'!$A:$A,0))</f>
        <v>#N/A</v>
      </c>
      <c r="C344" s="90" t="e">
        <f>INDEX('NEW HIRE ROSTER'!$F:$F,MATCH(RAW!F344,'NEW HIRE ROSTER'!$A:$A,0))</f>
        <v>#N/A</v>
      </c>
      <c r="D344" s="90" t="e">
        <f>INDEX('Validation List'!$H:$H,MATCH(RAW!E344,'Validation List'!$F:$F,0))</f>
        <v>#N/A</v>
      </c>
      <c r="G344" s="90" t="e">
        <f>VLOOKUP(F344,ML!C328:D926,2,FALSE)</f>
        <v>#N/A</v>
      </c>
      <c r="H344" s="90" t="e">
        <f>VLOOKUP(F344,ML!C328:E926,3,FALSE)</f>
        <v>#N/A</v>
      </c>
    </row>
    <row r="345" spans="1:8" x14ac:dyDescent="0.35">
      <c r="A345" s="90" t="e">
        <f>VLOOKUP(E345,'Validation List'!F346:G741,2,FALSE)</f>
        <v>#N/A</v>
      </c>
      <c r="B345" s="90" t="e">
        <f>INDEX('NEW HIRE ROSTER'!$G:$G,MATCH(RAW!F345,'NEW HIRE ROSTER'!$A:$A,0))</f>
        <v>#N/A</v>
      </c>
      <c r="C345" s="90" t="e">
        <f>INDEX('NEW HIRE ROSTER'!$F:$F,MATCH(RAW!F345,'NEW HIRE ROSTER'!$A:$A,0))</f>
        <v>#N/A</v>
      </c>
      <c r="D345" s="90" t="e">
        <f>INDEX('Validation List'!$H:$H,MATCH(RAW!E345,'Validation List'!$F:$F,0))</f>
        <v>#N/A</v>
      </c>
      <c r="G345" s="90" t="e">
        <f>VLOOKUP(F345,ML!C329:D927,2,FALSE)</f>
        <v>#N/A</v>
      </c>
      <c r="H345" s="90" t="e">
        <f>VLOOKUP(F345,ML!C329:E927,3,FALSE)</f>
        <v>#N/A</v>
      </c>
    </row>
    <row r="346" spans="1:8" x14ac:dyDescent="0.35">
      <c r="A346" s="90" t="e">
        <f>VLOOKUP(E346,'Validation List'!F347:G742,2,FALSE)</f>
        <v>#N/A</v>
      </c>
      <c r="B346" s="90" t="e">
        <f>INDEX('NEW HIRE ROSTER'!$G:$G,MATCH(RAW!F346,'NEW HIRE ROSTER'!$A:$A,0))</f>
        <v>#N/A</v>
      </c>
      <c r="C346" s="90" t="e">
        <f>INDEX('NEW HIRE ROSTER'!$F:$F,MATCH(RAW!F346,'NEW HIRE ROSTER'!$A:$A,0))</f>
        <v>#N/A</v>
      </c>
      <c r="D346" s="90" t="e">
        <f>INDEX('Validation List'!$H:$H,MATCH(RAW!E346,'Validation List'!$F:$F,0))</f>
        <v>#N/A</v>
      </c>
      <c r="G346" s="90" t="e">
        <f>VLOOKUP(F346,ML!C330:D928,2,FALSE)</f>
        <v>#N/A</v>
      </c>
      <c r="H346" s="90" t="e">
        <f>VLOOKUP(F346,ML!C330:E928,3,FALSE)</f>
        <v>#N/A</v>
      </c>
    </row>
    <row r="347" spans="1:8" x14ac:dyDescent="0.35">
      <c r="A347" s="90" t="e">
        <f>VLOOKUP(E347,'Validation List'!F348:G743,2,FALSE)</f>
        <v>#N/A</v>
      </c>
      <c r="B347" s="90" t="e">
        <f>INDEX('NEW HIRE ROSTER'!$G:$G,MATCH(RAW!F347,'NEW HIRE ROSTER'!$A:$A,0))</f>
        <v>#N/A</v>
      </c>
      <c r="C347" s="90" t="e">
        <f>INDEX('NEW HIRE ROSTER'!$F:$F,MATCH(RAW!F347,'NEW HIRE ROSTER'!$A:$A,0))</f>
        <v>#N/A</v>
      </c>
      <c r="D347" s="90" t="e">
        <f>INDEX('Validation List'!$H:$H,MATCH(RAW!E347,'Validation List'!$F:$F,0))</f>
        <v>#N/A</v>
      </c>
      <c r="G347" s="90" t="e">
        <f>VLOOKUP(F347,ML!C331:D929,2,FALSE)</f>
        <v>#N/A</v>
      </c>
      <c r="H347" s="90" t="e">
        <f>VLOOKUP(F347,ML!C331:E929,3,FALSE)</f>
        <v>#N/A</v>
      </c>
    </row>
    <row r="348" spans="1:8" x14ac:dyDescent="0.35">
      <c r="A348" s="90" t="e">
        <f>VLOOKUP(E348,'Validation List'!F349:G744,2,FALSE)</f>
        <v>#N/A</v>
      </c>
      <c r="B348" s="90" t="e">
        <f>INDEX('NEW HIRE ROSTER'!$G:$G,MATCH(RAW!F348,'NEW HIRE ROSTER'!$A:$A,0))</f>
        <v>#N/A</v>
      </c>
      <c r="C348" s="90" t="e">
        <f>INDEX('NEW HIRE ROSTER'!$F:$F,MATCH(RAW!F348,'NEW HIRE ROSTER'!$A:$A,0))</f>
        <v>#N/A</v>
      </c>
      <c r="D348" s="90" t="e">
        <f>INDEX('Validation List'!$H:$H,MATCH(RAW!E348,'Validation List'!$F:$F,0))</f>
        <v>#N/A</v>
      </c>
      <c r="G348" s="90" t="e">
        <f>VLOOKUP(F348,ML!C332:D930,2,FALSE)</f>
        <v>#N/A</v>
      </c>
      <c r="H348" s="90" t="e">
        <f>VLOOKUP(F348,ML!C332:E930,3,FALSE)</f>
        <v>#N/A</v>
      </c>
    </row>
    <row r="349" spans="1:8" x14ac:dyDescent="0.35">
      <c r="A349" s="90" t="e">
        <f>VLOOKUP(E349,'Validation List'!F350:G745,2,FALSE)</f>
        <v>#N/A</v>
      </c>
      <c r="B349" s="90" t="e">
        <f>INDEX('NEW HIRE ROSTER'!$G:$G,MATCH(RAW!F349,'NEW HIRE ROSTER'!$A:$A,0))</f>
        <v>#N/A</v>
      </c>
      <c r="C349" s="90" t="e">
        <f>INDEX('NEW HIRE ROSTER'!$F:$F,MATCH(RAW!F349,'NEW HIRE ROSTER'!$A:$A,0))</f>
        <v>#N/A</v>
      </c>
      <c r="D349" s="90" t="e">
        <f>INDEX('Validation List'!$H:$H,MATCH(RAW!E349,'Validation List'!$F:$F,0))</f>
        <v>#N/A</v>
      </c>
      <c r="G349" s="90" t="e">
        <f>VLOOKUP(F349,ML!C333:D931,2,FALSE)</f>
        <v>#N/A</v>
      </c>
      <c r="H349" s="90" t="e">
        <f>VLOOKUP(F349,ML!C333:E931,3,FALSE)</f>
        <v>#N/A</v>
      </c>
    </row>
    <row r="350" spans="1:8" x14ac:dyDescent="0.35">
      <c r="A350" s="90" t="e">
        <f>VLOOKUP(E350,'Validation List'!F351:G746,2,FALSE)</f>
        <v>#N/A</v>
      </c>
      <c r="B350" s="90" t="e">
        <f>INDEX('NEW HIRE ROSTER'!$G:$G,MATCH(RAW!F350,'NEW HIRE ROSTER'!$A:$A,0))</f>
        <v>#N/A</v>
      </c>
      <c r="C350" s="90" t="e">
        <f>INDEX('NEW HIRE ROSTER'!$F:$F,MATCH(RAW!F350,'NEW HIRE ROSTER'!$A:$A,0))</f>
        <v>#N/A</v>
      </c>
      <c r="D350" s="90" t="e">
        <f>INDEX('Validation List'!$H:$H,MATCH(RAW!E350,'Validation List'!$F:$F,0))</f>
        <v>#N/A</v>
      </c>
      <c r="G350" s="90" t="e">
        <f>VLOOKUP(F350,ML!C334:D932,2,FALSE)</f>
        <v>#N/A</v>
      </c>
      <c r="H350" s="90" t="e">
        <f>VLOOKUP(F350,ML!C334:E932,3,FALSE)</f>
        <v>#N/A</v>
      </c>
    </row>
    <row r="351" spans="1:8" x14ac:dyDescent="0.35">
      <c r="A351" s="90" t="e">
        <f>VLOOKUP(E351,'Validation List'!F352:G747,2,FALSE)</f>
        <v>#N/A</v>
      </c>
      <c r="B351" s="90" t="e">
        <f>INDEX('NEW HIRE ROSTER'!$G:$G,MATCH(RAW!F351,'NEW HIRE ROSTER'!$A:$A,0))</f>
        <v>#N/A</v>
      </c>
      <c r="C351" s="90" t="e">
        <f>INDEX('NEW HIRE ROSTER'!$F:$F,MATCH(RAW!F351,'NEW HIRE ROSTER'!$A:$A,0))</f>
        <v>#N/A</v>
      </c>
      <c r="D351" s="90" t="e">
        <f>INDEX('Validation List'!$H:$H,MATCH(RAW!E351,'Validation List'!$F:$F,0))</f>
        <v>#N/A</v>
      </c>
      <c r="G351" s="90" t="e">
        <f>VLOOKUP(F351,ML!C335:D933,2,FALSE)</f>
        <v>#N/A</v>
      </c>
      <c r="H351" s="90" t="e">
        <f>VLOOKUP(F351,ML!C335:E933,3,FALSE)</f>
        <v>#N/A</v>
      </c>
    </row>
    <row r="352" spans="1:8" x14ac:dyDescent="0.35">
      <c r="A352" s="90" t="e">
        <f>VLOOKUP(E352,'Validation List'!F353:G748,2,FALSE)</f>
        <v>#N/A</v>
      </c>
      <c r="B352" s="90" t="e">
        <f>INDEX('NEW HIRE ROSTER'!$G:$G,MATCH(RAW!F352,'NEW HIRE ROSTER'!$A:$A,0))</f>
        <v>#N/A</v>
      </c>
      <c r="C352" s="90" t="e">
        <f>INDEX('NEW HIRE ROSTER'!$F:$F,MATCH(RAW!F352,'NEW HIRE ROSTER'!$A:$A,0))</f>
        <v>#N/A</v>
      </c>
      <c r="D352" s="90" t="e">
        <f>INDEX('Validation List'!$H:$H,MATCH(RAW!E352,'Validation List'!$F:$F,0))</f>
        <v>#N/A</v>
      </c>
      <c r="G352" s="90" t="e">
        <f>VLOOKUP(F352,ML!C336:D934,2,FALSE)</f>
        <v>#N/A</v>
      </c>
      <c r="H352" s="90" t="e">
        <f>VLOOKUP(F352,ML!C336:E934,3,FALSE)</f>
        <v>#N/A</v>
      </c>
    </row>
    <row r="353" spans="1:8" x14ac:dyDescent="0.35">
      <c r="A353" s="90" t="e">
        <f>VLOOKUP(E353,'Validation List'!F354:G749,2,FALSE)</f>
        <v>#N/A</v>
      </c>
      <c r="B353" s="90" t="e">
        <f>INDEX('NEW HIRE ROSTER'!$G:$G,MATCH(RAW!F353,'NEW HIRE ROSTER'!$A:$A,0))</f>
        <v>#N/A</v>
      </c>
      <c r="C353" s="90" t="e">
        <f>INDEX('NEW HIRE ROSTER'!$F:$F,MATCH(RAW!F353,'NEW HIRE ROSTER'!$A:$A,0))</f>
        <v>#N/A</v>
      </c>
      <c r="D353" s="90" t="e">
        <f>INDEX('Validation List'!$H:$H,MATCH(RAW!E353,'Validation List'!$F:$F,0))</f>
        <v>#N/A</v>
      </c>
      <c r="G353" s="90" t="e">
        <f>VLOOKUP(F353,ML!C337:D935,2,FALSE)</f>
        <v>#N/A</v>
      </c>
      <c r="H353" s="90" t="e">
        <f>VLOOKUP(F353,ML!C337:E935,3,FALSE)</f>
        <v>#N/A</v>
      </c>
    </row>
    <row r="354" spans="1:8" x14ac:dyDescent="0.35">
      <c r="A354" s="90" t="e">
        <f>VLOOKUP(E354,'Validation List'!F355:G750,2,FALSE)</f>
        <v>#N/A</v>
      </c>
      <c r="B354" s="90" t="e">
        <f>INDEX('NEW HIRE ROSTER'!$G:$G,MATCH(RAW!F354,'NEW HIRE ROSTER'!$A:$A,0))</f>
        <v>#N/A</v>
      </c>
      <c r="C354" s="90" t="e">
        <f>INDEX('NEW HIRE ROSTER'!$F:$F,MATCH(RAW!F354,'NEW HIRE ROSTER'!$A:$A,0))</f>
        <v>#N/A</v>
      </c>
      <c r="D354" s="90" t="e">
        <f>INDEX('Validation List'!$H:$H,MATCH(RAW!E354,'Validation List'!$F:$F,0))</f>
        <v>#N/A</v>
      </c>
      <c r="G354" s="90" t="e">
        <f>VLOOKUP(F354,ML!C338:D936,2,FALSE)</f>
        <v>#N/A</v>
      </c>
      <c r="H354" s="90" t="e">
        <f>VLOOKUP(F354,ML!C338:E936,3,FALSE)</f>
        <v>#N/A</v>
      </c>
    </row>
    <row r="355" spans="1:8" x14ac:dyDescent="0.35">
      <c r="A355" s="90" t="e">
        <f>VLOOKUP(E355,'Validation List'!F356:G751,2,FALSE)</f>
        <v>#N/A</v>
      </c>
      <c r="B355" s="90" t="e">
        <f>INDEX('NEW HIRE ROSTER'!$G:$G,MATCH(RAW!F355,'NEW HIRE ROSTER'!$A:$A,0))</f>
        <v>#N/A</v>
      </c>
      <c r="C355" s="90" t="e">
        <f>INDEX('NEW HIRE ROSTER'!$F:$F,MATCH(RAW!F355,'NEW HIRE ROSTER'!$A:$A,0))</f>
        <v>#N/A</v>
      </c>
      <c r="D355" s="90" t="e">
        <f>INDEX('Validation List'!$H:$H,MATCH(RAW!E355,'Validation List'!$F:$F,0))</f>
        <v>#N/A</v>
      </c>
      <c r="G355" s="90" t="e">
        <f>VLOOKUP(F355,ML!C339:D937,2,FALSE)</f>
        <v>#N/A</v>
      </c>
      <c r="H355" s="90" t="e">
        <f>VLOOKUP(F355,ML!C339:E937,3,FALSE)</f>
        <v>#N/A</v>
      </c>
    </row>
    <row r="356" spans="1:8" x14ac:dyDescent="0.35">
      <c r="A356" s="90" t="e">
        <f>VLOOKUP(E356,'Validation List'!F357:G752,2,FALSE)</f>
        <v>#N/A</v>
      </c>
      <c r="B356" s="90" t="e">
        <f>INDEX('NEW HIRE ROSTER'!$G:$G,MATCH(RAW!F356,'NEW HIRE ROSTER'!$A:$A,0))</f>
        <v>#N/A</v>
      </c>
      <c r="C356" s="90" t="e">
        <f>INDEX('NEW HIRE ROSTER'!$F:$F,MATCH(RAW!F356,'NEW HIRE ROSTER'!$A:$A,0))</f>
        <v>#N/A</v>
      </c>
      <c r="D356" s="90" t="e">
        <f>INDEX('Validation List'!$H:$H,MATCH(RAW!E356,'Validation List'!$F:$F,0))</f>
        <v>#N/A</v>
      </c>
      <c r="G356" s="90" t="e">
        <f>VLOOKUP(F356,ML!C340:D938,2,FALSE)</f>
        <v>#N/A</v>
      </c>
      <c r="H356" s="90" t="e">
        <f>VLOOKUP(F356,ML!C340:E938,3,FALSE)</f>
        <v>#N/A</v>
      </c>
    </row>
    <row r="357" spans="1:8" x14ac:dyDescent="0.35">
      <c r="A357" s="90" t="e">
        <f>VLOOKUP(E357,'Validation List'!F358:G753,2,FALSE)</f>
        <v>#N/A</v>
      </c>
      <c r="B357" s="90" t="e">
        <f>INDEX('NEW HIRE ROSTER'!$G:$G,MATCH(RAW!F357,'NEW HIRE ROSTER'!$A:$A,0))</f>
        <v>#N/A</v>
      </c>
      <c r="C357" s="90" t="e">
        <f>INDEX('NEW HIRE ROSTER'!$F:$F,MATCH(RAW!F357,'NEW HIRE ROSTER'!$A:$A,0))</f>
        <v>#N/A</v>
      </c>
      <c r="D357" s="90" t="e">
        <f>INDEX('Validation List'!$H:$H,MATCH(RAW!E357,'Validation List'!$F:$F,0))</f>
        <v>#N/A</v>
      </c>
      <c r="G357" s="90" t="e">
        <f>VLOOKUP(F357,ML!C341:D939,2,FALSE)</f>
        <v>#N/A</v>
      </c>
      <c r="H357" s="90" t="e">
        <f>VLOOKUP(F357,ML!C341:E939,3,FALSE)</f>
        <v>#N/A</v>
      </c>
    </row>
    <row r="358" spans="1:8" x14ac:dyDescent="0.35">
      <c r="A358" s="90" t="e">
        <f>VLOOKUP(E358,'Validation List'!F359:G754,2,FALSE)</f>
        <v>#N/A</v>
      </c>
      <c r="B358" s="90" t="e">
        <f>INDEX('NEW HIRE ROSTER'!$G:$G,MATCH(RAW!F358,'NEW HIRE ROSTER'!$A:$A,0))</f>
        <v>#N/A</v>
      </c>
      <c r="C358" s="90" t="e">
        <f>INDEX('NEW HIRE ROSTER'!$F:$F,MATCH(RAW!F358,'NEW HIRE ROSTER'!$A:$A,0))</f>
        <v>#N/A</v>
      </c>
      <c r="D358" s="90" t="e">
        <f>INDEX('Validation List'!$H:$H,MATCH(RAW!E358,'Validation List'!$F:$F,0))</f>
        <v>#N/A</v>
      </c>
      <c r="G358" s="90" t="e">
        <f>VLOOKUP(F358,ML!C342:D940,2,FALSE)</f>
        <v>#N/A</v>
      </c>
      <c r="H358" s="90" t="e">
        <f>VLOOKUP(F358,ML!C342:E940,3,FALSE)</f>
        <v>#N/A</v>
      </c>
    </row>
    <row r="359" spans="1:8" x14ac:dyDescent="0.35">
      <c r="A359" s="90" t="e">
        <f>VLOOKUP(E359,'Validation List'!F360:G755,2,FALSE)</f>
        <v>#N/A</v>
      </c>
      <c r="B359" s="90" t="e">
        <f>INDEX('NEW HIRE ROSTER'!$G:$G,MATCH(RAW!F359,'NEW HIRE ROSTER'!$A:$A,0))</f>
        <v>#N/A</v>
      </c>
      <c r="C359" s="90" t="e">
        <f>INDEX('NEW HIRE ROSTER'!$F:$F,MATCH(RAW!F359,'NEW HIRE ROSTER'!$A:$A,0))</f>
        <v>#N/A</v>
      </c>
      <c r="D359" s="90" t="e">
        <f>INDEX('Validation List'!$H:$H,MATCH(RAW!E359,'Validation List'!$F:$F,0))</f>
        <v>#N/A</v>
      </c>
      <c r="G359" s="90" t="e">
        <f>VLOOKUP(F359,ML!C343:D941,2,FALSE)</f>
        <v>#N/A</v>
      </c>
      <c r="H359" s="90" t="e">
        <f>VLOOKUP(F359,ML!C343:E941,3,FALSE)</f>
        <v>#N/A</v>
      </c>
    </row>
    <row r="360" spans="1:8" x14ac:dyDescent="0.35">
      <c r="A360" s="90" t="e">
        <f>VLOOKUP(E360,'Validation List'!F361:G756,2,FALSE)</f>
        <v>#N/A</v>
      </c>
      <c r="B360" s="90" t="e">
        <f>INDEX('NEW HIRE ROSTER'!$G:$G,MATCH(RAW!F360,'NEW HIRE ROSTER'!$A:$A,0))</f>
        <v>#N/A</v>
      </c>
      <c r="C360" s="90" t="e">
        <f>INDEX('NEW HIRE ROSTER'!$F:$F,MATCH(RAW!F360,'NEW HIRE ROSTER'!$A:$A,0))</f>
        <v>#N/A</v>
      </c>
      <c r="D360" s="90" t="e">
        <f>INDEX('Validation List'!$H:$H,MATCH(RAW!E360,'Validation List'!$F:$F,0))</f>
        <v>#N/A</v>
      </c>
      <c r="G360" s="90" t="e">
        <f>VLOOKUP(F360,ML!C344:D942,2,FALSE)</f>
        <v>#N/A</v>
      </c>
      <c r="H360" s="90" t="e">
        <f>VLOOKUP(F360,ML!C344:E942,3,FALSE)</f>
        <v>#N/A</v>
      </c>
    </row>
    <row r="361" spans="1:8" x14ac:dyDescent="0.35">
      <c r="A361" s="90" t="e">
        <f>VLOOKUP(E361,'Validation List'!F362:G757,2,FALSE)</f>
        <v>#N/A</v>
      </c>
      <c r="B361" s="90" t="e">
        <f>INDEX('NEW HIRE ROSTER'!$G:$G,MATCH(RAW!F361,'NEW HIRE ROSTER'!$A:$A,0))</f>
        <v>#N/A</v>
      </c>
      <c r="C361" s="90" t="e">
        <f>INDEX('NEW HIRE ROSTER'!$F:$F,MATCH(RAW!F361,'NEW HIRE ROSTER'!$A:$A,0))</f>
        <v>#N/A</v>
      </c>
      <c r="D361" s="90" t="e">
        <f>INDEX('Validation List'!$H:$H,MATCH(RAW!E361,'Validation List'!$F:$F,0))</f>
        <v>#N/A</v>
      </c>
      <c r="G361" s="90" t="e">
        <f>VLOOKUP(F361,ML!C345:D943,2,FALSE)</f>
        <v>#N/A</v>
      </c>
      <c r="H361" s="90" t="e">
        <f>VLOOKUP(F361,ML!C345:E943,3,FALSE)</f>
        <v>#N/A</v>
      </c>
    </row>
    <row r="362" spans="1:8" x14ac:dyDescent="0.35">
      <c r="A362" s="90" t="e">
        <f>VLOOKUP(E362,'Validation List'!F363:G758,2,FALSE)</f>
        <v>#N/A</v>
      </c>
      <c r="B362" s="90" t="e">
        <f>INDEX('NEW HIRE ROSTER'!$G:$G,MATCH(RAW!F362,'NEW HIRE ROSTER'!$A:$A,0))</f>
        <v>#N/A</v>
      </c>
      <c r="C362" s="90" t="e">
        <f>INDEX('NEW HIRE ROSTER'!$F:$F,MATCH(RAW!F362,'NEW HIRE ROSTER'!$A:$A,0))</f>
        <v>#N/A</v>
      </c>
      <c r="D362" s="90" t="e">
        <f>INDEX('Validation List'!$H:$H,MATCH(RAW!E362,'Validation List'!$F:$F,0))</f>
        <v>#N/A</v>
      </c>
      <c r="G362" s="90" t="e">
        <f>VLOOKUP(F362,ML!C346:D944,2,FALSE)</f>
        <v>#N/A</v>
      </c>
      <c r="H362" s="90" t="e">
        <f>VLOOKUP(F362,ML!C346:E944,3,FALSE)</f>
        <v>#N/A</v>
      </c>
    </row>
    <row r="363" spans="1:8" x14ac:dyDescent="0.35">
      <c r="A363" s="90" t="e">
        <f>VLOOKUP(E363,'Validation List'!F364:G759,2,FALSE)</f>
        <v>#N/A</v>
      </c>
      <c r="B363" s="90" t="e">
        <f>INDEX('NEW HIRE ROSTER'!$G:$G,MATCH(RAW!F363,'NEW HIRE ROSTER'!$A:$A,0))</f>
        <v>#N/A</v>
      </c>
      <c r="C363" s="90" t="e">
        <f>INDEX('NEW HIRE ROSTER'!$F:$F,MATCH(RAW!F363,'NEW HIRE ROSTER'!$A:$A,0))</f>
        <v>#N/A</v>
      </c>
      <c r="D363" s="90" t="e">
        <f>INDEX('Validation List'!$H:$H,MATCH(RAW!E363,'Validation List'!$F:$F,0))</f>
        <v>#N/A</v>
      </c>
      <c r="G363" s="90" t="e">
        <f>VLOOKUP(F363,ML!C347:D945,2,FALSE)</f>
        <v>#N/A</v>
      </c>
      <c r="H363" s="90" t="e">
        <f>VLOOKUP(F363,ML!C347:E945,3,FALSE)</f>
        <v>#N/A</v>
      </c>
    </row>
    <row r="364" spans="1:8" x14ac:dyDescent="0.35">
      <c r="A364" s="90" t="e">
        <f>VLOOKUP(E364,'Validation List'!F365:G760,2,FALSE)</f>
        <v>#N/A</v>
      </c>
      <c r="B364" s="90" t="e">
        <f>INDEX('NEW HIRE ROSTER'!$G:$G,MATCH(RAW!F364,'NEW HIRE ROSTER'!$A:$A,0))</f>
        <v>#N/A</v>
      </c>
      <c r="C364" s="90" t="e">
        <f>INDEX('NEW HIRE ROSTER'!$F:$F,MATCH(RAW!F364,'NEW HIRE ROSTER'!$A:$A,0))</f>
        <v>#N/A</v>
      </c>
      <c r="D364" s="90" t="e">
        <f>INDEX('Validation List'!$H:$H,MATCH(RAW!E364,'Validation List'!$F:$F,0))</f>
        <v>#N/A</v>
      </c>
      <c r="G364" s="90" t="e">
        <f>VLOOKUP(F364,ML!C348:D946,2,FALSE)</f>
        <v>#N/A</v>
      </c>
      <c r="H364" s="90" t="e">
        <f>VLOOKUP(F364,ML!C348:E946,3,FALSE)</f>
        <v>#N/A</v>
      </c>
    </row>
    <row r="365" spans="1:8" x14ac:dyDescent="0.35">
      <c r="A365" s="90" t="e">
        <f>VLOOKUP(E365,'Validation List'!F366:G761,2,FALSE)</f>
        <v>#N/A</v>
      </c>
      <c r="B365" s="90" t="e">
        <f>INDEX('NEW HIRE ROSTER'!$G:$G,MATCH(RAW!F365,'NEW HIRE ROSTER'!$A:$A,0))</f>
        <v>#N/A</v>
      </c>
      <c r="C365" s="90" t="e">
        <f>INDEX('NEW HIRE ROSTER'!$F:$F,MATCH(RAW!F365,'NEW HIRE ROSTER'!$A:$A,0))</f>
        <v>#N/A</v>
      </c>
      <c r="D365" s="90" t="e">
        <f>INDEX('Validation List'!$H:$H,MATCH(RAW!E365,'Validation List'!$F:$F,0))</f>
        <v>#N/A</v>
      </c>
      <c r="G365" s="90" t="e">
        <f>VLOOKUP(F365,ML!C349:D947,2,FALSE)</f>
        <v>#N/A</v>
      </c>
      <c r="H365" s="90" t="e">
        <f>VLOOKUP(F365,ML!C349:E947,3,FALSE)</f>
        <v>#N/A</v>
      </c>
    </row>
    <row r="366" spans="1:8" x14ac:dyDescent="0.35">
      <c r="A366" s="90" t="e">
        <f>VLOOKUP(E366,'Validation List'!F367:G762,2,FALSE)</f>
        <v>#N/A</v>
      </c>
      <c r="B366" s="90" t="e">
        <f>INDEX('NEW HIRE ROSTER'!$G:$G,MATCH(RAW!F366,'NEW HIRE ROSTER'!$A:$A,0))</f>
        <v>#N/A</v>
      </c>
      <c r="C366" s="90" t="e">
        <f>INDEX('NEW HIRE ROSTER'!$F:$F,MATCH(RAW!F366,'NEW HIRE ROSTER'!$A:$A,0))</f>
        <v>#N/A</v>
      </c>
      <c r="D366" s="90" t="e">
        <f>INDEX('Validation List'!$H:$H,MATCH(RAW!E366,'Validation List'!$F:$F,0))</f>
        <v>#N/A</v>
      </c>
      <c r="G366" s="90" t="e">
        <f>VLOOKUP(F366,ML!C350:D948,2,FALSE)</f>
        <v>#N/A</v>
      </c>
      <c r="H366" s="90" t="e">
        <f>VLOOKUP(F366,ML!C350:E948,3,FALSE)</f>
        <v>#N/A</v>
      </c>
    </row>
    <row r="367" spans="1:8" x14ac:dyDescent="0.35">
      <c r="A367" s="90" t="e">
        <f>VLOOKUP(E367,'Validation List'!F368:G763,2,FALSE)</f>
        <v>#N/A</v>
      </c>
      <c r="B367" s="90" t="e">
        <f>INDEX('NEW HIRE ROSTER'!$G:$G,MATCH(RAW!F367,'NEW HIRE ROSTER'!$A:$A,0))</f>
        <v>#N/A</v>
      </c>
      <c r="C367" s="90" t="e">
        <f>INDEX('NEW HIRE ROSTER'!$F:$F,MATCH(RAW!F367,'NEW HIRE ROSTER'!$A:$A,0))</f>
        <v>#N/A</v>
      </c>
      <c r="D367" s="90" t="e">
        <f>INDEX('Validation List'!$H:$H,MATCH(RAW!E367,'Validation List'!$F:$F,0))</f>
        <v>#N/A</v>
      </c>
      <c r="G367" s="90" t="e">
        <f>VLOOKUP(F367,ML!C351:D949,2,FALSE)</f>
        <v>#N/A</v>
      </c>
      <c r="H367" s="90" t="e">
        <f>VLOOKUP(F367,ML!C351:E949,3,FALSE)</f>
        <v>#N/A</v>
      </c>
    </row>
    <row r="368" spans="1:8" x14ac:dyDescent="0.35">
      <c r="A368" s="90" t="e">
        <f>VLOOKUP(E368,'Validation List'!F369:G764,2,FALSE)</f>
        <v>#N/A</v>
      </c>
      <c r="B368" s="90" t="e">
        <f>INDEX('NEW HIRE ROSTER'!$G:$G,MATCH(RAW!F368,'NEW HIRE ROSTER'!$A:$A,0))</f>
        <v>#N/A</v>
      </c>
      <c r="C368" s="90" t="e">
        <f>INDEX('NEW HIRE ROSTER'!$F:$F,MATCH(RAW!F368,'NEW HIRE ROSTER'!$A:$A,0))</f>
        <v>#N/A</v>
      </c>
      <c r="D368" s="90" t="e">
        <f>INDEX('Validation List'!$H:$H,MATCH(RAW!E368,'Validation List'!$F:$F,0))</f>
        <v>#N/A</v>
      </c>
      <c r="G368" s="90" t="e">
        <f>VLOOKUP(F368,ML!C352:D950,2,FALSE)</f>
        <v>#N/A</v>
      </c>
      <c r="H368" s="90" t="e">
        <f>VLOOKUP(F368,ML!C352:E950,3,FALSE)</f>
        <v>#N/A</v>
      </c>
    </row>
    <row r="369" spans="1:8" x14ac:dyDescent="0.35">
      <c r="A369" s="90" t="e">
        <f>VLOOKUP(E369,'Validation List'!F370:G765,2,FALSE)</f>
        <v>#N/A</v>
      </c>
      <c r="B369" s="90" t="e">
        <f>INDEX('NEW HIRE ROSTER'!$G:$G,MATCH(RAW!F369,'NEW HIRE ROSTER'!$A:$A,0))</f>
        <v>#N/A</v>
      </c>
      <c r="C369" s="90" t="e">
        <f>INDEX('NEW HIRE ROSTER'!$F:$F,MATCH(RAW!F369,'NEW HIRE ROSTER'!$A:$A,0))</f>
        <v>#N/A</v>
      </c>
      <c r="D369" s="90" t="e">
        <f>INDEX('Validation List'!$H:$H,MATCH(RAW!E369,'Validation List'!$F:$F,0))</f>
        <v>#N/A</v>
      </c>
      <c r="G369" s="90" t="e">
        <f>VLOOKUP(F369,ML!C353:D951,2,FALSE)</f>
        <v>#N/A</v>
      </c>
      <c r="H369" s="90" t="e">
        <f>VLOOKUP(F369,ML!C353:E951,3,FALSE)</f>
        <v>#N/A</v>
      </c>
    </row>
    <row r="370" spans="1:8" x14ac:dyDescent="0.35">
      <c r="A370" s="90" t="e">
        <f>VLOOKUP(E370,'Validation List'!F371:G766,2,FALSE)</f>
        <v>#N/A</v>
      </c>
      <c r="B370" s="90" t="e">
        <f>INDEX('NEW HIRE ROSTER'!$G:$G,MATCH(RAW!F370,'NEW HIRE ROSTER'!$A:$A,0))</f>
        <v>#N/A</v>
      </c>
      <c r="C370" s="90" t="e">
        <f>INDEX('NEW HIRE ROSTER'!$F:$F,MATCH(RAW!F370,'NEW HIRE ROSTER'!$A:$A,0))</f>
        <v>#N/A</v>
      </c>
      <c r="D370" s="90" t="e">
        <f>INDEX('Validation List'!$H:$H,MATCH(RAW!E370,'Validation List'!$F:$F,0))</f>
        <v>#N/A</v>
      </c>
      <c r="G370" s="90" t="e">
        <f>VLOOKUP(F370,ML!C354:D952,2,FALSE)</f>
        <v>#N/A</v>
      </c>
      <c r="H370" s="90" t="e">
        <f>VLOOKUP(F370,ML!C354:E952,3,FALSE)</f>
        <v>#N/A</v>
      </c>
    </row>
    <row r="371" spans="1:8" x14ac:dyDescent="0.35">
      <c r="A371" s="90" t="e">
        <f>VLOOKUP(E371,'Validation List'!F372:G767,2,FALSE)</f>
        <v>#N/A</v>
      </c>
      <c r="B371" s="90" t="e">
        <f>INDEX('NEW HIRE ROSTER'!$G:$G,MATCH(RAW!F371,'NEW HIRE ROSTER'!$A:$A,0))</f>
        <v>#N/A</v>
      </c>
      <c r="C371" s="90" t="e">
        <f>INDEX('NEW HIRE ROSTER'!$F:$F,MATCH(RAW!F371,'NEW HIRE ROSTER'!$A:$A,0))</f>
        <v>#N/A</v>
      </c>
      <c r="D371" s="90" t="e">
        <f>INDEX('Validation List'!$H:$H,MATCH(RAW!E371,'Validation List'!$F:$F,0))</f>
        <v>#N/A</v>
      </c>
      <c r="G371" s="90" t="e">
        <f>VLOOKUP(F371,ML!C355:D953,2,FALSE)</f>
        <v>#N/A</v>
      </c>
      <c r="H371" s="90" t="e">
        <f>VLOOKUP(F371,ML!C355:E953,3,FALSE)</f>
        <v>#N/A</v>
      </c>
    </row>
    <row r="372" spans="1:8" x14ac:dyDescent="0.35">
      <c r="A372" s="90" t="e">
        <f>VLOOKUP(E372,'Validation List'!F373:G768,2,FALSE)</f>
        <v>#N/A</v>
      </c>
      <c r="B372" s="90" t="e">
        <f>INDEX('NEW HIRE ROSTER'!$G:$G,MATCH(RAW!F372,'NEW HIRE ROSTER'!$A:$A,0))</f>
        <v>#N/A</v>
      </c>
      <c r="C372" s="90" t="e">
        <f>INDEX('NEW HIRE ROSTER'!$F:$F,MATCH(RAW!F372,'NEW HIRE ROSTER'!$A:$A,0))</f>
        <v>#N/A</v>
      </c>
      <c r="D372" s="90" t="e">
        <f>INDEX('Validation List'!$H:$H,MATCH(RAW!E372,'Validation List'!$F:$F,0))</f>
        <v>#N/A</v>
      </c>
      <c r="G372" s="90" t="e">
        <f>VLOOKUP(F372,ML!C356:D954,2,FALSE)</f>
        <v>#N/A</v>
      </c>
      <c r="H372" s="90" t="e">
        <f>VLOOKUP(F372,ML!C356:E954,3,FALSE)</f>
        <v>#N/A</v>
      </c>
    </row>
    <row r="373" spans="1:8" x14ac:dyDescent="0.35">
      <c r="A373" s="90" t="e">
        <f>VLOOKUP(E373,'Validation List'!F374:G769,2,FALSE)</f>
        <v>#N/A</v>
      </c>
      <c r="B373" s="90" t="e">
        <f>INDEX('NEW HIRE ROSTER'!$G:$G,MATCH(RAW!F373,'NEW HIRE ROSTER'!$A:$A,0))</f>
        <v>#N/A</v>
      </c>
      <c r="C373" s="90" t="e">
        <f>INDEX('NEW HIRE ROSTER'!$F:$F,MATCH(RAW!F373,'NEW HIRE ROSTER'!$A:$A,0))</f>
        <v>#N/A</v>
      </c>
      <c r="D373" s="90" t="e">
        <f>INDEX('Validation List'!$H:$H,MATCH(RAW!E373,'Validation List'!$F:$F,0))</f>
        <v>#N/A</v>
      </c>
      <c r="G373" s="90" t="e">
        <f>VLOOKUP(F373,ML!C357:D955,2,FALSE)</f>
        <v>#N/A</v>
      </c>
      <c r="H373" s="90" t="e">
        <f>VLOOKUP(F373,ML!C357:E955,3,FALSE)</f>
        <v>#N/A</v>
      </c>
    </row>
    <row r="374" spans="1:8" x14ac:dyDescent="0.35">
      <c r="A374" s="90" t="e">
        <f>VLOOKUP(E374,'Validation List'!F375:G770,2,FALSE)</f>
        <v>#N/A</v>
      </c>
      <c r="B374" s="90" t="e">
        <f>INDEX('NEW HIRE ROSTER'!$G:$G,MATCH(RAW!F374,'NEW HIRE ROSTER'!$A:$A,0))</f>
        <v>#N/A</v>
      </c>
      <c r="C374" s="90" t="e">
        <f>INDEX('NEW HIRE ROSTER'!$F:$F,MATCH(RAW!F374,'NEW HIRE ROSTER'!$A:$A,0))</f>
        <v>#N/A</v>
      </c>
      <c r="D374" s="90" t="e">
        <f>INDEX('Validation List'!$H:$H,MATCH(RAW!E374,'Validation List'!$F:$F,0))</f>
        <v>#N/A</v>
      </c>
      <c r="G374" s="90" t="e">
        <f>VLOOKUP(F374,ML!C358:D956,2,FALSE)</f>
        <v>#N/A</v>
      </c>
      <c r="H374" s="90" t="e">
        <f>VLOOKUP(F374,ML!C358:E956,3,FALSE)</f>
        <v>#N/A</v>
      </c>
    </row>
    <row r="375" spans="1:8" x14ac:dyDescent="0.35">
      <c r="A375" s="90" t="e">
        <f>VLOOKUP(E375,'Validation List'!F376:G771,2,FALSE)</f>
        <v>#N/A</v>
      </c>
      <c r="B375" s="90" t="e">
        <f>INDEX('NEW HIRE ROSTER'!$G:$G,MATCH(RAW!F375,'NEW HIRE ROSTER'!$A:$A,0))</f>
        <v>#N/A</v>
      </c>
      <c r="C375" s="90" t="e">
        <f>INDEX('NEW HIRE ROSTER'!$F:$F,MATCH(RAW!F375,'NEW HIRE ROSTER'!$A:$A,0))</f>
        <v>#N/A</v>
      </c>
      <c r="D375" s="90" t="e">
        <f>INDEX('Validation List'!$H:$H,MATCH(RAW!E375,'Validation List'!$F:$F,0))</f>
        <v>#N/A</v>
      </c>
      <c r="G375" s="90" t="e">
        <f>VLOOKUP(F375,ML!C359:D957,2,FALSE)</f>
        <v>#N/A</v>
      </c>
      <c r="H375" s="90" t="e">
        <f>VLOOKUP(F375,ML!C359:E957,3,FALSE)</f>
        <v>#N/A</v>
      </c>
    </row>
    <row r="376" spans="1:8" x14ac:dyDescent="0.35">
      <c r="A376" s="90" t="e">
        <f>VLOOKUP(E376,'Validation List'!F377:G772,2,FALSE)</f>
        <v>#N/A</v>
      </c>
      <c r="B376" s="90" t="e">
        <f>INDEX('NEW HIRE ROSTER'!$G:$G,MATCH(RAW!F376,'NEW HIRE ROSTER'!$A:$A,0))</f>
        <v>#N/A</v>
      </c>
      <c r="C376" s="90" t="e">
        <f>INDEX('NEW HIRE ROSTER'!$F:$F,MATCH(RAW!F376,'NEW HIRE ROSTER'!$A:$A,0))</f>
        <v>#N/A</v>
      </c>
      <c r="D376" s="90" t="e">
        <f>INDEX('Validation List'!$H:$H,MATCH(RAW!E376,'Validation List'!$F:$F,0))</f>
        <v>#N/A</v>
      </c>
      <c r="G376" s="90" t="e">
        <f>VLOOKUP(F376,ML!C360:D958,2,FALSE)</f>
        <v>#N/A</v>
      </c>
      <c r="H376" s="90" t="e">
        <f>VLOOKUP(F376,ML!C360:E958,3,FALSE)</f>
        <v>#N/A</v>
      </c>
    </row>
    <row r="377" spans="1:8" x14ac:dyDescent="0.35">
      <c r="A377" s="90" t="e">
        <f>VLOOKUP(E377,'Validation List'!F378:G773,2,FALSE)</f>
        <v>#N/A</v>
      </c>
      <c r="B377" s="90" t="e">
        <f>INDEX('NEW HIRE ROSTER'!$G:$G,MATCH(RAW!F377,'NEW HIRE ROSTER'!$A:$A,0))</f>
        <v>#N/A</v>
      </c>
      <c r="C377" s="90" t="e">
        <f>INDEX('NEW HIRE ROSTER'!$F:$F,MATCH(RAW!F377,'NEW HIRE ROSTER'!$A:$A,0))</f>
        <v>#N/A</v>
      </c>
      <c r="D377" s="90" t="e">
        <f>INDEX('Validation List'!$H:$H,MATCH(RAW!E377,'Validation List'!$F:$F,0))</f>
        <v>#N/A</v>
      </c>
      <c r="G377" s="90" t="e">
        <f>VLOOKUP(F377,ML!C361:D959,2,FALSE)</f>
        <v>#N/A</v>
      </c>
      <c r="H377" s="90" t="e">
        <f>VLOOKUP(F377,ML!C361:E959,3,FALSE)</f>
        <v>#N/A</v>
      </c>
    </row>
    <row r="378" spans="1:8" x14ac:dyDescent="0.35">
      <c r="A378" s="90" t="e">
        <f>VLOOKUP(E378,'Validation List'!F379:G774,2,FALSE)</f>
        <v>#N/A</v>
      </c>
      <c r="B378" s="90" t="e">
        <f>INDEX('NEW HIRE ROSTER'!$G:$G,MATCH(RAW!F378,'NEW HIRE ROSTER'!$A:$A,0))</f>
        <v>#N/A</v>
      </c>
      <c r="C378" s="90" t="e">
        <f>INDEX('NEW HIRE ROSTER'!$F:$F,MATCH(RAW!F378,'NEW HIRE ROSTER'!$A:$A,0))</f>
        <v>#N/A</v>
      </c>
      <c r="D378" s="90" t="e">
        <f>INDEX('Validation List'!$H:$H,MATCH(RAW!E378,'Validation List'!$F:$F,0))</f>
        <v>#N/A</v>
      </c>
      <c r="G378" s="90" t="e">
        <f>VLOOKUP(F378,ML!C362:D960,2,FALSE)</f>
        <v>#N/A</v>
      </c>
      <c r="H378" s="90" t="e">
        <f>VLOOKUP(F378,ML!C362:E960,3,FALSE)</f>
        <v>#N/A</v>
      </c>
    </row>
    <row r="379" spans="1:8" x14ac:dyDescent="0.35">
      <c r="A379" s="90" t="e">
        <f>VLOOKUP(E379,'Validation List'!F380:G775,2,FALSE)</f>
        <v>#N/A</v>
      </c>
      <c r="B379" s="90" t="e">
        <f>INDEX('NEW HIRE ROSTER'!$G:$G,MATCH(RAW!F379,'NEW HIRE ROSTER'!$A:$A,0))</f>
        <v>#N/A</v>
      </c>
      <c r="C379" s="90" t="e">
        <f>INDEX('NEW HIRE ROSTER'!$F:$F,MATCH(RAW!F379,'NEW HIRE ROSTER'!$A:$A,0))</f>
        <v>#N/A</v>
      </c>
      <c r="D379" s="90" t="e">
        <f>INDEX('Validation List'!$H:$H,MATCH(RAW!E379,'Validation List'!$F:$F,0))</f>
        <v>#N/A</v>
      </c>
      <c r="G379" s="90" t="e">
        <f>VLOOKUP(F379,ML!C363:D961,2,FALSE)</f>
        <v>#N/A</v>
      </c>
      <c r="H379" s="90" t="e">
        <f>VLOOKUP(F379,ML!C363:E961,3,FALSE)</f>
        <v>#N/A</v>
      </c>
    </row>
    <row r="380" spans="1:8" x14ac:dyDescent="0.35">
      <c r="A380" s="90" t="e">
        <f>VLOOKUP(E380,'Validation List'!F381:G776,2,FALSE)</f>
        <v>#N/A</v>
      </c>
      <c r="B380" s="90" t="e">
        <f>INDEX('NEW HIRE ROSTER'!$G:$G,MATCH(RAW!F380,'NEW HIRE ROSTER'!$A:$A,0))</f>
        <v>#N/A</v>
      </c>
      <c r="C380" s="90" t="e">
        <f>INDEX('NEW HIRE ROSTER'!$F:$F,MATCH(RAW!F380,'NEW HIRE ROSTER'!$A:$A,0))</f>
        <v>#N/A</v>
      </c>
      <c r="D380" s="90" t="e">
        <f>INDEX('Validation List'!$H:$H,MATCH(RAW!E380,'Validation List'!$F:$F,0))</f>
        <v>#N/A</v>
      </c>
      <c r="G380" s="90" t="e">
        <f>VLOOKUP(F380,ML!C364:D962,2,FALSE)</f>
        <v>#N/A</v>
      </c>
      <c r="H380" s="90" t="e">
        <f>VLOOKUP(F380,ML!C364:E962,3,FALSE)</f>
        <v>#N/A</v>
      </c>
    </row>
    <row r="381" spans="1:8" x14ac:dyDescent="0.35">
      <c r="A381" s="90" t="e">
        <f>VLOOKUP(E381,'Validation List'!F382:G777,2,FALSE)</f>
        <v>#N/A</v>
      </c>
      <c r="B381" s="90" t="e">
        <f>INDEX('NEW HIRE ROSTER'!$G:$G,MATCH(RAW!F381,'NEW HIRE ROSTER'!$A:$A,0))</f>
        <v>#N/A</v>
      </c>
      <c r="C381" s="90" t="e">
        <f>INDEX('NEW HIRE ROSTER'!$F:$F,MATCH(RAW!F381,'NEW HIRE ROSTER'!$A:$A,0))</f>
        <v>#N/A</v>
      </c>
      <c r="D381" s="90" t="e">
        <f>INDEX('Validation List'!$H:$H,MATCH(RAW!E381,'Validation List'!$F:$F,0))</f>
        <v>#N/A</v>
      </c>
      <c r="G381" s="90" t="e">
        <f>VLOOKUP(F381,ML!C365:D963,2,FALSE)</f>
        <v>#N/A</v>
      </c>
      <c r="H381" s="90" t="e">
        <f>VLOOKUP(F381,ML!C365:E963,3,FALSE)</f>
        <v>#N/A</v>
      </c>
    </row>
    <row r="382" spans="1:8" x14ac:dyDescent="0.35">
      <c r="A382" s="90" t="e">
        <f>VLOOKUP(E382,'Validation List'!F383:G778,2,FALSE)</f>
        <v>#N/A</v>
      </c>
      <c r="B382" s="90" t="e">
        <f>INDEX('NEW HIRE ROSTER'!$G:$G,MATCH(RAW!F382,'NEW HIRE ROSTER'!$A:$A,0))</f>
        <v>#N/A</v>
      </c>
      <c r="C382" s="90" t="e">
        <f>INDEX('NEW HIRE ROSTER'!$F:$F,MATCH(RAW!F382,'NEW HIRE ROSTER'!$A:$A,0))</f>
        <v>#N/A</v>
      </c>
      <c r="D382" s="90" t="e">
        <f>INDEX('Validation List'!$H:$H,MATCH(RAW!E382,'Validation List'!$F:$F,0))</f>
        <v>#N/A</v>
      </c>
      <c r="G382" s="90" t="e">
        <f>VLOOKUP(F382,ML!C366:D964,2,FALSE)</f>
        <v>#N/A</v>
      </c>
      <c r="H382" s="90" t="e">
        <f>VLOOKUP(F382,ML!C366:E964,3,FALSE)</f>
        <v>#N/A</v>
      </c>
    </row>
    <row r="383" spans="1:8" x14ac:dyDescent="0.35">
      <c r="A383" s="90" t="e">
        <f>VLOOKUP(E383,'Validation List'!F384:G779,2,FALSE)</f>
        <v>#N/A</v>
      </c>
      <c r="B383" s="90" t="e">
        <f>INDEX('NEW HIRE ROSTER'!$G:$G,MATCH(RAW!F383,'NEW HIRE ROSTER'!$A:$A,0))</f>
        <v>#N/A</v>
      </c>
      <c r="C383" s="90" t="e">
        <f>INDEX('NEW HIRE ROSTER'!$F:$F,MATCH(RAW!F383,'NEW HIRE ROSTER'!$A:$A,0))</f>
        <v>#N/A</v>
      </c>
      <c r="D383" s="90" t="e">
        <f>INDEX('Validation List'!$H:$H,MATCH(RAW!E383,'Validation List'!$F:$F,0))</f>
        <v>#N/A</v>
      </c>
      <c r="G383" s="90" t="e">
        <f>VLOOKUP(F383,ML!C367:D965,2,FALSE)</f>
        <v>#N/A</v>
      </c>
      <c r="H383" s="90" t="e">
        <f>VLOOKUP(F383,ML!C367:E965,3,FALSE)</f>
        <v>#N/A</v>
      </c>
    </row>
    <row r="384" spans="1:8" x14ac:dyDescent="0.35">
      <c r="A384" s="90" t="e">
        <f>VLOOKUP(E384,'Validation List'!F385:G780,2,FALSE)</f>
        <v>#N/A</v>
      </c>
      <c r="B384" s="90" t="e">
        <f>INDEX('NEW HIRE ROSTER'!$G:$G,MATCH(RAW!F384,'NEW HIRE ROSTER'!$A:$A,0))</f>
        <v>#N/A</v>
      </c>
      <c r="C384" s="90" t="e">
        <f>INDEX('NEW HIRE ROSTER'!$F:$F,MATCH(RAW!F384,'NEW HIRE ROSTER'!$A:$A,0))</f>
        <v>#N/A</v>
      </c>
      <c r="D384" s="90" t="e">
        <f>INDEX('Validation List'!$H:$H,MATCH(RAW!E384,'Validation List'!$F:$F,0))</f>
        <v>#N/A</v>
      </c>
      <c r="G384" s="90" t="e">
        <f>VLOOKUP(F384,ML!C368:D966,2,FALSE)</f>
        <v>#N/A</v>
      </c>
      <c r="H384" s="90" t="e">
        <f>VLOOKUP(F384,ML!C368:E966,3,FALSE)</f>
        <v>#N/A</v>
      </c>
    </row>
    <row r="385" spans="1:8" x14ac:dyDescent="0.35">
      <c r="A385" s="90" t="e">
        <f>VLOOKUP(E385,'Validation List'!F386:G781,2,FALSE)</f>
        <v>#N/A</v>
      </c>
      <c r="B385" s="90" t="e">
        <f>INDEX('NEW HIRE ROSTER'!$G:$G,MATCH(RAW!F385,'NEW HIRE ROSTER'!$A:$A,0))</f>
        <v>#N/A</v>
      </c>
      <c r="C385" s="90" t="e">
        <f>INDEX('NEW HIRE ROSTER'!$F:$F,MATCH(RAW!F385,'NEW HIRE ROSTER'!$A:$A,0))</f>
        <v>#N/A</v>
      </c>
      <c r="D385" s="90" t="e">
        <f>INDEX('Validation List'!$H:$H,MATCH(RAW!E385,'Validation List'!$F:$F,0))</f>
        <v>#N/A</v>
      </c>
      <c r="G385" s="90" t="e">
        <f>VLOOKUP(F385,ML!C369:D967,2,FALSE)</f>
        <v>#N/A</v>
      </c>
      <c r="H385" s="90" t="e">
        <f>VLOOKUP(F385,ML!C369:E967,3,FALSE)</f>
        <v>#N/A</v>
      </c>
    </row>
    <row r="386" spans="1:8" x14ac:dyDescent="0.35">
      <c r="A386" s="90" t="e">
        <f>VLOOKUP(E386,'Validation List'!F387:G782,2,FALSE)</f>
        <v>#N/A</v>
      </c>
      <c r="B386" s="90" t="e">
        <f>INDEX('NEW HIRE ROSTER'!$G:$G,MATCH(RAW!F386,'NEW HIRE ROSTER'!$A:$A,0))</f>
        <v>#N/A</v>
      </c>
      <c r="C386" s="90" t="e">
        <f>INDEX('NEW HIRE ROSTER'!$F:$F,MATCH(RAW!F386,'NEW HIRE ROSTER'!$A:$A,0))</f>
        <v>#N/A</v>
      </c>
      <c r="D386" s="90" t="e">
        <f>INDEX('Validation List'!$H:$H,MATCH(RAW!E386,'Validation List'!$F:$F,0))</f>
        <v>#N/A</v>
      </c>
      <c r="G386" s="90" t="e">
        <f>VLOOKUP(F386,ML!C370:D968,2,FALSE)</f>
        <v>#N/A</v>
      </c>
      <c r="H386" s="90" t="e">
        <f>VLOOKUP(F386,ML!C370:E968,3,FALSE)</f>
        <v>#N/A</v>
      </c>
    </row>
    <row r="387" spans="1:8" x14ac:dyDescent="0.35">
      <c r="A387" s="90" t="e">
        <f>VLOOKUP(E387,'Validation List'!F388:G783,2,FALSE)</f>
        <v>#N/A</v>
      </c>
      <c r="B387" s="90" t="e">
        <f>INDEX('NEW HIRE ROSTER'!$G:$G,MATCH(RAW!F387,'NEW HIRE ROSTER'!$A:$A,0))</f>
        <v>#N/A</v>
      </c>
      <c r="C387" s="90" t="e">
        <f>INDEX('NEW HIRE ROSTER'!$F:$F,MATCH(RAW!F387,'NEW HIRE ROSTER'!$A:$A,0))</f>
        <v>#N/A</v>
      </c>
      <c r="D387" s="90" t="e">
        <f>INDEX('Validation List'!$H:$H,MATCH(RAW!E387,'Validation List'!$F:$F,0))</f>
        <v>#N/A</v>
      </c>
      <c r="G387" s="90" t="e">
        <f>VLOOKUP(F387,ML!C371:D969,2,FALSE)</f>
        <v>#N/A</v>
      </c>
      <c r="H387" s="90" t="e">
        <f>VLOOKUP(F387,ML!C371:E969,3,FALSE)</f>
        <v>#N/A</v>
      </c>
    </row>
    <row r="388" spans="1:8" x14ac:dyDescent="0.35">
      <c r="A388" s="90" t="e">
        <f>VLOOKUP(E388,'Validation List'!F389:G784,2,FALSE)</f>
        <v>#N/A</v>
      </c>
      <c r="B388" s="90" t="e">
        <f>INDEX('NEW HIRE ROSTER'!$G:$G,MATCH(RAW!F388,'NEW HIRE ROSTER'!$A:$A,0))</f>
        <v>#N/A</v>
      </c>
      <c r="C388" s="90" t="e">
        <f>INDEX('NEW HIRE ROSTER'!$F:$F,MATCH(RAW!F388,'NEW HIRE ROSTER'!$A:$A,0))</f>
        <v>#N/A</v>
      </c>
      <c r="D388" s="90" t="e">
        <f>INDEX('Validation List'!$H:$H,MATCH(RAW!E388,'Validation List'!$F:$F,0))</f>
        <v>#N/A</v>
      </c>
      <c r="G388" s="90" t="e">
        <f>VLOOKUP(F388,ML!C372:D970,2,FALSE)</f>
        <v>#N/A</v>
      </c>
      <c r="H388" s="90" t="e">
        <f>VLOOKUP(F388,ML!C372:E970,3,FALSE)</f>
        <v>#N/A</v>
      </c>
    </row>
    <row r="389" spans="1:8" x14ac:dyDescent="0.35">
      <c r="A389" s="90" t="e">
        <f>VLOOKUP(E389,'Validation List'!F390:G785,2,FALSE)</f>
        <v>#N/A</v>
      </c>
      <c r="B389" s="90" t="e">
        <f>INDEX('NEW HIRE ROSTER'!$G:$G,MATCH(RAW!F389,'NEW HIRE ROSTER'!$A:$A,0))</f>
        <v>#N/A</v>
      </c>
      <c r="C389" s="90" t="e">
        <f>INDEX('NEW HIRE ROSTER'!$F:$F,MATCH(RAW!F389,'NEW HIRE ROSTER'!$A:$A,0))</f>
        <v>#N/A</v>
      </c>
      <c r="D389" s="90" t="e">
        <f>INDEX('Validation List'!$H:$H,MATCH(RAW!E389,'Validation List'!$F:$F,0))</f>
        <v>#N/A</v>
      </c>
      <c r="G389" s="90" t="e">
        <f>VLOOKUP(F389,ML!C373:D971,2,FALSE)</f>
        <v>#N/A</v>
      </c>
      <c r="H389" s="90" t="e">
        <f>VLOOKUP(F389,ML!C373:E971,3,FALSE)</f>
        <v>#N/A</v>
      </c>
    </row>
    <row r="390" spans="1:8" x14ac:dyDescent="0.35">
      <c r="A390" s="90" t="e">
        <f>VLOOKUP(E390,'Validation List'!F391:G786,2,FALSE)</f>
        <v>#N/A</v>
      </c>
      <c r="B390" s="90" t="e">
        <f>INDEX('NEW HIRE ROSTER'!$G:$G,MATCH(RAW!F390,'NEW HIRE ROSTER'!$A:$A,0))</f>
        <v>#N/A</v>
      </c>
      <c r="C390" s="90" t="e">
        <f>INDEX('NEW HIRE ROSTER'!$F:$F,MATCH(RAW!F390,'NEW HIRE ROSTER'!$A:$A,0))</f>
        <v>#N/A</v>
      </c>
      <c r="D390" s="90" t="e">
        <f>INDEX('Validation List'!$H:$H,MATCH(RAW!E390,'Validation List'!$F:$F,0))</f>
        <v>#N/A</v>
      </c>
      <c r="G390" s="90" t="e">
        <f>VLOOKUP(F390,ML!C374:D972,2,FALSE)</f>
        <v>#N/A</v>
      </c>
      <c r="H390" s="90" t="e">
        <f>VLOOKUP(F390,ML!C374:E972,3,FALSE)</f>
        <v>#N/A</v>
      </c>
    </row>
    <row r="391" spans="1:8" x14ac:dyDescent="0.35">
      <c r="A391" s="90" t="e">
        <f>VLOOKUP(E391,'Validation List'!F392:G787,2,FALSE)</f>
        <v>#N/A</v>
      </c>
      <c r="B391" s="90" t="e">
        <f>INDEX('NEW HIRE ROSTER'!$G:$G,MATCH(RAW!F391,'NEW HIRE ROSTER'!$A:$A,0))</f>
        <v>#N/A</v>
      </c>
      <c r="C391" s="90" t="e">
        <f>INDEX('NEW HIRE ROSTER'!$F:$F,MATCH(RAW!F391,'NEW HIRE ROSTER'!$A:$A,0))</f>
        <v>#N/A</v>
      </c>
      <c r="D391" s="90" t="e">
        <f>INDEX('Validation List'!$H:$H,MATCH(RAW!E391,'Validation List'!$F:$F,0))</f>
        <v>#N/A</v>
      </c>
      <c r="G391" s="90" t="e">
        <f>VLOOKUP(F391,ML!C375:D973,2,FALSE)</f>
        <v>#N/A</v>
      </c>
      <c r="H391" s="90" t="e">
        <f>VLOOKUP(F391,ML!C375:E973,3,FALSE)</f>
        <v>#N/A</v>
      </c>
    </row>
    <row r="392" spans="1:8" x14ac:dyDescent="0.35">
      <c r="A392" s="90" t="e">
        <f>VLOOKUP(E392,'Validation List'!F393:G788,2,FALSE)</f>
        <v>#N/A</v>
      </c>
      <c r="B392" s="90" t="e">
        <f>INDEX('NEW HIRE ROSTER'!$G:$G,MATCH(RAW!F392,'NEW HIRE ROSTER'!$A:$A,0))</f>
        <v>#N/A</v>
      </c>
      <c r="C392" s="90" t="e">
        <f>INDEX('NEW HIRE ROSTER'!$F:$F,MATCH(RAW!F392,'NEW HIRE ROSTER'!$A:$A,0))</f>
        <v>#N/A</v>
      </c>
      <c r="D392" s="90" t="e">
        <f>INDEX('Validation List'!$H:$H,MATCH(RAW!E392,'Validation List'!$F:$F,0))</f>
        <v>#N/A</v>
      </c>
      <c r="G392" s="90" t="e">
        <f>VLOOKUP(F392,ML!C376:D974,2,FALSE)</f>
        <v>#N/A</v>
      </c>
      <c r="H392" s="90" t="e">
        <f>VLOOKUP(F392,ML!C376:E974,3,FALSE)</f>
        <v>#N/A</v>
      </c>
    </row>
    <row r="393" spans="1:8" x14ac:dyDescent="0.35">
      <c r="A393" s="90" t="e">
        <f>VLOOKUP(E393,'Validation List'!F394:G789,2,FALSE)</f>
        <v>#N/A</v>
      </c>
      <c r="B393" s="90" t="e">
        <f>INDEX('NEW HIRE ROSTER'!$G:$G,MATCH(RAW!F393,'NEW HIRE ROSTER'!$A:$A,0))</f>
        <v>#N/A</v>
      </c>
      <c r="C393" s="90" t="e">
        <f>INDEX('NEW HIRE ROSTER'!$F:$F,MATCH(RAW!F393,'NEW HIRE ROSTER'!$A:$A,0))</f>
        <v>#N/A</v>
      </c>
      <c r="D393" s="90" t="e">
        <f>INDEX('Validation List'!$H:$H,MATCH(RAW!E393,'Validation List'!$F:$F,0))</f>
        <v>#N/A</v>
      </c>
      <c r="G393" s="90" t="e">
        <f>VLOOKUP(F393,ML!C377:D975,2,FALSE)</f>
        <v>#N/A</v>
      </c>
      <c r="H393" s="90" t="e">
        <f>VLOOKUP(F393,ML!C377:E975,3,FALSE)</f>
        <v>#N/A</v>
      </c>
    </row>
    <row r="394" spans="1:8" x14ac:dyDescent="0.35">
      <c r="A394" s="90" t="e">
        <f>VLOOKUP(E394,'Validation List'!F395:G790,2,FALSE)</f>
        <v>#N/A</v>
      </c>
      <c r="B394" s="90" t="e">
        <f>INDEX('NEW HIRE ROSTER'!$G:$G,MATCH(RAW!F394,'NEW HIRE ROSTER'!$A:$A,0))</f>
        <v>#N/A</v>
      </c>
      <c r="C394" s="90" t="e">
        <f>INDEX('NEW HIRE ROSTER'!$F:$F,MATCH(RAW!F394,'NEW HIRE ROSTER'!$A:$A,0))</f>
        <v>#N/A</v>
      </c>
      <c r="D394" s="90" t="e">
        <f>INDEX('Validation List'!$H:$H,MATCH(RAW!E394,'Validation List'!$F:$F,0))</f>
        <v>#N/A</v>
      </c>
      <c r="G394" s="90" t="e">
        <f>VLOOKUP(F394,ML!C378:D976,2,FALSE)</f>
        <v>#N/A</v>
      </c>
      <c r="H394" s="90" t="e">
        <f>VLOOKUP(F394,ML!C378:E976,3,FALSE)</f>
        <v>#N/A</v>
      </c>
    </row>
    <row r="395" spans="1:8" x14ac:dyDescent="0.35">
      <c r="A395" s="90" t="e">
        <f>VLOOKUP(E395,'Validation List'!F396:G791,2,FALSE)</f>
        <v>#N/A</v>
      </c>
      <c r="B395" s="90" t="e">
        <f>INDEX('NEW HIRE ROSTER'!$G:$G,MATCH(RAW!F395,'NEW HIRE ROSTER'!$A:$A,0))</f>
        <v>#N/A</v>
      </c>
      <c r="C395" s="90" t="e">
        <f>INDEX('NEW HIRE ROSTER'!$F:$F,MATCH(RAW!F395,'NEW HIRE ROSTER'!$A:$A,0))</f>
        <v>#N/A</v>
      </c>
      <c r="D395" s="90" t="e">
        <f>INDEX('Validation List'!$H:$H,MATCH(RAW!E395,'Validation List'!$F:$F,0))</f>
        <v>#N/A</v>
      </c>
      <c r="G395" s="90" t="e">
        <f>VLOOKUP(F395,ML!C379:D977,2,FALSE)</f>
        <v>#N/A</v>
      </c>
      <c r="H395" s="90" t="e">
        <f>VLOOKUP(F395,ML!C379:E977,3,FALSE)</f>
        <v>#N/A</v>
      </c>
    </row>
    <row r="396" spans="1:8" x14ac:dyDescent="0.35">
      <c r="A396" s="90" t="e">
        <f>VLOOKUP(E396,'Validation List'!F397:G792,2,FALSE)</f>
        <v>#N/A</v>
      </c>
      <c r="B396" s="90" t="e">
        <f>INDEX('NEW HIRE ROSTER'!$G:$G,MATCH(RAW!F396,'NEW HIRE ROSTER'!$A:$A,0))</f>
        <v>#N/A</v>
      </c>
      <c r="C396" s="90" t="e">
        <f>INDEX('NEW HIRE ROSTER'!$F:$F,MATCH(RAW!F396,'NEW HIRE ROSTER'!$A:$A,0))</f>
        <v>#N/A</v>
      </c>
      <c r="D396" s="90" t="e">
        <f>INDEX('Validation List'!$H:$H,MATCH(RAW!E396,'Validation List'!$F:$F,0))</f>
        <v>#N/A</v>
      </c>
      <c r="G396" s="90" t="e">
        <f>VLOOKUP(F396,ML!C380:D978,2,FALSE)</f>
        <v>#N/A</v>
      </c>
      <c r="H396" s="90" t="e">
        <f>VLOOKUP(F396,ML!C380:E978,3,FALSE)</f>
        <v>#N/A</v>
      </c>
    </row>
    <row r="397" spans="1:8" x14ac:dyDescent="0.35">
      <c r="A397" s="90" t="e">
        <f>VLOOKUP(E397,'Validation List'!F398:G793,2,FALSE)</f>
        <v>#N/A</v>
      </c>
      <c r="B397" s="90" t="e">
        <f>INDEX('NEW HIRE ROSTER'!$G:$G,MATCH(RAW!F397,'NEW HIRE ROSTER'!$A:$A,0))</f>
        <v>#N/A</v>
      </c>
      <c r="C397" s="90" t="e">
        <f>INDEX('NEW HIRE ROSTER'!$F:$F,MATCH(RAW!F397,'NEW HIRE ROSTER'!$A:$A,0))</f>
        <v>#N/A</v>
      </c>
      <c r="D397" s="90" t="e">
        <f>INDEX('Validation List'!$H:$H,MATCH(RAW!E397,'Validation List'!$F:$F,0))</f>
        <v>#N/A</v>
      </c>
      <c r="G397" s="90" t="e">
        <f>VLOOKUP(F397,ML!C381:D979,2,FALSE)</f>
        <v>#N/A</v>
      </c>
      <c r="H397" s="90" t="e">
        <f>VLOOKUP(F397,ML!C381:E979,3,FALSE)</f>
        <v>#N/A</v>
      </c>
    </row>
    <row r="398" spans="1:8" x14ac:dyDescent="0.35">
      <c r="A398" s="90" t="e">
        <f>VLOOKUP(E398,'Validation List'!F399:G794,2,FALSE)</f>
        <v>#N/A</v>
      </c>
      <c r="B398" s="90" t="e">
        <f>INDEX('NEW HIRE ROSTER'!$G:$G,MATCH(RAW!F398,'NEW HIRE ROSTER'!$A:$A,0))</f>
        <v>#N/A</v>
      </c>
      <c r="C398" s="90" t="e">
        <f>INDEX('NEW HIRE ROSTER'!$F:$F,MATCH(RAW!F398,'NEW HIRE ROSTER'!$A:$A,0))</f>
        <v>#N/A</v>
      </c>
      <c r="D398" s="90" t="e">
        <f>INDEX('Validation List'!$H:$H,MATCH(RAW!E398,'Validation List'!$F:$F,0))</f>
        <v>#N/A</v>
      </c>
      <c r="G398" s="90" t="e">
        <f>VLOOKUP(F398,ML!C382:D980,2,FALSE)</f>
        <v>#N/A</v>
      </c>
      <c r="H398" s="90" t="e">
        <f>VLOOKUP(F398,ML!C382:E980,3,FALSE)</f>
        <v>#N/A</v>
      </c>
    </row>
    <row r="399" spans="1:8" x14ac:dyDescent="0.35">
      <c r="A399" s="90" t="e">
        <f>VLOOKUP(E399,'Validation List'!F400:G795,2,FALSE)</f>
        <v>#N/A</v>
      </c>
      <c r="B399" s="90" t="e">
        <f>INDEX('NEW HIRE ROSTER'!$G:$G,MATCH(RAW!F399,'NEW HIRE ROSTER'!$A:$A,0))</f>
        <v>#N/A</v>
      </c>
      <c r="C399" s="90" t="e">
        <f>INDEX('NEW HIRE ROSTER'!$F:$F,MATCH(RAW!F399,'NEW HIRE ROSTER'!$A:$A,0))</f>
        <v>#N/A</v>
      </c>
      <c r="D399" s="90" t="e">
        <f>INDEX('Validation List'!$H:$H,MATCH(RAW!E399,'Validation List'!$F:$F,0))</f>
        <v>#N/A</v>
      </c>
      <c r="G399" s="90" t="e">
        <f>VLOOKUP(F399,ML!C383:D981,2,FALSE)</f>
        <v>#N/A</v>
      </c>
      <c r="H399" s="90" t="e">
        <f>VLOOKUP(F399,ML!C383:E981,3,FALSE)</f>
        <v>#N/A</v>
      </c>
    </row>
    <row r="400" spans="1:8" x14ac:dyDescent="0.35">
      <c r="A400" s="90" t="e">
        <f>VLOOKUP(E400,'Validation List'!F401:G796,2,FALSE)</f>
        <v>#N/A</v>
      </c>
      <c r="B400" s="90" t="e">
        <f>INDEX('NEW HIRE ROSTER'!$G:$G,MATCH(RAW!F400,'NEW HIRE ROSTER'!$A:$A,0))</f>
        <v>#N/A</v>
      </c>
      <c r="C400" s="90" t="e">
        <f>INDEX('NEW HIRE ROSTER'!$F:$F,MATCH(RAW!F400,'NEW HIRE ROSTER'!$A:$A,0))</f>
        <v>#N/A</v>
      </c>
      <c r="D400" s="90" t="e">
        <f>INDEX('Validation List'!$H:$H,MATCH(RAW!E400,'Validation List'!$F:$F,0))</f>
        <v>#N/A</v>
      </c>
      <c r="G400" s="90" t="e">
        <f>VLOOKUP(F400,ML!C384:D982,2,FALSE)</f>
        <v>#N/A</v>
      </c>
      <c r="H400" s="90" t="e">
        <f>VLOOKUP(F400,ML!C384:E982,3,FALSE)</f>
        <v>#N/A</v>
      </c>
    </row>
    <row r="401" spans="1:8" x14ac:dyDescent="0.35">
      <c r="A401" s="90" t="e">
        <f>VLOOKUP(E401,'Validation List'!F402:G797,2,FALSE)</f>
        <v>#N/A</v>
      </c>
      <c r="B401" s="90" t="e">
        <f>INDEX('NEW HIRE ROSTER'!$G:$G,MATCH(RAW!F401,'NEW HIRE ROSTER'!$A:$A,0))</f>
        <v>#N/A</v>
      </c>
      <c r="C401" s="90" t="e">
        <f>INDEX('NEW HIRE ROSTER'!$F:$F,MATCH(RAW!F401,'NEW HIRE ROSTER'!$A:$A,0))</f>
        <v>#N/A</v>
      </c>
      <c r="D401" s="90" t="e">
        <f>INDEX('Validation List'!$H:$H,MATCH(RAW!E401,'Validation List'!$F:$F,0))</f>
        <v>#N/A</v>
      </c>
      <c r="G401" s="90" t="e">
        <f>VLOOKUP(F401,ML!C385:D983,2,FALSE)</f>
        <v>#N/A</v>
      </c>
      <c r="H401" s="90" t="e">
        <f>VLOOKUP(F401,ML!C385:E983,3,FALSE)</f>
        <v>#N/A</v>
      </c>
    </row>
    <row r="402" spans="1:8" x14ac:dyDescent="0.35">
      <c r="A402" s="90" t="e">
        <f>VLOOKUP(E402,'Validation List'!F403:G798,2,FALSE)</f>
        <v>#N/A</v>
      </c>
      <c r="B402" s="90" t="e">
        <f>INDEX('NEW HIRE ROSTER'!$G:$G,MATCH(RAW!F402,'NEW HIRE ROSTER'!$A:$A,0))</f>
        <v>#N/A</v>
      </c>
      <c r="C402" s="90" t="e">
        <f>INDEX('NEW HIRE ROSTER'!$F:$F,MATCH(RAW!F402,'NEW HIRE ROSTER'!$A:$A,0))</f>
        <v>#N/A</v>
      </c>
      <c r="D402" s="90" t="e">
        <f>INDEX('Validation List'!$H:$H,MATCH(RAW!E402,'Validation List'!$F:$F,0))</f>
        <v>#N/A</v>
      </c>
      <c r="G402" s="90" t="e">
        <f>VLOOKUP(F402,ML!C386:D984,2,FALSE)</f>
        <v>#N/A</v>
      </c>
      <c r="H402" s="90" t="e">
        <f>VLOOKUP(F402,ML!C386:E984,3,FALSE)</f>
        <v>#N/A</v>
      </c>
    </row>
    <row r="403" spans="1:8" x14ac:dyDescent="0.35">
      <c r="A403" s="90" t="e">
        <f>VLOOKUP(E403,'Validation List'!F404:G799,2,FALSE)</f>
        <v>#N/A</v>
      </c>
      <c r="B403" s="90" t="e">
        <f>INDEX('NEW HIRE ROSTER'!$G:$G,MATCH(RAW!F403,'NEW HIRE ROSTER'!$A:$A,0))</f>
        <v>#N/A</v>
      </c>
      <c r="C403" s="90" t="e">
        <f>INDEX('NEW HIRE ROSTER'!$F:$F,MATCH(RAW!F403,'NEW HIRE ROSTER'!$A:$A,0))</f>
        <v>#N/A</v>
      </c>
      <c r="D403" s="90" t="e">
        <f>INDEX('Validation List'!$H:$H,MATCH(RAW!E403,'Validation List'!$F:$F,0))</f>
        <v>#N/A</v>
      </c>
      <c r="G403" s="90" t="e">
        <f>VLOOKUP(F403,ML!C387:D985,2,FALSE)</f>
        <v>#N/A</v>
      </c>
      <c r="H403" s="90" t="e">
        <f>VLOOKUP(F403,ML!C387:E985,3,FALSE)</f>
        <v>#N/A</v>
      </c>
    </row>
    <row r="404" spans="1:8" x14ac:dyDescent="0.35">
      <c r="A404" s="90" t="e">
        <f>VLOOKUP(E404,'Validation List'!F405:G800,2,FALSE)</f>
        <v>#N/A</v>
      </c>
      <c r="B404" s="90" t="e">
        <f>INDEX('NEW HIRE ROSTER'!$G:$G,MATCH(RAW!F404,'NEW HIRE ROSTER'!$A:$A,0))</f>
        <v>#N/A</v>
      </c>
      <c r="C404" s="90" t="e">
        <f>INDEX('NEW HIRE ROSTER'!$F:$F,MATCH(RAW!F404,'NEW HIRE ROSTER'!$A:$A,0))</f>
        <v>#N/A</v>
      </c>
      <c r="D404" s="90" t="e">
        <f>INDEX('Validation List'!$H:$H,MATCH(RAW!E404,'Validation List'!$F:$F,0))</f>
        <v>#N/A</v>
      </c>
      <c r="G404" s="90" t="e">
        <f>VLOOKUP(F404,ML!C388:D986,2,FALSE)</f>
        <v>#N/A</v>
      </c>
      <c r="H404" s="90" t="e">
        <f>VLOOKUP(F404,ML!C388:E986,3,FALSE)</f>
        <v>#N/A</v>
      </c>
    </row>
    <row r="405" spans="1:8" x14ac:dyDescent="0.35">
      <c r="A405" s="90" t="e">
        <f>VLOOKUP(E405,'Validation List'!F406:G801,2,FALSE)</f>
        <v>#N/A</v>
      </c>
      <c r="B405" s="90" t="e">
        <f>INDEX('NEW HIRE ROSTER'!$G:$G,MATCH(RAW!F405,'NEW HIRE ROSTER'!$A:$A,0))</f>
        <v>#N/A</v>
      </c>
      <c r="C405" s="90" t="e">
        <f>INDEX('NEW HIRE ROSTER'!$F:$F,MATCH(RAW!F405,'NEW HIRE ROSTER'!$A:$A,0))</f>
        <v>#N/A</v>
      </c>
      <c r="D405" s="90" t="e">
        <f>INDEX('Validation List'!$H:$H,MATCH(RAW!E405,'Validation List'!$F:$F,0))</f>
        <v>#N/A</v>
      </c>
      <c r="G405" s="90" t="e">
        <f>VLOOKUP(F405,ML!C389:D987,2,FALSE)</f>
        <v>#N/A</v>
      </c>
      <c r="H405" s="90" t="e">
        <f>VLOOKUP(F405,ML!C389:E987,3,FALSE)</f>
        <v>#N/A</v>
      </c>
    </row>
    <row r="406" spans="1:8" x14ac:dyDescent="0.35">
      <c r="A406" s="90" t="e">
        <f>VLOOKUP(E406,'Validation List'!F407:G802,2,FALSE)</f>
        <v>#N/A</v>
      </c>
      <c r="B406" s="90" t="e">
        <f>INDEX('NEW HIRE ROSTER'!$G:$G,MATCH(RAW!F406,'NEW HIRE ROSTER'!$A:$A,0))</f>
        <v>#N/A</v>
      </c>
      <c r="C406" s="90" t="e">
        <f>INDEX('NEW HIRE ROSTER'!$F:$F,MATCH(RAW!F406,'NEW HIRE ROSTER'!$A:$A,0))</f>
        <v>#N/A</v>
      </c>
      <c r="D406" s="90" t="e">
        <f>INDEX('Validation List'!$H:$H,MATCH(RAW!E406,'Validation List'!$F:$F,0))</f>
        <v>#N/A</v>
      </c>
      <c r="G406" s="90" t="e">
        <f>VLOOKUP(F406,ML!C390:D988,2,FALSE)</f>
        <v>#N/A</v>
      </c>
      <c r="H406" s="90" t="e">
        <f>VLOOKUP(F406,ML!C390:E988,3,FALSE)</f>
        <v>#N/A</v>
      </c>
    </row>
    <row r="407" spans="1:8" x14ac:dyDescent="0.35">
      <c r="A407" s="90" t="e">
        <f>VLOOKUP(E407,'Validation List'!F408:G803,2,FALSE)</f>
        <v>#N/A</v>
      </c>
      <c r="B407" s="90" t="e">
        <f>INDEX('NEW HIRE ROSTER'!$G:$G,MATCH(RAW!F407,'NEW HIRE ROSTER'!$A:$A,0))</f>
        <v>#N/A</v>
      </c>
      <c r="C407" s="90" t="e">
        <f>INDEX('NEW HIRE ROSTER'!$F:$F,MATCH(RAW!F407,'NEW HIRE ROSTER'!$A:$A,0))</f>
        <v>#N/A</v>
      </c>
      <c r="D407" s="90" t="e">
        <f>INDEX('Validation List'!$H:$H,MATCH(RAW!E407,'Validation List'!$F:$F,0))</f>
        <v>#N/A</v>
      </c>
      <c r="G407" s="90" t="e">
        <f>VLOOKUP(F407,ML!C391:D989,2,FALSE)</f>
        <v>#N/A</v>
      </c>
      <c r="H407" s="90" t="e">
        <f>VLOOKUP(F407,ML!C391:E989,3,FALSE)</f>
        <v>#N/A</v>
      </c>
    </row>
    <row r="408" spans="1:8" x14ac:dyDescent="0.35">
      <c r="A408" s="90" t="e">
        <f>VLOOKUP(E408,'Validation List'!F409:G804,2,FALSE)</f>
        <v>#N/A</v>
      </c>
      <c r="B408" s="90" t="e">
        <f>INDEX('NEW HIRE ROSTER'!$G:$G,MATCH(RAW!F408,'NEW HIRE ROSTER'!$A:$A,0))</f>
        <v>#N/A</v>
      </c>
      <c r="C408" s="90" t="e">
        <f>INDEX('NEW HIRE ROSTER'!$F:$F,MATCH(RAW!F408,'NEW HIRE ROSTER'!$A:$A,0))</f>
        <v>#N/A</v>
      </c>
      <c r="D408" s="90" t="e">
        <f>INDEX('Validation List'!$H:$H,MATCH(RAW!E408,'Validation List'!$F:$F,0))</f>
        <v>#N/A</v>
      </c>
      <c r="G408" s="90" t="e">
        <f>VLOOKUP(F408,ML!C392:D990,2,FALSE)</f>
        <v>#N/A</v>
      </c>
      <c r="H408" s="90" t="e">
        <f>VLOOKUP(F408,ML!C392:E990,3,FALSE)</f>
        <v>#N/A</v>
      </c>
    </row>
    <row r="409" spans="1:8" x14ac:dyDescent="0.35">
      <c r="A409" s="90" t="e">
        <f>VLOOKUP(E409,'Validation List'!F410:G805,2,FALSE)</f>
        <v>#N/A</v>
      </c>
      <c r="B409" s="90" t="e">
        <f>INDEX('NEW HIRE ROSTER'!$G:$G,MATCH(RAW!F409,'NEW HIRE ROSTER'!$A:$A,0))</f>
        <v>#N/A</v>
      </c>
      <c r="C409" s="90" t="e">
        <f>INDEX('NEW HIRE ROSTER'!$F:$F,MATCH(RAW!F409,'NEW HIRE ROSTER'!$A:$A,0))</f>
        <v>#N/A</v>
      </c>
      <c r="D409" s="90" t="e">
        <f>INDEX('Validation List'!$H:$H,MATCH(RAW!E409,'Validation List'!$F:$F,0))</f>
        <v>#N/A</v>
      </c>
      <c r="G409" s="90" t="e">
        <f>VLOOKUP(F409,ML!C393:D991,2,FALSE)</f>
        <v>#N/A</v>
      </c>
      <c r="H409" s="90" t="e">
        <f>VLOOKUP(F409,ML!C393:E991,3,FALSE)</f>
        <v>#N/A</v>
      </c>
    </row>
    <row r="410" spans="1:8" x14ac:dyDescent="0.35">
      <c r="A410" s="90" t="e">
        <f>VLOOKUP(E410,'Validation List'!F411:G806,2,FALSE)</f>
        <v>#N/A</v>
      </c>
      <c r="B410" s="90" t="e">
        <f>INDEX('NEW HIRE ROSTER'!$G:$G,MATCH(RAW!F410,'NEW HIRE ROSTER'!$A:$A,0))</f>
        <v>#N/A</v>
      </c>
      <c r="C410" s="90" t="e">
        <f>INDEX('NEW HIRE ROSTER'!$F:$F,MATCH(RAW!F410,'NEW HIRE ROSTER'!$A:$A,0))</f>
        <v>#N/A</v>
      </c>
      <c r="D410" s="90" t="e">
        <f>INDEX('Validation List'!$H:$H,MATCH(RAW!E410,'Validation List'!$F:$F,0))</f>
        <v>#N/A</v>
      </c>
      <c r="G410" s="90" t="e">
        <f>VLOOKUP(F410,ML!C394:D992,2,FALSE)</f>
        <v>#N/A</v>
      </c>
      <c r="H410" s="90" t="e">
        <f>VLOOKUP(F410,ML!C394:E992,3,FALSE)</f>
        <v>#N/A</v>
      </c>
    </row>
    <row r="411" spans="1:8" x14ac:dyDescent="0.35">
      <c r="A411" s="90" t="e">
        <f>VLOOKUP(E411,'Validation List'!F412:G807,2,FALSE)</f>
        <v>#N/A</v>
      </c>
      <c r="B411" s="90" t="e">
        <f>INDEX('NEW HIRE ROSTER'!$G:$G,MATCH(RAW!F411,'NEW HIRE ROSTER'!$A:$A,0))</f>
        <v>#N/A</v>
      </c>
      <c r="C411" s="90" t="e">
        <f>INDEX('NEW HIRE ROSTER'!$F:$F,MATCH(RAW!F411,'NEW HIRE ROSTER'!$A:$A,0))</f>
        <v>#N/A</v>
      </c>
      <c r="D411" s="90" t="e">
        <f>INDEX('Validation List'!$H:$H,MATCH(RAW!E411,'Validation List'!$F:$F,0))</f>
        <v>#N/A</v>
      </c>
      <c r="G411" s="90" t="e">
        <f>VLOOKUP(F411,ML!C395:D993,2,FALSE)</f>
        <v>#N/A</v>
      </c>
      <c r="H411" s="90" t="e">
        <f>VLOOKUP(F411,ML!C395:E993,3,FALSE)</f>
        <v>#N/A</v>
      </c>
    </row>
    <row r="412" spans="1:8" x14ac:dyDescent="0.35">
      <c r="A412" s="90" t="e">
        <f>VLOOKUP(E412,'Validation List'!F413:G808,2,FALSE)</f>
        <v>#N/A</v>
      </c>
      <c r="B412" s="90" t="e">
        <f>INDEX('NEW HIRE ROSTER'!$G:$G,MATCH(RAW!F412,'NEW HIRE ROSTER'!$A:$A,0))</f>
        <v>#N/A</v>
      </c>
      <c r="C412" s="90" t="e">
        <f>INDEX('NEW HIRE ROSTER'!$F:$F,MATCH(RAW!F412,'NEW HIRE ROSTER'!$A:$A,0))</f>
        <v>#N/A</v>
      </c>
      <c r="D412" s="90" t="e">
        <f>INDEX('Validation List'!$H:$H,MATCH(RAW!E412,'Validation List'!$F:$F,0))</f>
        <v>#N/A</v>
      </c>
      <c r="G412" s="90" t="e">
        <f>VLOOKUP(F412,ML!C396:D994,2,FALSE)</f>
        <v>#N/A</v>
      </c>
      <c r="H412" s="90" t="e">
        <f>VLOOKUP(F412,ML!C396:E994,3,FALSE)</f>
        <v>#N/A</v>
      </c>
    </row>
    <row r="413" spans="1:8" x14ac:dyDescent="0.35">
      <c r="A413" s="90" t="e">
        <f>VLOOKUP(E413,'Validation List'!F414:G809,2,FALSE)</f>
        <v>#N/A</v>
      </c>
      <c r="B413" s="90" t="e">
        <f>INDEX('NEW HIRE ROSTER'!$G:$G,MATCH(RAW!F413,'NEW HIRE ROSTER'!$A:$A,0))</f>
        <v>#N/A</v>
      </c>
      <c r="C413" s="90" t="e">
        <f>INDEX('NEW HIRE ROSTER'!$F:$F,MATCH(RAW!F413,'NEW HIRE ROSTER'!$A:$A,0))</f>
        <v>#N/A</v>
      </c>
      <c r="D413" s="90" t="e">
        <f>INDEX('Validation List'!$H:$H,MATCH(RAW!E413,'Validation List'!$F:$F,0))</f>
        <v>#N/A</v>
      </c>
      <c r="G413" s="90" t="e">
        <f>VLOOKUP(F413,ML!C397:D995,2,FALSE)</f>
        <v>#N/A</v>
      </c>
      <c r="H413" s="90" t="e">
        <f>VLOOKUP(F413,ML!C397:E995,3,FALSE)</f>
        <v>#N/A</v>
      </c>
    </row>
    <row r="414" spans="1:8" x14ac:dyDescent="0.35">
      <c r="A414" s="90" t="e">
        <f>VLOOKUP(E414,'Validation List'!F415:G810,2,FALSE)</f>
        <v>#N/A</v>
      </c>
      <c r="B414" s="90" t="e">
        <f>INDEX('NEW HIRE ROSTER'!$G:$G,MATCH(RAW!F414,'NEW HIRE ROSTER'!$A:$A,0))</f>
        <v>#N/A</v>
      </c>
      <c r="C414" s="90" t="e">
        <f>INDEX('NEW HIRE ROSTER'!$F:$F,MATCH(RAW!F414,'NEW HIRE ROSTER'!$A:$A,0))</f>
        <v>#N/A</v>
      </c>
      <c r="D414" s="90" t="e">
        <f>INDEX('Validation List'!$H:$H,MATCH(RAW!E414,'Validation List'!$F:$F,0))</f>
        <v>#N/A</v>
      </c>
      <c r="G414" s="90" t="e">
        <f>VLOOKUP(F414,ML!C398:D996,2,FALSE)</f>
        <v>#N/A</v>
      </c>
      <c r="H414" s="90" t="e">
        <f>VLOOKUP(F414,ML!C398:E996,3,FALSE)</f>
        <v>#N/A</v>
      </c>
    </row>
    <row r="415" spans="1:8" x14ac:dyDescent="0.35">
      <c r="A415" s="90" t="e">
        <f>VLOOKUP(E415,'Validation List'!F416:G811,2,FALSE)</f>
        <v>#N/A</v>
      </c>
      <c r="B415" s="90" t="e">
        <f>INDEX('NEW HIRE ROSTER'!$G:$G,MATCH(RAW!F415,'NEW HIRE ROSTER'!$A:$A,0))</f>
        <v>#N/A</v>
      </c>
      <c r="C415" s="90" t="e">
        <f>INDEX('NEW HIRE ROSTER'!$F:$F,MATCH(RAW!F415,'NEW HIRE ROSTER'!$A:$A,0))</f>
        <v>#N/A</v>
      </c>
      <c r="D415" s="90" t="e">
        <f>INDEX('Validation List'!$H:$H,MATCH(RAW!E415,'Validation List'!$F:$F,0))</f>
        <v>#N/A</v>
      </c>
      <c r="G415" s="90" t="e">
        <f>VLOOKUP(F415,ML!C399:D997,2,FALSE)</f>
        <v>#N/A</v>
      </c>
      <c r="H415" s="90" t="e">
        <f>VLOOKUP(F415,ML!C399:E997,3,FALSE)</f>
        <v>#N/A</v>
      </c>
    </row>
    <row r="416" spans="1:8" x14ac:dyDescent="0.35">
      <c r="A416" s="90" t="e">
        <f>VLOOKUP(E416,'Validation List'!F417:G812,2,FALSE)</f>
        <v>#N/A</v>
      </c>
      <c r="B416" s="90" t="e">
        <f>INDEX('NEW HIRE ROSTER'!$G:$G,MATCH(RAW!F416,'NEW HIRE ROSTER'!$A:$A,0))</f>
        <v>#N/A</v>
      </c>
      <c r="C416" s="90" t="e">
        <f>INDEX('NEW HIRE ROSTER'!$F:$F,MATCH(RAW!F416,'NEW HIRE ROSTER'!$A:$A,0))</f>
        <v>#N/A</v>
      </c>
      <c r="D416" s="90" t="e">
        <f>INDEX('Validation List'!$H:$H,MATCH(RAW!E416,'Validation List'!$F:$F,0))</f>
        <v>#N/A</v>
      </c>
      <c r="G416" s="90" t="e">
        <f>VLOOKUP(F416,ML!C400:D998,2,FALSE)</f>
        <v>#N/A</v>
      </c>
      <c r="H416" s="90" t="e">
        <f>VLOOKUP(F416,ML!C400:E998,3,FALSE)</f>
        <v>#N/A</v>
      </c>
    </row>
    <row r="417" spans="1:8" x14ac:dyDescent="0.35">
      <c r="A417" s="90" t="e">
        <f>VLOOKUP(E417,'Validation List'!F418:G813,2,FALSE)</f>
        <v>#N/A</v>
      </c>
      <c r="B417" s="90" t="e">
        <f>INDEX('NEW HIRE ROSTER'!$G:$G,MATCH(RAW!F417,'NEW HIRE ROSTER'!$A:$A,0))</f>
        <v>#N/A</v>
      </c>
      <c r="C417" s="90" t="e">
        <f>INDEX('NEW HIRE ROSTER'!$F:$F,MATCH(RAW!F417,'NEW HIRE ROSTER'!$A:$A,0))</f>
        <v>#N/A</v>
      </c>
      <c r="D417" s="90" t="e">
        <f>INDEX('Validation List'!$H:$H,MATCH(RAW!E417,'Validation List'!$F:$F,0))</f>
        <v>#N/A</v>
      </c>
      <c r="G417" s="90" t="e">
        <f>VLOOKUP(F417,ML!C401:D999,2,FALSE)</f>
        <v>#N/A</v>
      </c>
      <c r="H417" s="90" t="e">
        <f>VLOOKUP(F417,ML!C401:E999,3,FALSE)</f>
        <v>#N/A</v>
      </c>
    </row>
    <row r="418" spans="1:8" x14ac:dyDescent="0.35">
      <c r="A418" s="90" t="e">
        <f>VLOOKUP(E418,'Validation List'!F419:G814,2,FALSE)</f>
        <v>#N/A</v>
      </c>
      <c r="B418" s="90" t="e">
        <f>INDEX('NEW HIRE ROSTER'!$G:$G,MATCH(RAW!F418,'NEW HIRE ROSTER'!$A:$A,0))</f>
        <v>#N/A</v>
      </c>
      <c r="C418" s="90" t="e">
        <f>INDEX('NEW HIRE ROSTER'!$F:$F,MATCH(RAW!F418,'NEW HIRE ROSTER'!$A:$A,0))</f>
        <v>#N/A</v>
      </c>
      <c r="D418" s="90" t="e">
        <f>INDEX('Validation List'!$H:$H,MATCH(RAW!E418,'Validation List'!$F:$F,0))</f>
        <v>#N/A</v>
      </c>
      <c r="G418" s="90" t="e">
        <f>VLOOKUP(F418,ML!C402:D1000,2,FALSE)</f>
        <v>#N/A</v>
      </c>
      <c r="H418" s="90" t="e">
        <f>VLOOKUP(F418,ML!C402:E1000,3,FALSE)</f>
        <v>#N/A</v>
      </c>
    </row>
    <row r="419" spans="1:8" x14ac:dyDescent="0.35">
      <c r="A419" s="90" t="e">
        <f>VLOOKUP(E419,'Validation List'!F420:G815,2,FALSE)</f>
        <v>#N/A</v>
      </c>
      <c r="B419" s="90" t="e">
        <f>INDEX('NEW HIRE ROSTER'!$G:$G,MATCH(RAW!F419,'NEW HIRE ROSTER'!$A:$A,0))</f>
        <v>#N/A</v>
      </c>
      <c r="C419" s="90" t="e">
        <f>INDEX('NEW HIRE ROSTER'!$F:$F,MATCH(RAW!F419,'NEW HIRE ROSTER'!$A:$A,0))</f>
        <v>#N/A</v>
      </c>
      <c r="D419" s="90" t="e">
        <f>INDEX('Validation List'!$H:$H,MATCH(RAW!E419,'Validation List'!$F:$F,0))</f>
        <v>#N/A</v>
      </c>
      <c r="G419" s="90" t="e">
        <f>VLOOKUP(F419,ML!C403:D1001,2,FALSE)</f>
        <v>#N/A</v>
      </c>
      <c r="H419" s="90" t="e">
        <f>VLOOKUP(F419,ML!C403:E1001,3,FALSE)</f>
        <v>#N/A</v>
      </c>
    </row>
    <row r="420" spans="1:8" x14ac:dyDescent="0.35">
      <c r="A420" s="90" t="e">
        <f>VLOOKUP(E420,'Validation List'!F421:G816,2,FALSE)</f>
        <v>#N/A</v>
      </c>
      <c r="B420" s="90" t="e">
        <f>INDEX('NEW HIRE ROSTER'!$G:$G,MATCH(RAW!F420,'NEW HIRE ROSTER'!$A:$A,0))</f>
        <v>#N/A</v>
      </c>
      <c r="C420" s="90" t="e">
        <f>INDEX('NEW HIRE ROSTER'!$F:$F,MATCH(RAW!F420,'NEW HIRE ROSTER'!$A:$A,0))</f>
        <v>#N/A</v>
      </c>
      <c r="D420" s="90" t="e">
        <f>INDEX('Validation List'!$H:$H,MATCH(RAW!E420,'Validation List'!$F:$F,0))</f>
        <v>#N/A</v>
      </c>
      <c r="G420" s="90" t="e">
        <f>VLOOKUP(F420,ML!C404:D1002,2,FALSE)</f>
        <v>#N/A</v>
      </c>
      <c r="H420" s="90" t="e">
        <f>VLOOKUP(F420,ML!C404:E1002,3,FALSE)</f>
        <v>#N/A</v>
      </c>
    </row>
    <row r="421" spans="1:8" x14ac:dyDescent="0.35">
      <c r="A421" s="90" t="e">
        <f>VLOOKUP(E421,'Validation List'!F422:G817,2,FALSE)</f>
        <v>#N/A</v>
      </c>
      <c r="B421" s="90" t="e">
        <f>INDEX('NEW HIRE ROSTER'!$G:$G,MATCH(RAW!F421,'NEW HIRE ROSTER'!$A:$A,0))</f>
        <v>#N/A</v>
      </c>
      <c r="C421" s="90" t="e">
        <f>INDEX('NEW HIRE ROSTER'!$F:$F,MATCH(RAW!F421,'NEW HIRE ROSTER'!$A:$A,0))</f>
        <v>#N/A</v>
      </c>
      <c r="D421" s="90" t="e">
        <f>INDEX('Validation List'!$H:$H,MATCH(RAW!E421,'Validation List'!$F:$F,0))</f>
        <v>#N/A</v>
      </c>
      <c r="G421" s="90" t="e">
        <f>VLOOKUP(F421,ML!C405:D1003,2,FALSE)</f>
        <v>#N/A</v>
      </c>
      <c r="H421" s="90" t="e">
        <f>VLOOKUP(F421,ML!C405:E1003,3,FALSE)</f>
        <v>#N/A</v>
      </c>
    </row>
    <row r="422" spans="1:8" x14ac:dyDescent="0.35">
      <c r="A422" s="90" t="e">
        <f>VLOOKUP(E422,'Validation List'!F423:G818,2,FALSE)</f>
        <v>#N/A</v>
      </c>
      <c r="B422" s="90" t="e">
        <f>INDEX('NEW HIRE ROSTER'!$G:$G,MATCH(RAW!F422,'NEW HIRE ROSTER'!$A:$A,0))</f>
        <v>#N/A</v>
      </c>
      <c r="C422" s="90" t="e">
        <f>INDEX('NEW HIRE ROSTER'!$F:$F,MATCH(RAW!F422,'NEW HIRE ROSTER'!$A:$A,0))</f>
        <v>#N/A</v>
      </c>
      <c r="D422" s="90" t="e">
        <f>INDEX('Validation List'!$H:$H,MATCH(RAW!E422,'Validation List'!$F:$F,0))</f>
        <v>#N/A</v>
      </c>
      <c r="G422" s="90" t="e">
        <f>VLOOKUP(F422,ML!C406:D1004,2,FALSE)</f>
        <v>#N/A</v>
      </c>
      <c r="H422" s="90" t="e">
        <f>VLOOKUP(F422,ML!C406:E1004,3,FALSE)</f>
        <v>#N/A</v>
      </c>
    </row>
    <row r="423" spans="1:8" x14ac:dyDescent="0.35">
      <c r="A423" s="90" t="e">
        <f>VLOOKUP(E423,'Validation List'!F424:G819,2,FALSE)</f>
        <v>#N/A</v>
      </c>
      <c r="B423" s="90" t="e">
        <f>INDEX('NEW HIRE ROSTER'!$G:$G,MATCH(RAW!F423,'NEW HIRE ROSTER'!$A:$A,0))</f>
        <v>#N/A</v>
      </c>
      <c r="C423" s="90" t="e">
        <f>INDEX('NEW HIRE ROSTER'!$F:$F,MATCH(RAW!F423,'NEW HIRE ROSTER'!$A:$A,0))</f>
        <v>#N/A</v>
      </c>
      <c r="D423" s="90" t="e">
        <f>INDEX('Validation List'!$H:$H,MATCH(RAW!E423,'Validation List'!$F:$F,0))</f>
        <v>#N/A</v>
      </c>
      <c r="G423" s="90" t="e">
        <f>VLOOKUP(F423,ML!C407:D1005,2,FALSE)</f>
        <v>#N/A</v>
      </c>
      <c r="H423" s="90" t="e">
        <f>VLOOKUP(F423,ML!C407:E1005,3,FALSE)</f>
        <v>#N/A</v>
      </c>
    </row>
    <row r="424" spans="1:8" x14ac:dyDescent="0.35">
      <c r="A424" s="90" t="e">
        <f>VLOOKUP(E424,'Validation List'!F425:G820,2,FALSE)</f>
        <v>#N/A</v>
      </c>
      <c r="B424" s="90" t="e">
        <f>INDEX('NEW HIRE ROSTER'!$G:$G,MATCH(RAW!F424,'NEW HIRE ROSTER'!$A:$A,0))</f>
        <v>#N/A</v>
      </c>
      <c r="C424" s="90" t="e">
        <f>INDEX('NEW HIRE ROSTER'!$F:$F,MATCH(RAW!F424,'NEW HIRE ROSTER'!$A:$A,0))</f>
        <v>#N/A</v>
      </c>
      <c r="D424" s="90" t="e">
        <f>INDEX('Validation List'!$H:$H,MATCH(RAW!E424,'Validation List'!$F:$F,0))</f>
        <v>#N/A</v>
      </c>
      <c r="G424" s="90" t="e">
        <f>VLOOKUP(F424,ML!C408:D1006,2,FALSE)</f>
        <v>#N/A</v>
      </c>
      <c r="H424" s="90" t="e">
        <f>VLOOKUP(F424,ML!C408:E1006,3,FALSE)</f>
        <v>#N/A</v>
      </c>
    </row>
    <row r="425" spans="1:8" x14ac:dyDescent="0.35">
      <c r="A425" s="90" t="e">
        <f>VLOOKUP(E425,'Validation List'!F426:G821,2,FALSE)</f>
        <v>#N/A</v>
      </c>
      <c r="B425" s="90" t="e">
        <f>INDEX('NEW HIRE ROSTER'!$G:$G,MATCH(RAW!F425,'NEW HIRE ROSTER'!$A:$A,0))</f>
        <v>#N/A</v>
      </c>
      <c r="C425" s="90" t="e">
        <f>INDEX('NEW HIRE ROSTER'!$F:$F,MATCH(RAW!F425,'NEW HIRE ROSTER'!$A:$A,0))</f>
        <v>#N/A</v>
      </c>
      <c r="D425" s="90" t="e">
        <f>INDEX('Validation List'!$H:$H,MATCH(RAW!E425,'Validation List'!$F:$F,0))</f>
        <v>#N/A</v>
      </c>
      <c r="G425" s="90" t="e">
        <f>VLOOKUP(F425,ML!C409:D1007,2,FALSE)</f>
        <v>#N/A</v>
      </c>
      <c r="H425" s="90" t="e">
        <f>VLOOKUP(F425,ML!C409:E1007,3,FALSE)</f>
        <v>#N/A</v>
      </c>
    </row>
    <row r="426" spans="1:8" x14ac:dyDescent="0.35">
      <c r="A426" s="90" t="e">
        <f>VLOOKUP(E426,'Validation List'!F427:G822,2,FALSE)</f>
        <v>#N/A</v>
      </c>
      <c r="B426" s="90" t="e">
        <f>INDEX('NEW HIRE ROSTER'!$G:$G,MATCH(RAW!F426,'NEW HIRE ROSTER'!$A:$A,0))</f>
        <v>#N/A</v>
      </c>
      <c r="C426" s="90" t="e">
        <f>INDEX('NEW HIRE ROSTER'!$F:$F,MATCH(RAW!F426,'NEW HIRE ROSTER'!$A:$A,0))</f>
        <v>#N/A</v>
      </c>
      <c r="D426" s="90" t="e">
        <f>INDEX('Validation List'!$H:$H,MATCH(RAW!E426,'Validation List'!$F:$F,0))</f>
        <v>#N/A</v>
      </c>
      <c r="G426" s="90" t="e">
        <f>VLOOKUP(F426,ML!C410:D1008,2,FALSE)</f>
        <v>#N/A</v>
      </c>
      <c r="H426" s="90" t="e">
        <f>VLOOKUP(F426,ML!C410:E1008,3,FALSE)</f>
        <v>#N/A</v>
      </c>
    </row>
    <row r="427" spans="1:8" x14ac:dyDescent="0.35">
      <c r="A427" s="90" t="e">
        <f>VLOOKUP(E427,'Validation List'!F428:G823,2,FALSE)</f>
        <v>#N/A</v>
      </c>
      <c r="B427" s="90" t="e">
        <f>INDEX('NEW HIRE ROSTER'!$G:$G,MATCH(RAW!F427,'NEW HIRE ROSTER'!$A:$A,0))</f>
        <v>#N/A</v>
      </c>
      <c r="C427" s="90" t="e">
        <f>INDEX('NEW HIRE ROSTER'!$F:$F,MATCH(RAW!F427,'NEW HIRE ROSTER'!$A:$A,0))</f>
        <v>#N/A</v>
      </c>
      <c r="D427" s="90" t="e">
        <f>INDEX('Validation List'!$H:$H,MATCH(RAW!E427,'Validation List'!$F:$F,0))</f>
        <v>#N/A</v>
      </c>
      <c r="G427" s="90" t="e">
        <f>VLOOKUP(F427,ML!C411:D1009,2,FALSE)</f>
        <v>#N/A</v>
      </c>
      <c r="H427" s="90" t="e">
        <f>VLOOKUP(F427,ML!C411:E1009,3,FALSE)</f>
        <v>#N/A</v>
      </c>
    </row>
    <row r="428" spans="1:8" x14ac:dyDescent="0.35">
      <c r="A428" s="90" t="e">
        <f>VLOOKUP(E428,'Validation List'!F429:G824,2,FALSE)</f>
        <v>#N/A</v>
      </c>
      <c r="B428" s="90" t="e">
        <f>INDEX('NEW HIRE ROSTER'!$G:$G,MATCH(RAW!F428,'NEW HIRE ROSTER'!$A:$A,0))</f>
        <v>#N/A</v>
      </c>
      <c r="C428" s="90" t="e">
        <f>INDEX('NEW HIRE ROSTER'!$F:$F,MATCH(RAW!F428,'NEW HIRE ROSTER'!$A:$A,0))</f>
        <v>#N/A</v>
      </c>
      <c r="D428" s="90" t="e">
        <f>INDEX('Validation List'!$H:$H,MATCH(RAW!E428,'Validation List'!$F:$F,0))</f>
        <v>#N/A</v>
      </c>
      <c r="G428" s="90" t="e">
        <f>VLOOKUP(F428,ML!C412:D1010,2,FALSE)</f>
        <v>#N/A</v>
      </c>
      <c r="H428" s="90" t="e">
        <f>VLOOKUP(F428,ML!C412:E1010,3,FALSE)</f>
        <v>#N/A</v>
      </c>
    </row>
    <row r="429" spans="1:8" x14ac:dyDescent="0.35">
      <c r="A429" s="90" t="e">
        <f>VLOOKUP(E429,'Validation List'!F430:G825,2,FALSE)</f>
        <v>#N/A</v>
      </c>
      <c r="B429" s="90" t="e">
        <f>INDEX('NEW HIRE ROSTER'!$G:$G,MATCH(RAW!F429,'NEW HIRE ROSTER'!$A:$A,0))</f>
        <v>#N/A</v>
      </c>
      <c r="C429" s="90" t="e">
        <f>INDEX('NEW HIRE ROSTER'!$F:$F,MATCH(RAW!F429,'NEW HIRE ROSTER'!$A:$A,0))</f>
        <v>#N/A</v>
      </c>
      <c r="D429" s="90" t="e">
        <f>INDEX('Validation List'!$H:$H,MATCH(RAW!E429,'Validation List'!$F:$F,0))</f>
        <v>#N/A</v>
      </c>
      <c r="G429" s="90" t="e">
        <f>VLOOKUP(F429,ML!C413:D1011,2,FALSE)</f>
        <v>#N/A</v>
      </c>
      <c r="H429" s="90" t="e">
        <f>VLOOKUP(F429,ML!C413:E1011,3,FALSE)</f>
        <v>#N/A</v>
      </c>
    </row>
    <row r="430" spans="1:8" x14ac:dyDescent="0.35">
      <c r="A430" s="90" t="e">
        <f>VLOOKUP(E430,'Validation List'!F431:G826,2,FALSE)</f>
        <v>#N/A</v>
      </c>
      <c r="B430" s="90" t="e">
        <f>INDEX('NEW HIRE ROSTER'!$G:$G,MATCH(RAW!F430,'NEW HIRE ROSTER'!$A:$A,0))</f>
        <v>#N/A</v>
      </c>
      <c r="C430" s="90" t="e">
        <f>INDEX('NEW HIRE ROSTER'!$F:$F,MATCH(RAW!F430,'NEW HIRE ROSTER'!$A:$A,0))</f>
        <v>#N/A</v>
      </c>
      <c r="D430" s="90" t="e">
        <f>INDEX('Validation List'!$H:$H,MATCH(RAW!E430,'Validation List'!$F:$F,0))</f>
        <v>#N/A</v>
      </c>
      <c r="G430" s="90" t="e">
        <f>VLOOKUP(F430,ML!C414:D1012,2,FALSE)</f>
        <v>#N/A</v>
      </c>
      <c r="H430" s="90" t="e">
        <f>VLOOKUP(F430,ML!C414:E1012,3,FALSE)</f>
        <v>#N/A</v>
      </c>
    </row>
    <row r="431" spans="1:8" x14ac:dyDescent="0.35">
      <c r="A431" s="90" t="e">
        <f>VLOOKUP(E431,'Validation List'!F432:G827,2,FALSE)</f>
        <v>#N/A</v>
      </c>
      <c r="B431" s="90" t="e">
        <f>INDEX('NEW HIRE ROSTER'!$G:$G,MATCH(RAW!F431,'NEW HIRE ROSTER'!$A:$A,0))</f>
        <v>#N/A</v>
      </c>
      <c r="C431" s="90" t="e">
        <f>INDEX('NEW HIRE ROSTER'!$F:$F,MATCH(RAW!F431,'NEW HIRE ROSTER'!$A:$A,0))</f>
        <v>#N/A</v>
      </c>
      <c r="D431" s="90" t="e">
        <f>INDEX('Validation List'!$H:$H,MATCH(RAW!E431,'Validation List'!$F:$F,0))</f>
        <v>#N/A</v>
      </c>
      <c r="G431" s="90" t="e">
        <f>VLOOKUP(F431,ML!C415:D1013,2,FALSE)</f>
        <v>#N/A</v>
      </c>
      <c r="H431" s="90" t="e">
        <f>VLOOKUP(F431,ML!C415:E1013,3,FALSE)</f>
        <v>#N/A</v>
      </c>
    </row>
    <row r="432" spans="1:8" x14ac:dyDescent="0.35">
      <c r="A432" s="90" t="e">
        <f>VLOOKUP(E432,'Validation List'!F433:G828,2,FALSE)</f>
        <v>#N/A</v>
      </c>
      <c r="B432" s="90" t="e">
        <f>INDEX('NEW HIRE ROSTER'!$G:$G,MATCH(RAW!F432,'NEW HIRE ROSTER'!$A:$A,0))</f>
        <v>#N/A</v>
      </c>
      <c r="C432" s="90" t="e">
        <f>INDEX('NEW HIRE ROSTER'!$F:$F,MATCH(RAW!F432,'NEW HIRE ROSTER'!$A:$A,0))</f>
        <v>#N/A</v>
      </c>
      <c r="D432" s="90" t="e">
        <f>INDEX('Validation List'!$H:$H,MATCH(RAW!E432,'Validation List'!$F:$F,0))</f>
        <v>#N/A</v>
      </c>
      <c r="G432" s="90" t="e">
        <f>VLOOKUP(F432,ML!C416:D1014,2,FALSE)</f>
        <v>#N/A</v>
      </c>
      <c r="H432" s="90" t="e">
        <f>VLOOKUP(F432,ML!C416:E1014,3,FALSE)</f>
        <v>#N/A</v>
      </c>
    </row>
    <row r="433" spans="1:8" x14ac:dyDescent="0.35">
      <c r="A433" s="90" t="e">
        <f>VLOOKUP(E433,'Validation List'!F434:G829,2,FALSE)</f>
        <v>#N/A</v>
      </c>
      <c r="B433" s="90" t="e">
        <f>INDEX('NEW HIRE ROSTER'!$G:$G,MATCH(RAW!F433,'NEW HIRE ROSTER'!$A:$A,0))</f>
        <v>#N/A</v>
      </c>
      <c r="C433" s="90" t="e">
        <f>INDEX('NEW HIRE ROSTER'!$F:$F,MATCH(RAW!F433,'NEW HIRE ROSTER'!$A:$A,0))</f>
        <v>#N/A</v>
      </c>
      <c r="D433" s="90" t="e">
        <f>INDEX('Validation List'!$H:$H,MATCH(RAW!E433,'Validation List'!$F:$F,0))</f>
        <v>#N/A</v>
      </c>
      <c r="G433" s="90" t="e">
        <f>VLOOKUP(F433,ML!C417:D1015,2,FALSE)</f>
        <v>#N/A</v>
      </c>
      <c r="H433" s="90" t="e">
        <f>VLOOKUP(F433,ML!C417:E1015,3,FALSE)</f>
        <v>#N/A</v>
      </c>
    </row>
    <row r="434" spans="1:8" x14ac:dyDescent="0.35">
      <c r="A434" s="90" t="e">
        <f>VLOOKUP(E434,'Validation List'!F435:G830,2,FALSE)</f>
        <v>#N/A</v>
      </c>
      <c r="B434" s="90" t="e">
        <f>INDEX('NEW HIRE ROSTER'!$G:$G,MATCH(RAW!F434,'NEW HIRE ROSTER'!$A:$A,0))</f>
        <v>#N/A</v>
      </c>
      <c r="C434" s="90" t="e">
        <f>INDEX('NEW HIRE ROSTER'!$F:$F,MATCH(RAW!F434,'NEW HIRE ROSTER'!$A:$A,0))</f>
        <v>#N/A</v>
      </c>
      <c r="D434" s="90" t="e">
        <f>INDEX('Validation List'!$H:$H,MATCH(RAW!E434,'Validation List'!$F:$F,0))</f>
        <v>#N/A</v>
      </c>
      <c r="G434" s="90" t="e">
        <f>VLOOKUP(F434,ML!C418:D1016,2,FALSE)</f>
        <v>#N/A</v>
      </c>
      <c r="H434" s="90" t="e">
        <f>VLOOKUP(F434,ML!C418:E1016,3,FALSE)</f>
        <v>#N/A</v>
      </c>
    </row>
    <row r="435" spans="1:8" x14ac:dyDescent="0.35">
      <c r="A435" s="90" t="e">
        <f>VLOOKUP(E435,'Validation List'!F436:G831,2,FALSE)</f>
        <v>#N/A</v>
      </c>
      <c r="B435" s="90" t="e">
        <f>INDEX('NEW HIRE ROSTER'!$G:$G,MATCH(RAW!F435,'NEW HIRE ROSTER'!$A:$A,0))</f>
        <v>#N/A</v>
      </c>
      <c r="C435" s="90" t="e">
        <f>INDEX('NEW HIRE ROSTER'!$F:$F,MATCH(RAW!F435,'NEW HIRE ROSTER'!$A:$A,0))</f>
        <v>#N/A</v>
      </c>
      <c r="D435" s="90" t="e">
        <f>INDEX('Validation List'!$H:$H,MATCH(RAW!E435,'Validation List'!$F:$F,0))</f>
        <v>#N/A</v>
      </c>
      <c r="G435" s="90" t="e">
        <f>VLOOKUP(F435,ML!C419:D1017,2,FALSE)</f>
        <v>#N/A</v>
      </c>
      <c r="H435" s="90" t="e">
        <f>VLOOKUP(F435,ML!C419:E1017,3,FALSE)</f>
        <v>#N/A</v>
      </c>
    </row>
    <row r="436" spans="1:8" x14ac:dyDescent="0.35">
      <c r="A436" s="90" t="e">
        <f>VLOOKUP(E436,'Validation List'!F437:G832,2,FALSE)</f>
        <v>#N/A</v>
      </c>
      <c r="B436" s="90" t="e">
        <f>INDEX('NEW HIRE ROSTER'!$G:$G,MATCH(RAW!F436,'NEW HIRE ROSTER'!$A:$A,0))</f>
        <v>#N/A</v>
      </c>
      <c r="C436" s="90" t="e">
        <f>INDEX('NEW HIRE ROSTER'!$F:$F,MATCH(RAW!F436,'NEW HIRE ROSTER'!$A:$A,0))</f>
        <v>#N/A</v>
      </c>
      <c r="D436" s="90" t="e">
        <f>INDEX('Validation List'!$H:$H,MATCH(RAW!E436,'Validation List'!$F:$F,0))</f>
        <v>#N/A</v>
      </c>
      <c r="G436" s="90" t="e">
        <f>VLOOKUP(F436,ML!C420:D1018,2,FALSE)</f>
        <v>#N/A</v>
      </c>
      <c r="H436" s="90" t="e">
        <f>VLOOKUP(F436,ML!C420:E1018,3,FALSE)</f>
        <v>#N/A</v>
      </c>
    </row>
    <row r="437" spans="1:8" x14ac:dyDescent="0.35">
      <c r="A437" s="90" t="e">
        <f>VLOOKUP(E437,'Validation List'!F438:G833,2,FALSE)</f>
        <v>#N/A</v>
      </c>
      <c r="B437" s="90" t="e">
        <f>INDEX('NEW HIRE ROSTER'!$G:$G,MATCH(RAW!F437,'NEW HIRE ROSTER'!$A:$A,0))</f>
        <v>#N/A</v>
      </c>
      <c r="C437" s="90" t="e">
        <f>INDEX('NEW HIRE ROSTER'!$F:$F,MATCH(RAW!F437,'NEW HIRE ROSTER'!$A:$A,0))</f>
        <v>#N/A</v>
      </c>
      <c r="D437" s="90" t="e">
        <f>INDEX('Validation List'!$H:$H,MATCH(RAW!E437,'Validation List'!$F:$F,0))</f>
        <v>#N/A</v>
      </c>
      <c r="G437" s="90" t="e">
        <f>VLOOKUP(F437,ML!C421:D1019,2,FALSE)</f>
        <v>#N/A</v>
      </c>
      <c r="H437" s="90" t="e">
        <f>VLOOKUP(F437,ML!C421:E1019,3,FALSE)</f>
        <v>#N/A</v>
      </c>
    </row>
    <row r="438" spans="1:8" x14ac:dyDescent="0.35">
      <c r="A438" s="90" t="e">
        <f>VLOOKUP(E438,'Validation List'!F439:G834,2,FALSE)</f>
        <v>#N/A</v>
      </c>
      <c r="B438" s="90" t="e">
        <f>INDEX('NEW HIRE ROSTER'!$G:$G,MATCH(RAW!F438,'NEW HIRE ROSTER'!$A:$A,0))</f>
        <v>#N/A</v>
      </c>
      <c r="C438" s="90" t="e">
        <f>INDEX('NEW HIRE ROSTER'!$F:$F,MATCH(RAW!F438,'NEW HIRE ROSTER'!$A:$A,0))</f>
        <v>#N/A</v>
      </c>
      <c r="D438" s="90" t="e">
        <f>INDEX('Validation List'!$H:$H,MATCH(RAW!E438,'Validation List'!$F:$F,0))</f>
        <v>#N/A</v>
      </c>
      <c r="G438" s="90" t="e">
        <f>VLOOKUP(F438,ML!C422:D1020,2,FALSE)</f>
        <v>#N/A</v>
      </c>
      <c r="H438" s="90" t="e">
        <f>VLOOKUP(F438,ML!C422:E1020,3,FALSE)</f>
        <v>#N/A</v>
      </c>
    </row>
    <row r="439" spans="1:8" x14ac:dyDescent="0.35">
      <c r="A439" s="90" t="e">
        <f>VLOOKUP(E439,'Validation List'!F440:G835,2,FALSE)</f>
        <v>#N/A</v>
      </c>
      <c r="B439" s="90" t="e">
        <f>INDEX('NEW HIRE ROSTER'!$G:$G,MATCH(RAW!F439,'NEW HIRE ROSTER'!$A:$A,0))</f>
        <v>#N/A</v>
      </c>
      <c r="C439" s="90" t="e">
        <f>INDEX('NEW HIRE ROSTER'!$F:$F,MATCH(RAW!F439,'NEW HIRE ROSTER'!$A:$A,0))</f>
        <v>#N/A</v>
      </c>
      <c r="D439" s="90" t="e">
        <f>INDEX('Validation List'!$H:$H,MATCH(RAW!E439,'Validation List'!$F:$F,0))</f>
        <v>#N/A</v>
      </c>
      <c r="G439" s="90" t="e">
        <f>VLOOKUP(F439,ML!C423:D1021,2,FALSE)</f>
        <v>#N/A</v>
      </c>
      <c r="H439" s="90" t="e">
        <f>VLOOKUP(F439,ML!C423:E1021,3,FALSE)</f>
        <v>#N/A</v>
      </c>
    </row>
    <row r="440" spans="1:8" x14ac:dyDescent="0.35">
      <c r="A440" s="90" t="e">
        <f>VLOOKUP(E440,'Validation List'!F441:G836,2,FALSE)</f>
        <v>#N/A</v>
      </c>
      <c r="B440" s="90" t="e">
        <f>INDEX('NEW HIRE ROSTER'!$G:$G,MATCH(RAW!F440,'NEW HIRE ROSTER'!$A:$A,0))</f>
        <v>#N/A</v>
      </c>
      <c r="C440" s="90" t="e">
        <f>INDEX('NEW HIRE ROSTER'!$F:$F,MATCH(RAW!F440,'NEW HIRE ROSTER'!$A:$A,0))</f>
        <v>#N/A</v>
      </c>
      <c r="D440" s="90" t="e">
        <f>INDEX('Validation List'!$H:$H,MATCH(RAW!E440,'Validation List'!$F:$F,0))</f>
        <v>#N/A</v>
      </c>
      <c r="G440" s="90" t="e">
        <f>VLOOKUP(F440,ML!C424:D1022,2,FALSE)</f>
        <v>#N/A</v>
      </c>
      <c r="H440" s="90" t="e">
        <f>VLOOKUP(F440,ML!C424:E1022,3,FALSE)</f>
        <v>#N/A</v>
      </c>
    </row>
    <row r="441" spans="1:8" x14ac:dyDescent="0.35">
      <c r="A441" s="90" t="e">
        <f>VLOOKUP(E441,'Validation List'!F442:G837,2,FALSE)</f>
        <v>#N/A</v>
      </c>
      <c r="B441" s="90" t="e">
        <f>INDEX('NEW HIRE ROSTER'!$G:$G,MATCH(RAW!F441,'NEW HIRE ROSTER'!$A:$A,0))</f>
        <v>#N/A</v>
      </c>
      <c r="C441" s="90" t="e">
        <f>INDEX('NEW HIRE ROSTER'!$F:$F,MATCH(RAW!F441,'NEW HIRE ROSTER'!$A:$A,0))</f>
        <v>#N/A</v>
      </c>
      <c r="D441" s="90" t="e">
        <f>INDEX('Validation List'!$H:$H,MATCH(RAW!E441,'Validation List'!$F:$F,0))</f>
        <v>#N/A</v>
      </c>
      <c r="G441" s="90" t="e">
        <f>VLOOKUP(F441,ML!C425:D1023,2,FALSE)</f>
        <v>#N/A</v>
      </c>
      <c r="H441" s="90" t="e">
        <f>VLOOKUP(F441,ML!C425:E1023,3,FALSE)</f>
        <v>#N/A</v>
      </c>
    </row>
    <row r="442" spans="1:8" x14ac:dyDescent="0.35">
      <c r="A442" s="90" t="e">
        <f>VLOOKUP(E442,'Validation List'!F443:G838,2,FALSE)</f>
        <v>#N/A</v>
      </c>
      <c r="B442" s="90" t="e">
        <f>INDEX('NEW HIRE ROSTER'!$G:$G,MATCH(RAW!F442,'NEW HIRE ROSTER'!$A:$A,0))</f>
        <v>#N/A</v>
      </c>
      <c r="C442" s="90" t="e">
        <f>INDEX('NEW HIRE ROSTER'!$F:$F,MATCH(RAW!F442,'NEW HIRE ROSTER'!$A:$A,0))</f>
        <v>#N/A</v>
      </c>
      <c r="D442" s="90" t="e">
        <f>INDEX('Validation List'!$H:$H,MATCH(RAW!E442,'Validation List'!$F:$F,0))</f>
        <v>#N/A</v>
      </c>
      <c r="G442" s="90" t="e">
        <f>VLOOKUP(F442,ML!C426:D1024,2,FALSE)</f>
        <v>#N/A</v>
      </c>
      <c r="H442" s="90" t="e">
        <f>VLOOKUP(F442,ML!C426:E1024,3,FALSE)</f>
        <v>#N/A</v>
      </c>
    </row>
    <row r="443" spans="1:8" x14ac:dyDescent="0.35">
      <c r="A443" s="90" t="e">
        <f>VLOOKUP(E443,'Validation List'!F444:G839,2,FALSE)</f>
        <v>#N/A</v>
      </c>
      <c r="B443" s="90" t="e">
        <f>INDEX('NEW HIRE ROSTER'!$G:$G,MATCH(RAW!F443,'NEW HIRE ROSTER'!$A:$A,0))</f>
        <v>#N/A</v>
      </c>
      <c r="C443" s="90" t="e">
        <f>INDEX('NEW HIRE ROSTER'!$F:$F,MATCH(RAW!F443,'NEW HIRE ROSTER'!$A:$A,0))</f>
        <v>#N/A</v>
      </c>
      <c r="D443" s="90" t="e">
        <f>INDEX('Validation List'!$H:$H,MATCH(RAW!E443,'Validation List'!$F:$F,0))</f>
        <v>#N/A</v>
      </c>
      <c r="G443" s="90" t="e">
        <f>VLOOKUP(F443,ML!C427:D1025,2,FALSE)</f>
        <v>#N/A</v>
      </c>
      <c r="H443" s="90" t="e">
        <f>VLOOKUP(F443,ML!C427:E1025,3,FALSE)</f>
        <v>#N/A</v>
      </c>
    </row>
    <row r="444" spans="1:8" x14ac:dyDescent="0.35">
      <c r="A444" s="90" t="e">
        <f>VLOOKUP(E444,'Validation List'!F445:G840,2,FALSE)</f>
        <v>#N/A</v>
      </c>
      <c r="B444" s="90" t="e">
        <f>INDEX('NEW HIRE ROSTER'!$G:$G,MATCH(RAW!F444,'NEW HIRE ROSTER'!$A:$A,0))</f>
        <v>#N/A</v>
      </c>
      <c r="C444" s="90" t="e">
        <f>INDEX('NEW HIRE ROSTER'!$F:$F,MATCH(RAW!F444,'NEW HIRE ROSTER'!$A:$A,0))</f>
        <v>#N/A</v>
      </c>
      <c r="D444" s="90" t="e">
        <f>INDEX('Validation List'!$H:$H,MATCH(RAW!E444,'Validation List'!$F:$F,0))</f>
        <v>#N/A</v>
      </c>
      <c r="G444" s="90" t="e">
        <f>VLOOKUP(F444,ML!C428:D1026,2,FALSE)</f>
        <v>#N/A</v>
      </c>
      <c r="H444" s="90" t="e">
        <f>VLOOKUP(F444,ML!C428:E1026,3,FALSE)</f>
        <v>#N/A</v>
      </c>
    </row>
    <row r="445" spans="1:8" x14ac:dyDescent="0.35">
      <c r="A445" s="90" t="e">
        <f>VLOOKUP(E445,'Validation List'!F446:G841,2,FALSE)</f>
        <v>#N/A</v>
      </c>
      <c r="B445" s="90" t="e">
        <f>INDEX('NEW HIRE ROSTER'!$G:$G,MATCH(RAW!F445,'NEW HIRE ROSTER'!$A:$A,0))</f>
        <v>#N/A</v>
      </c>
      <c r="C445" s="90" t="e">
        <f>INDEX('NEW HIRE ROSTER'!$F:$F,MATCH(RAW!F445,'NEW HIRE ROSTER'!$A:$A,0))</f>
        <v>#N/A</v>
      </c>
      <c r="D445" s="90" t="e">
        <f>INDEX('Validation List'!$H:$H,MATCH(RAW!E445,'Validation List'!$F:$F,0))</f>
        <v>#N/A</v>
      </c>
      <c r="G445" s="90" t="e">
        <f>VLOOKUP(F445,ML!C429:D1027,2,FALSE)</f>
        <v>#N/A</v>
      </c>
      <c r="H445" s="90" t="e">
        <f>VLOOKUP(F445,ML!C429:E1027,3,FALSE)</f>
        <v>#N/A</v>
      </c>
    </row>
    <row r="446" spans="1:8" x14ac:dyDescent="0.35">
      <c r="A446" s="90" t="e">
        <f>VLOOKUP(E446,'Validation List'!F447:G842,2,FALSE)</f>
        <v>#N/A</v>
      </c>
      <c r="B446" s="90" t="e">
        <f>INDEX('NEW HIRE ROSTER'!$G:$G,MATCH(RAW!F446,'NEW HIRE ROSTER'!$A:$A,0))</f>
        <v>#N/A</v>
      </c>
      <c r="C446" s="90" t="e">
        <f>INDEX('NEW HIRE ROSTER'!$F:$F,MATCH(RAW!F446,'NEW HIRE ROSTER'!$A:$A,0))</f>
        <v>#N/A</v>
      </c>
      <c r="D446" s="90" t="e">
        <f>INDEX('Validation List'!$H:$H,MATCH(RAW!E446,'Validation List'!$F:$F,0))</f>
        <v>#N/A</v>
      </c>
      <c r="G446" s="90" t="e">
        <f>VLOOKUP(F446,ML!C430:D1028,2,FALSE)</f>
        <v>#N/A</v>
      </c>
      <c r="H446" s="90" t="e">
        <f>VLOOKUP(F446,ML!C430:E1028,3,FALSE)</f>
        <v>#N/A</v>
      </c>
    </row>
    <row r="447" spans="1:8" x14ac:dyDescent="0.35">
      <c r="A447" s="90" t="e">
        <f>VLOOKUP(E447,'Validation List'!F448:G843,2,FALSE)</f>
        <v>#N/A</v>
      </c>
      <c r="B447" s="90" t="e">
        <f>INDEX('NEW HIRE ROSTER'!$G:$G,MATCH(RAW!F447,'NEW HIRE ROSTER'!$A:$A,0))</f>
        <v>#N/A</v>
      </c>
      <c r="C447" s="90" t="e">
        <f>INDEX('NEW HIRE ROSTER'!$F:$F,MATCH(RAW!F447,'NEW HIRE ROSTER'!$A:$A,0))</f>
        <v>#N/A</v>
      </c>
      <c r="D447" s="90" t="e">
        <f>INDEX('Validation List'!$H:$H,MATCH(RAW!E447,'Validation List'!$F:$F,0))</f>
        <v>#N/A</v>
      </c>
      <c r="G447" s="90" t="e">
        <f>VLOOKUP(F447,ML!C431:D1029,2,FALSE)</f>
        <v>#N/A</v>
      </c>
      <c r="H447" s="90" t="e">
        <f>VLOOKUP(F447,ML!C431:E1029,3,FALSE)</f>
        <v>#N/A</v>
      </c>
    </row>
    <row r="448" spans="1:8" x14ac:dyDescent="0.35">
      <c r="A448" s="90" t="e">
        <f>VLOOKUP(E448,'Validation List'!F449:G844,2,FALSE)</f>
        <v>#N/A</v>
      </c>
      <c r="B448" s="90" t="e">
        <f>INDEX('NEW HIRE ROSTER'!$G:$G,MATCH(RAW!F448,'NEW HIRE ROSTER'!$A:$A,0))</f>
        <v>#N/A</v>
      </c>
      <c r="C448" s="90" t="e">
        <f>INDEX('NEW HIRE ROSTER'!$F:$F,MATCH(RAW!F448,'NEW HIRE ROSTER'!$A:$A,0))</f>
        <v>#N/A</v>
      </c>
      <c r="D448" s="90" t="e">
        <f>INDEX('Validation List'!$H:$H,MATCH(RAW!E448,'Validation List'!$F:$F,0))</f>
        <v>#N/A</v>
      </c>
      <c r="G448" s="90" t="e">
        <f>VLOOKUP(F448,ML!C432:D1030,2,FALSE)</f>
        <v>#N/A</v>
      </c>
      <c r="H448" s="90" t="e">
        <f>VLOOKUP(F448,ML!C432:E1030,3,FALSE)</f>
        <v>#N/A</v>
      </c>
    </row>
    <row r="449" spans="1:8" x14ac:dyDescent="0.35">
      <c r="A449" s="90" t="e">
        <f>VLOOKUP(E449,'Validation List'!F450:G845,2,FALSE)</f>
        <v>#N/A</v>
      </c>
      <c r="B449" s="90" t="e">
        <f>INDEX('NEW HIRE ROSTER'!$G:$G,MATCH(RAW!F449,'NEW HIRE ROSTER'!$A:$A,0))</f>
        <v>#N/A</v>
      </c>
      <c r="C449" s="90" t="e">
        <f>INDEX('NEW HIRE ROSTER'!$F:$F,MATCH(RAW!F449,'NEW HIRE ROSTER'!$A:$A,0))</f>
        <v>#N/A</v>
      </c>
      <c r="D449" s="90" t="e">
        <f>INDEX('Validation List'!$H:$H,MATCH(RAW!E449,'Validation List'!$F:$F,0))</f>
        <v>#N/A</v>
      </c>
      <c r="G449" s="90" t="e">
        <f>VLOOKUP(F449,ML!C433:D1031,2,FALSE)</f>
        <v>#N/A</v>
      </c>
      <c r="H449" s="90" t="e">
        <f>VLOOKUP(F449,ML!C433:E1031,3,FALSE)</f>
        <v>#N/A</v>
      </c>
    </row>
    <row r="450" spans="1:8" x14ac:dyDescent="0.35">
      <c r="A450" s="90" t="e">
        <f>VLOOKUP(E450,'Validation List'!F451:G846,2,FALSE)</f>
        <v>#N/A</v>
      </c>
      <c r="B450" s="90" t="e">
        <f>INDEX('NEW HIRE ROSTER'!$G:$G,MATCH(RAW!F450,'NEW HIRE ROSTER'!$A:$A,0))</f>
        <v>#N/A</v>
      </c>
      <c r="C450" s="90" t="e">
        <f>INDEX('NEW HIRE ROSTER'!$F:$F,MATCH(RAW!F450,'NEW HIRE ROSTER'!$A:$A,0))</f>
        <v>#N/A</v>
      </c>
      <c r="D450" s="90" t="e">
        <f>INDEX('Validation List'!$H:$H,MATCH(RAW!E450,'Validation List'!$F:$F,0))</f>
        <v>#N/A</v>
      </c>
      <c r="G450" s="90" t="e">
        <f>VLOOKUP(F450,ML!C434:D1032,2,FALSE)</f>
        <v>#N/A</v>
      </c>
      <c r="H450" s="90" t="e">
        <f>VLOOKUP(F450,ML!C434:E1032,3,FALSE)</f>
        <v>#N/A</v>
      </c>
    </row>
    <row r="451" spans="1:8" x14ac:dyDescent="0.35">
      <c r="A451" s="90" t="e">
        <f>VLOOKUP(E451,'Validation List'!F452:G847,2,FALSE)</f>
        <v>#N/A</v>
      </c>
      <c r="B451" s="90" t="e">
        <f>INDEX('NEW HIRE ROSTER'!$G:$G,MATCH(RAW!F451,'NEW HIRE ROSTER'!$A:$A,0))</f>
        <v>#N/A</v>
      </c>
      <c r="C451" s="90" t="e">
        <f>INDEX('NEW HIRE ROSTER'!$F:$F,MATCH(RAW!F451,'NEW HIRE ROSTER'!$A:$A,0))</f>
        <v>#N/A</v>
      </c>
      <c r="D451" s="90" t="e">
        <f>INDEX('Validation List'!$H:$H,MATCH(RAW!E451,'Validation List'!$F:$F,0))</f>
        <v>#N/A</v>
      </c>
      <c r="G451" s="90" t="e">
        <f>VLOOKUP(F451,ML!C435:D1033,2,FALSE)</f>
        <v>#N/A</v>
      </c>
      <c r="H451" s="90" t="e">
        <f>VLOOKUP(F451,ML!C435:E1033,3,FALSE)</f>
        <v>#N/A</v>
      </c>
    </row>
    <row r="452" spans="1:8" x14ac:dyDescent="0.35">
      <c r="A452" s="90" t="e">
        <f>VLOOKUP(E452,'Validation List'!F453:G848,2,FALSE)</f>
        <v>#N/A</v>
      </c>
      <c r="B452" s="90" t="e">
        <f>INDEX('NEW HIRE ROSTER'!$G:$G,MATCH(RAW!F452,'NEW HIRE ROSTER'!$A:$A,0))</f>
        <v>#N/A</v>
      </c>
      <c r="C452" s="90" t="e">
        <f>INDEX('NEW HIRE ROSTER'!$F:$F,MATCH(RAW!F452,'NEW HIRE ROSTER'!$A:$A,0))</f>
        <v>#N/A</v>
      </c>
      <c r="D452" s="90" t="e">
        <f>INDEX('Validation List'!$H:$H,MATCH(RAW!E452,'Validation List'!$F:$F,0))</f>
        <v>#N/A</v>
      </c>
      <c r="G452" s="90" t="e">
        <f>VLOOKUP(F452,ML!C436:D1034,2,FALSE)</f>
        <v>#N/A</v>
      </c>
      <c r="H452" s="90" t="e">
        <f>VLOOKUP(F452,ML!C436:E1034,3,FALSE)</f>
        <v>#N/A</v>
      </c>
    </row>
    <row r="453" spans="1:8" x14ac:dyDescent="0.35">
      <c r="A453" s="90" t="e">
        <f>VLOOKUP(E453,'Validation List'!F454:G849,2,FALSE)</f>
        <v>#N/A</v>
      </c>
      <c r="B453" s="90" t="e">
        <f>INDEX('NEW HIRE ROSTER'!$G:$G,MATCH(RAW!F453,'NEW HIRE ROSTER'!$A:$A,0))</f>
        <v>#N/A</v>
      </c>
      <c r="C453" s="90" t="e">
        <f>INDEX('NEW HIRE ROSTER'!$F:$F,MATCH(RAW!F453,'NEW HIRE ROSTER'!$A:$A,0))</f>
        <v>#N/A</v>
      </c>
      <c r="D453" s="90" t="e">
        <f>INDEX('Validation List'!$H:$H,MATCH(RAW!E453,'Validation List'!$F:$F,0))</f>
        <v>#N/A</v>
      </c>
      <c r="G453" s="90" t="e">
        <f>VLOOKUP(F453,ML!C437:D1035,2,FALSE)</f>
        <v>#N/A</v>
      </c>
      <c r="H453" s="90" t="e">
        <f>VLOOKUP(F453,ML!C437:E1035,3,FALSE)</f>
        <v>#N/A</v>
      </c>
    </row>
    <row r="454" spans="1:8" x14ac:dyDescent="0.35">
      <c r="A454" s="90" t="e">
        <f>VLOOKUP(E454,'Validation List'!F455:G850,2,FALSE)</f>
        <v>#N/A</v>
      </c>
      <c r="B454" s="90" t="e">
        <f>INDEX('NEW HIRE ROSTER'!$G:$G,MATCH(RAW!F454,'NEW HIRE ROSTER'!$A:$A,0))</f>
        <v>#N/A</v>
      </c>
      <c r="C454" s="90" t="e">
        <f>INDEX('NEW HIRE ROSTER'!$F:$F,MATCH(RAW!F454,'NEW HIRE ROSTER'!$A:$A,0))</f>
        <v>#N/A</v>
      </c>
      <c r="D454" s="90" t="e">
        <f>INDEX('Validation List'!$H:$H,MATCH(RAW!E454,'Validation List'!$F:$F,0))</f>
        <v>#N/A</v>
      </c>
      <c r="G454" s="90" t="e">
        <f>VLOOKUP(F454,ML!C438:D1036,2,FALSE)</f>
        <v>#N/A</v>
      </c>
      <c r="H454" s="90" t="e">
        <f>VLOOKUP(F454,ML!C438:E1036,3,FALSE)</f>
        <v>#N/A</v>
      </c>
    </row>
    <row r="455" spans="1:8" x14ac:dyDescent="0.35">
      <c r="A455" s="90" t="e">
        <f>VLOOKUP(E455,'Validation List'!F456:G851,2,FALSE)</f>
        <v>#N/A</v>
      </c>
      <c r="B455" s="90" t="e">
        <f>INDEX('NEW HIRE ROSTER'!$G:$G,MATCH(RAW!F455,'NEW HIRE ROSTER'!$A:$A,0))</f>
        <v>#N/A</v>
      </c>
      <c r="C455" s="90" t="e">
        <f>INDEX('NEW HIRE ROSTER'!$F:$F,MATCH(RAW!F455,'NEW HIRE ROSTER'!$A:$A,0))</f>
        <v>#N/A</v>
      </c>
      <c r="D455" s="90" t="e">
        <f>INDEX('Validation List'!$H:$H,MATCH(RAW!E455,'Validation List'!$F:$F,0))</f>
        <v>#N/A</v>
      </c>
      <c r="G455" s="90" t="e">
        <f>VLOOKUP(F455,ML!C439:D1037,2,FALSE)</f>
        <v>#N/A</v>
      </c>
      <c r="H455" s="90" t="e">
        <f>VLOOKUP(F455,ML!C439:E1037,3,FALSE)</f>
        <v>#N/A</v>
      </c>
    </row>
    <row r="456" spans="1:8" x14ac:dyDescent="0.35">
      <c r="A456" s="90" t="e">
        <f>VLOOKUP(E456,'Validation List'!F457:G852,2,FALSE)</f>
        <v>#N/A</v>
      </c>
      <c r="B456" s="90" t="e">
        <f>INDEX('NEW HIRE ROSTER'!$G:$G,MATCH(RAW!F456,'NEW HIRE ROSTER'!$A:$A,0))</f>
        <v>#N/A</v>
      </c>
      <c r="C456" s="90" t="e">
        <f>INDEX('NEW HIRE ROSTER'!$F:$F,MATCH(RAW!F456,'NEW HIRE ROSTER'!$A:$A,0))</f>
        <v>#N/A</v>
      </c>
      <c r="D456" s="90" t="e">
        <f>INDEX('Validation List'!$H:$H,MATCH(RAW!E456,'Validation List'!$F:$F,0))</f>
        <v>#N/A</v>
      </c>
      <c r="G456" s="90" t="e">
        <f>VLOOKUP(F456,ML!C440:D1038,2,FALSE)</f>
        <v>#N/A</v>
      </c>
      <c r="H456" s="90" t="e">
        <f>VLOOKUP(F456,ML!C440:E1038,3,FALSE)</f>
        <v>#N/A</v>
      </c>
    </row>
    <row r="457" spans="1:8" x14ac:dyDescent="0.35">
      <c r="A457" s="90" t="e">
        <f>VLOOKUP(E457,'Validation List'!F458:G853,2,FALSE)</f>
        <v>#N/A</v>
      </c>
      <c r="B457" s="90" t="e">
        <f>INDEX('NEW HIRE ROSTER'!$G:$G,MATCH(RAW!F457,'NEW HIRE ROSTER'!$A:$A,0))</f>
        <v>#N/A</v>
      </c>
      <c r="C457" s="90" t="e">
        <f>INDEX('NEW HIRE ROSTER'!$F:$F,MATCH(RAW!F457,'NEW HIRE ROSTER'!$A:$A,0))</f>
        <v>#N/A</v>
      </c>
      <c r="D457" s="90" t="e">
        <f>INDEX('Validation List'!$H:$H,MATCH(RAW!E457,'Validation List'!$F:$F,0))</f>
        <v>#N/A</v>
      </c>
      <c r="G457" s="90" t="e">
        <f>VLOOKUP(F457,ML!C441:D1039,2,FALSE)</f>
        <v>#N/A</v>
      </c>
      <c r="H457" s="90" t="e">
        <f>VLOOKUP(F457,ML!C441:E1039,3,FALSE)</f>
        <v>#N/A</v>
      </c>
    </row>
    <row r="458" spans="1:8" x14ac:dyDescent="0.35">
      <c r="A458" s="90" t="e">
        <f>VLOOKUP(E458,'Validation List'!F459:G854,2,FALSE)</f>
        <v>#N/A</v>
      </c>
      <c r="B458" s="90" t="e">
        <f>INDEX('NEW HIRE ROSTER'!$G:$G,MATCH(RAW!F458,'NEW HIRE ROSTER'!$A:$A,0))</f>
        <v>#N/A</v>
      </c>
      <c r="C458" s="90" t="e">
        <f>INDEX('NEW HIRE ROSTER'!$F:$F,MATCH(RAW!F458,'NEW HIRE ROSTER'!$A:$A,0))</f>
        <v>#N/A</v>
      </c>
      <c r="D458" s="90" t="e">
        <f>INDEX('Validation List'!$H:$H,MATCH(RAW!E458,'Validation List'!$F:$F,0))</f>
        <v>#N/A</v>
      </c>
      <c r="G458" s="90" t="e">
        <f>VLOOKUP(F458,ML!C442:D1040,2,FALSE)</f>
        <v>#N/A</v>
      </c>
      <c r="H458" s="90" t="e">
        <f>VLOOKUP(F458,ML!C442:E1040,3,FALSE)</f>
        <v>#N/A</v>
      </c>
    </row>
    <row r="459" spans="1:8" x14ac:dyDescent="0.35">
      <c r="A459" s="90" t="e">
        <f>VLOOKUP(E459,'Validation List'!F460:G855,2,FALSE)</f>
        <v>#N/A</v>
      </c>
      <c r="B459" s="90" t="e">
        <f>INDEX('NEW HIRE ROSTER'!$G:$G,MATCH(RAW!F459,'NEW HIRE ROSTER'!$A:$A,0))</f>
        <v>#N/A</v>
      </c>
      <c r="C459" s="90" t="e">
        <f>INDEX('NEW HIRE ROSTER'!$F:$F,MATCH(RAW!F459,'NEW HIRE ROSTER'!$A:$A,0))</f>
        <v>#N/A</v>
      </c>
      <c r="D459" s="90" t="e">
        <f>INDEX('Validation List'!$H:$H,MATCH(RAW!E459,'Validation List'!$F:$F,0))</f>
        <v>#N/A</v>
      </c>
      <c r="G459" s="90" t="e">
        <f>VLOOKUP(F459,ML!C443:D1041,2,FALSE)</f>
        <v>#N/A</v>
      </c>
      <c r="H459" s="90" t="e">
        <f>VLOOKUP(F459,ML!C443:E1041,3,FALSE)</f>
        <v>#N/A</v>
      </c>
    </row>
    <row r="460" spans="1:8" x14ac:dyDescent="0.35">
      <c r="A460" s="90" t="e">
        <f>VLOOKUP(E460,'Validation List'!F461:G856,2,FALSE)</f>
        <v>#N/A</v>
      </c>
      <c r="B460" s="90" t="e">
        <f>INDEX('NEW HIRE ROSTER'!$G:$G,MATCH(RAW!F460,'NEW HIRE ROSTER'!$A:$A,0))</f>
        <v>#N/A</v>
      </c>
      <c r="C460" s="90" t="e">
        <f>INDEX('NEW HIRE ROSTER'!$F:$F,MATCH(RAW!F460,'NEW HIRE ROSTER'!$A:$A,0))</f>
        <v>#N/A</v>
      </c>
      <c r="D460" s="90" t="e">
        <f>INDEX('Validation List'!$H:$H,MATCH(RAW!E460,'Validation List'!$F:$F,0))</f>
        <v>#N/A</v>
      </c>
      <c r="G460" s="90" t="e">
        <f>VLOOKUP(F460,ML!C444:D1042,2,FALSE)</f>
        <v>#N/A</v>
      </c>
      <c r="H460" s="90" t="e">
        <f>VLOOKUP(F460,ML!C444:E1042,3,FALSE)</f>
        <v>#N/A</v>
      </c>
    </row>
    <row r="461" spans="1:8" x14ac:dyDescent="0.35">
      <c r="A461" s="90" t="e">
        <f>VLOOKUP(E461,'Validation List'!F462:G857,2,FALSE)</f>
        <v>#N/A</v>
      </c>
      <c r="B461" s="90" t="e">
        <f>INDEX('NEW HIRE ROSTER'!$G:$G,MATCH(RAW!F461,'NEW HIRE ROSTER'!$A:$A,0))</f>
        <v>#N/A</v>
      </c>
      <c r="C461" s="90" t="e">
        <f>INDEX('NEW HIRE ROSTER'!$F:$F,MATCH(RAW!F461,'NEW HIRE ROSTER'!$A:$A,0))</f>
        <v>#N/A</v>
      </c>
      <c r="D461" s="90" t="e">
        <f>INDEX('Validation List'!$H:$H,MATCH(RAW!E461,'Validation List'!$F:$F,0))</f>
        <v>#N/A</v>
      </c>
      <c r="G461" s="90" t="e">
        <f>VLOOKUP(F461,ML!C445:D1043,2,FALSE)</f>
        <v>#N/A</v>
      </c>
      <c r="H461" s="90" t="e">
        <f>VLOOKUP(F461,ML!C445:E1043,3,FALSE)</f>
        <v>#N/A</v>
      </c>
    </row>
    <row r="462" spans="1:8" x14ac:dyDescent="0.35">
      <c r="A462" s="90" t="e">
        <f>VLOOKUP(E462,'Validation List'!F463:G858,2,FALSE)</f>
        <v>#N/A</v>
      </c>
      <c r="B462" s="90" t="e">
        <f>INDEX('NEW HIRE ROSTER'!$G:$G,MATCH(RAW!F462,'NEW HIRE ROSTER'!$A:$A,0))</f>
        <v>#N/A</v>
      </c>
      <c r="C462" s="90" t="e">
        <f>INDEX('NEW HIRE ROSTER'!$F:$F,MATCH(RAW!F462,'NEW HIRE ROSTER'!$A:$A,0))</f>
        <v>#N/A</v>
      </c>
      <c r="D462" s="90" t="e">
        <f>INDEX('Validation List'!$H:$H,MATCH(RAW!E462,'Validation List'!$F:$F,0))</f>
        <v>#N/A</v>
      </c>
      <c r="G462" s="90" t="e">
        <f>VLOOKUP(F462,ML!C446:D1044,2,FALSE)</f>
        <v>#N/A</v>
      </c>
      <c r="H462" s="90" t="e">
        <f>VLOOKUP(F462,ML!C446:E1044,3,FALSE)</f>
        <v>#N/A</v>
      </c>
    </row>
    <row r="463" spans="1:8" x14ac:dyDescent="0.35">
      <c r="A463" s="90" t="e">
        <f>VLOOKUP(E463,'Validation List'!F464:G859,2,FALSE)</f>
        <v>#N/A</v>
      </c>
      <c r="B463" s="90" t="e">
        <f>INDEX('NEW HIRE ROSTER'!$G:$G,MATCH(RAW!F463,'NEW HIRE ROSTER'!$A:$A,0))</f>
        <v>#N/A</v>
      </c>
      <c r="C463" s="90" t="e">
        <f>INDEX('NEW HIRE ROSTER'!$F:$F,MATCH(RAW!F463,'NEW HIRE ROSTER'!$A:$A,0))</f>
        <v>#N/A</v>
      </c>
      <c r="D463" s="90" t="e">
        <f>INDEX('Validation List'!$H:$H,MATCH(RAW!E463,'Validation List'!$F:$F,0))</f>
        <v>#N/A</v>
      </c>
      <c r="G463" s="90" t="e">
        <f>VLOOKUP(F463,ML!C447:D1045,2,FALSE)</f>
        <v>#N/A</v>
      </c>
      <c r="H463" s="90" t="e">
        <f>VLOOKUP(F463,ML!C447:E1045,3,FALSE)</f>
        <v>#N/A</v>
      </c>
    </row>
    <row r="464" spans="1:8" x14ac:dyDescent="0.35">
      <c r="A464" s="90" t="e">
        <f>VLOOKUP(E464,'Validation List'!F465:G860,2,FALSE)</f>
        <v>#N/A</v>
      </c>
      <c r="B464" s="90" t="e">
        <f>INDEX('NEW HIRE ROSTER'!$G:$G,MATCH(RAW!F464,'NEW HIRE ROSTER'!$A:$A,0))</f>
        <v>#N/A</v>
      </c>
      <c r="C464" s="90" t="e">
        <f>INDEX('NEW HIRE ROSTER'!$F:$F,MATCH(RAW!F464,'NEW HIRE ROSTER'!$A:$A,0))</f>
        <v>#N/A</v>
      </c>
      <c r="D464" s="90" t="e">
        <f>INDEX('Validation List'!$H:$H,MATCH(RAW!E464,'Validation List'!$F:$F,0))</f>
        <v>#N/A</v>
      </c>
      <c r="G464" s="90" t="e">
        <f>VLOOKUP(F464,ML!C448:D1046,2,FALSE)</f>
        <v>#N/A</v>
      </c>
      <c r="H464" s="90" t="e">
        <f>VLOOKUP(F464,ML!C448:E1046,3,FALSE)</f>
        <v>#N/A</v>
      </c>
    </row>
    <row r="465" spans="1:8" x14ac:dyDescent="0.35">
      <c r="A465" s="90" t="e">
        <f>VLOOKUP(E465,'Validation List'!F466:G861,2,FALSE)</f>
        <v>#N/A</v>
      </c>
      <c r="B465" s="90" t="e">
        <f>INDEX('NEW HIRE ROSTER'!$G:$G,MATCH(RAW!F465,'NEW HIRE ROSTER'!$A:$A,0))</f>
        <v>#N/A</v>
      </c>
      <c r="C465" s="90" t="e">
        <f>INDEX('NEW HIRE ROSTER'!$F:$F,MATCH(RAW!F465,'NEW HIRE ROSTER'!$A:$A,0))</f>
        <v>#N/A</v>
      </c>
      <c r="D465" s="90" t="e">
        <f>INDEX('Validation List'!$H:$H,MATCH(RAW!E465,'Validation List'!$F:$F,0))</f>
        <v>#N/A</v>
      </c>
      <c r="G465" s="90" t="e">
        <f>VLOOKUP(F465,ML!C449:D1047,2,FALSE)</f>
        <v>#N/A</v>
      </c>
      <c r="H465" s="90" t="e">
        <f>VLOOKUP(F465,ML!C449:E1047,3,FALSE)</f>
        <v>#N/A</v>
      </c>
    </row>
    <row r="466" spans="1:8" x14ac:dyDescent="0.35">
      <c r="A466" s="90" t="e">
        <f>VLOOKUP(E466,'Validation List'!F467:G862,2,FALSE)</f>
        <v>#N/A</v>
      </c>
      <c r="B466" s="90" t="e">
        <f>INDEX('NEW HIRE ROSTER'!$G:$G,MATCH(RAW!F466,'NEW HIRE ROSTER'!$A:$A,0))</f>
        <v>#N/A</v>
      </c>
      <c r="C466" s="90" t="e">
        <f>INDEX('NEW HIRE ROSTER'!$F:$F,MATCH(RAW!F466,'NEW HIRE ROSTER'!$A:$A,0))</f>
        <v>#N/A</v>
      </c>
      <c r="D466" s="90" t="e">
        <f>INDEX('Validation List'!$H:$H,MATCH(RAW!E466,'Validation List'!$F:$F,0))</f>
        <v>#N/A</v>
      </c>
      <c r="G466" s="90" t="e">
        <f>VLOOKUP(F466,ML!C450:D1048,2,FALSE)</f>
        <v>#N/A</v>
      </c>
      <c r="H466" s="90" t="e">
        <f>VLOOKUP(F466,ML!C450:E1048,3,FALSE)</f>
        <v>#N/A</v>
      </c>
    </row>
    <row r="467" spans="1:8" x14ac:dyDescent="0.35">
      <c r="A467" s="90" t="e">
        <f>VLOOKUP(E467,'Validation List'!F468:G863,2,FALSE)</f>
        <v>#N/A</v>
      </c>
      <c r="B467" s="90" t="e">
        <f>INDEX('NEW HIRE ROSTER'!$G:$G,MATCH(RAW!F467,'NEW HIRE ROSTER'!$A:$A,0))</f>
        <v>#N/A</v>
      </c>
      <c r="C467" s="90" t="e">
        <f>INDEX('NEW HIRE ROSTER'!$F:$F,MATCH(RAW!F467,'NEW HIRE ROSTER'!$A:$A,0))</f>
        <v>#N/A</v>
      </c>
      <c r="D467" s="90" t="e">
        <f>INDEX('Validation List'!$H:$H,MATCH(RAW!E467,'Validation List'!$F:$F,0))</f>
        <v>#N/A</v>
      </c>
      <c r="G467" s="90" t="e">
        <f>VLOOKUP(F467,ML!C451:D1049,2,FALSE)</f>
        <v>#N/A</v>
      </c>
      <c r="H467" s="90" t="e">
        <f>VLOOKUP(F467,ML!C451:E1049,3,FALSE)</f>
        <v>#N/A</v>
      </c>
    </row>
    <row r="468" spans="1:8" x14ac:dyDescent="0.35">
      <c r="A468" s="90" t="e">
        <f>VLOOKUP(E468,'Validation List'!F469:G864,2,FALSE)</f>
        <v>#N/A</v>
      </c>
      <c r="B468" s="90" t="e">
        <f>INDEX('NEW HIRE ROSTER'!$G:$G,MATCH(RAW!F468,'NEW HIRE ROSTER'!$A:$A,0))</f>
        <v>#N/A</v>
      </c>
      <c r="C468" s="90" t="e">
        <f>INDEX('NEW HIRE ROSTER'!$F:$F,MATCH(RAW!F468,'NEW HIRE ROSTER'!$A:$A,0))</f>
        <v>#N/A</v>
      </c>
      <c r="D468" s="90" t="e">
        <f>INDEX('Validation List'!$H:$H,MATCH(RAW!E468,'Validation List'!$F:$F,0))</f>
        <v>#N/A</v>
      </c>
      <c r="G468" s="90" t="e">
        <f>VLOOKUP(F468,ML!C452:D1050,2,FALSE)</f>
        <v>#N/A</v>
      </c>
      <c r="H468" s="90" t="e">
        <f>VLOOKUP(F468,ML!C452:E1050,3,FALSE)</f>
        <v>#N/A</v>
      </c>
    </row>
    <row r="469" spans="1:8" x14ac:dyDescent="0.35">
      <c r="A469" s="90" t="e">
        <f>VLOOKUP(E469,'Validation List'!F470:G865,2,FALSE)</f>
        <v>#N/A</v>
      </c>
      <c r="B469" s="90" t="e">
        <f>INDEX('NEW HIRE ROSTER'!$G:$G,MATCH(RAW!F469,'NEW HIRE ROSTER'!$A:$A,0))</f>
        <v>#N/A</v>
      </c>
      <c r="C469" s="90" t="e">
        <f>INDEX('NEW HIRE ROSTER'!$F:$F,MATCH(RAW!F469,'NEW HIRE ROSTER'!$A:$A,0))</f>
        <v>#N/A</v>
      </c>
      <c r="D469" s="90" t="e">
        <f>INDEX('Validation List'!$H:$H,MATCH(RAW!E469,'Validation List'!$F:$F,0))</f>
        <v>#N/A</v>
      </c>
      <c r="G469" s="90" t="e">
        <f>VLOOKUP(F469,ML!C453:D1051,2,FALSE)</f>
        <v>#N/A</v>
      </c>
      <c r="H469" s="90" t="e">
        <f>VLOOKUP(F469,ML!C453:E1051,3,FALSE)</f>
        <v>#N/A</v>
      </c>
    </row>
    <row r="470" spans="1:8" x14ac:dyDescent="0.35">
      <c r="A470" s="90" t="e">
        <f>VLOOKUP(E470,'Validation List'!F471:G866,2,FALSE)</f>
        <v>#N/A</v>
      </c>
      <c r="B470" s="90" t="e">
        <f>INDEX('NEW HIRE ROSTER'!$G:$G,MATCH(RAW!F470,'NEW HIRE ROSTER'!$A:$A,0))</f>
        <v>#N/A</v>
      </c>
      <c r="C470" s="90" t="e">
        <f>INDEX('NEW HIRE ROSTER'!$F:$F,MATCH(RAW!F470,'NEW HIRE ROSTER'!$A:$A,0))</f>
        <v>#N/A</v>
      </c>
      <c r="D470" s="90" t="e">
        <f>INDEX('Validation List'!$H:$H,MATCH(RAW!E470,'Validation List'!$F:$F,0))</f>
        <v>#N/A</v>
      </c>
      <c r="G470" s="90" t="e">
        <f>VLOOKUP(F470,ML!C454:D1052,2,FALSE)</f>
        <v>#N/A</v>
      </c>
      <c r="H470" s="90" t="e">
        <f>VLOOKUP(F470,ML!C454:E1052,3,FALSE)</f>
        <v>#N/A</v>
      </c>
    </row>
    <row r="471" spans="1:8" x14ac:dyDescent="0.35">
      <c r="A471" s="90" t="e">
        <f>VLOOKUP(E471,'Validation List'!F472:G867,2,FALSE)</f>
        <v>#N/A</v>
      </c>
      <c r="B471" s="90" t="e">
        <f>INDEX('NEW HIRE ROSTER'!$G:$G,MATCH(RAW!F471,'NEW HIRE ROSTER'!$A:$A,0))</f>
        <v>#N/A</v>
      </c>
      <c r="C471" s="90" t="e">
        <f>INDEX('NEW HIRE ROSTER'!$F:$F,MATCH(RAW!F471,'NEW HIRE ROSTER'!$A:$A,0))</f>
        <v>#N/A</v>
      </c>
      <c r="D471" s="90" t="e">
        <f>INDEX('Validation List'!$H:$H,MATCH(RAW!E471,'Validation List'!$F:$F,0))</f>
        <v>#N/A</v>
      </c>
      <c r="G471" s="90" t="e">
        <f>VLOOKUP(F471,ML!C455:D1053,2,FALSE)</f>
        <v>#N/A</v>
      </c>
      <c r="H471" s="90" t="e">
        <f>VLOOKUP(F471,ML!C455:E1053,3,FALSE)</f>
        <v>#N/A</v>
      </c>
    </row>
    <row r="472" spans="1:8" x14ac:dyDescent="0.35">
      <c r="A472" s="90" t="e">
        <f>VLOOKUP(E472,'Validation List'!F473:G868,2,FALSE)</f>
        <v>#N/A</v>
      </c>
      <c r="B472" s="90" t="e">
        <f>INDEX('NEW HIRE ROSTER'!$G:$G,MATCH(RAW!F472,'NEW HIRE ROSTER'!$A:$A,0))</f>
        <v>#N/A</v>
      </c>
      <c r="C472" s="90" t="e">
        <f>INDEX('NEW HIRE ROSTER'!$F:$F,MATCH(RAW!F472,'NEW HIRE ROSTER'!$A:$A,0))</f>
        <v>#N/A</v>
      </c>
      <c r="D472" s="90" t="e">
        <f>INDEX('Validation List'!$H:$H,MATCH(RAW!E472,'Validation List'!$F:$F,0))</f>
        <v>#N/A</v>
      </c>
      <c r="G472" s="90" t="e">
        <f>VLOOKUP(F472,ML!C456:D1054,2,FALSE)</f>
        <v>#N/A</v>
      </c>
      <c r="H472" s="90" t="e">
        <f>VLOOKUP(F472,ML!C456:E1054,3,FALSE)</f>
        <v>#N/A</v>
      </c>
    </row>
    <row r="473" spans="1:8" x14ac:dyDescent="0.35">
      <c r="A473" s="90" t="e">
        <f>VLOOKUP(E473,'Validation List'!F474:G869,2,FALSE)</f>
        <v>#N/A</v>
      </c>
      <c r="B473" s="90" t="e">
        <f>INDEX('NEW HIRE ROSTER'!$G:$G,MATCH(RAW!F473,'NEW HIRE ROSTER'!$A:$A,0))</f>
        <v>#N/A</v>
      </c>
      <c r="C473" s="90" t="e">
        <f>INDEX('NEW HIRE ROSTER'!$F:$F,MATCH(RAW!F473,'NEW HIRE ROSTER'!$A:$A,0))</f>
        <v>#N/A</v>
      </c>
      <c r="D473" s="90" t="e">
        <f>INDEX('Validation List'!$H:$H,MATCH(RAW!E473,'Validation List'!$F:$F,0))</f>
        <v>#N/A</v>
      </c>
      <c r="G473" s="90" t="e">
        <f>VLOOKUP(F473,ML!C457:D1055,2,FALSE)</f>
        <v>#N/A</v>
      </c>
      <c r="H473" s="90" t="e">
        <f>VLOOKUP(F473,ML!C457:E1055,3,FALSE)</f>
        <v>#N/A</v>
      </c>
    </row>
    <row r="474" spans="1:8" x14ac:dyDescent="0.35">
      <c r="A474" s="90" t="e">
        <f>VLOOKUP(E474,'Validation List'!F475:G870,2,FALSE)</f>
        <v>#N/A</v>
      </c>
      <c r="B474" s="90" t="e">
        <f>INDEX('NEW HIRE ROSTER'!$G:$G,MATCH(RAW!F474,'NEW HIRE ROSTER'!$A:$A,0))</f>
        <v>#N/A</v>
      </c>
      <c r="C474" s="90" t="e">
        <f>INDEX('NEW HIRE ROSTER'!$F:$F,MATCH(RAW!F474,'NEW HIRE ROSTER'!$A:$A,0))</f>
        <v>#N/A</v>
      </c>
      <c r="D474" s="90" t="e">
        <f>INDEX('Validation List'!$H:$H,MATCH(RAW!E474,'Validation List'!$F:$F,0))</f>
        <v>#N/A</v>
      </c>
      <c r="G474" s="90" t="e">
        <f>VLOOKUP(F474,ML!C458:D1056,2,FALSE)</f>
        <v>#N/A</v>
      </c>
      <c r="H474" s="90" t="e">
        <f>VLOOKUP(F474,ML!C458:E1056,3,FALSE)</f>
        <v>#N/A</v>
      </c>
    </row>
    <row r="475" spans="1:8" x14ac:dyDescent="0.35">
      <c r="A475" s="90" t="e">
        <f>VLOOKUP(E475,'Validation List'!F476:G871,2,FALSE)</f>
        <v>#N/A</v>
      </c>
      <c r="B475" s="90" t="e">
        <f>INDEX('NEW HIRE ROSTER'!$G:$G,MATCH(RAW!F475,'NEW HIRE ROSTER'!$A:$A,0))</f>
        <v>#N/A</v>
      </c>
      <c r="C475" s="90" t="e">
        <f>INDEX('NEW HIRE ROSTER'!$F:$F,MATCH(RAW!F475,'NEW HIRE ROSTER'!$A:$A,0))</f>
        <v>#N/A</v>
      </c>
      <c r="D475" s="90" t="e">
        <f>INDEX('Validation List'!$H:$H,MATCH(RAW!E475,'Validation List'!$F:$F,0))</f>
        <v>#N/A</v>
      </c>
      <c r="G475" s="90" t="e">
        <f>VLOOKUP(F475,ML!C459:D1057,2,FALSE)</f>
        <v>#N/A</v>
      </c>
      <c r="H475" s="90" t="e">
        <f>VLOOKUP(F475,ML!C459:E1057,3,FALSE)</f>
        <v>#N/A</v>
      </c>
    </row>
    <row r="476" spans="1:8" x14ac:dyDescent="0.35">
      <c r="A476" s="90" t="e">
        <f>VLOOKUP(E476,'Validation List'!F477:G872,2,FALSE)</f>
        <v>#N/A</v>
      </c>
      <c r="B476" s="90" t="e">
        <f>INDEX('NEW HIRE ROSTER'!$G:$G,MATCH(RAW!F476,'NEW HIRE ROSTER'!$A:$A,0))</f>
        <v>#N/A</v>
      </c>
      <c r="C476" s="90" t="e">
        <f>INDEX('NEW HIRE ROSTER'!$F:$F,MATCH(RAW!F476,'NEW HIRE ROSTER'!$A:$A,0))</f>
        <v>#N/A</v>
      </c>
      <c r="D476" s="90" t="e">
        <f>INDEX('Validation List'!$H:$H,MATCH(RAW!E476,'Validation List'!$F:$F,0))</f>
        <v>#N/A</v>
      </c>
      <c r="G476" s="90" t="e">
        <f>VLOOKUP(F476,ML!C460:D1058,2,FALSE)</f>
        <v>#N/A</v>
      </c>
      <c r="H476" s="90" t="e">
        <f>VLOOKUP(F476,ML!C460:E1058,3,FALSE)</f>
        <v>#N/A</v>
      </c>
    </row>
    <row r="477" spans="1:8" x14ac:dyDescent="0.35">
      <c r="A477" s="90" t="e">
        <f>VLOOKUP(E477,'Validation List'!F478:G873,2,FALSE)</f>
        <v>#N/A</v>
      </c>
      <c r="B477" s="90" t="e">
        <f>INDEX('NEW HIRE ROSTER'!$G:$G,MATCH(RAW!F477,'NEW HIRE ROSTER'!$A:$A,0))</f>
        <v>#N/A</v>
      </c>
      <c r="C477" s="90" t="e">
        <f>INDEX('NEW HIRE ROSTER'!$F:$F,MATCH(RAW!F477,'NEW HIRE ROSTER'!$A:$A,0))</f>
        <v>#N/A</v>
      </c>
      <c r="D477" s="90" t="e">
        <f>INDEX('Validation List'!$H:$H,MATCH(RAW!E477,'Validation List'!$F:$F,0))</f>
        <v>#N/A</v>
      </c>
      <c r="G477" s="90" t="e">
        <f>VLOOKUP(F477,ML!C461:D1059,2,FALSE)</f>
        <v>#N/A</v>
      </c>
      <c r="H477" s="90" t="e">
        <f>VLOOKUP(F477,ML!C461:E1059,3,FALSE)</f>
        <v>#N/A</v>
      </c>
    </row>
    <row r="478" spans="1:8" x14ac:dyDescent="0.35">
      <c r="A478" s="90" t="e">
        <f>VLOOKUP(E478,'Validation List'!F479:G874,2,FALSE)</f>
        <v>#N/A</v>
      </c>
      <c r="B478" s="90" t="e">
        <f>INDEX('NEW HIRE ROSTER'!$G:$G,MATCH(RAW!F478,'NEW HIRE ROSTER'!$A:$A,0))</f>
        <v>#N/A</v>
      </c>
      <c r="C478" s="90" t="e">
        <f>INDEX('NEW HIRE ROSTER'!$F:$F,MATCH(RAW!F478,'NEW HIRE ROSTER'!$A:$A,0))</f>
        <v>#N/A</v>
      </c>
      <c r="D478" s="90" t="e">
        <f>INDEX('Validation List'!$H:$H,MATCH(RAW!E478,'Validation List'!$F:$F,0))</f>
        <v>#N/A</v>
      </c>
      <c r="G478" s="90" t="e">
        <f>VLOOKUP(F478,ML!C462:D1060,2,FALSE)</f>
        <v>#N/A</v>
      </c>
      <c r="H478" s="90" t="e">
        <f>VLOOKUP(F478,ML!C462:E1060,3,FALSE)</f>
        <v>#N/A</v>
      </c>
    </row>
    <row r="479" spans="1:8" x14ac:dyDescent="0.35">
      <c r="A479" s="90" t="e">
        <f>VLOOKUP(E479,'Validation List'!F480:G875,2,FALSE)</f>
        <v>#N/A</v>
      </c>
      <c r="B479" s="90" t="e">
        <f>INDEX('NEW HIRE ROSTER'!$G:$G,MATCH(RAW!F479,'NEW HIRE ROSTER'!$A:$A,0))</f>
        <v>#N/A</v>
      </c>
      <c r="C479" s="90" t="e">
        <f>INDEX('NEW HIRE ROSTER'!$F:$F,MATCH(RAW!F479,'NEW HIRE ROSTER'!$A:$A,0))</f>
        <v>#N/A</v>
      </c>
      <c r="D479" s="90" t="e">
        <f>INDEX('Validation List'!$H:$H,MATCH(RAW!E479,'Validation List'!$F:$F,0))</f>
        <v>#N/A</v>
      </c>
      <c r="G479" s="90" t="e">
        <f>VLOOKUP(F479,ML!C463:D1061,2,FALSE)</f>
        <v>#N/A</v>
      </c>
      <c r="H479" s="90" t="e">
        <f>VLOOKUP(F479,ML!C463:E1061,3,FALSE)</f>
        <v>#N/A</v>
      </c>
    </row>
    <row r="480" spans="1:8" x14ac:dyDescent="0.35">
      <c r="A480" s="90" t="e">
        <f>VLOOKUP(E480,'Validation List'!F481:G876,2,FALSE)</f>
        <v>#N/A</v>
      </c>
      <c r="B480" s="90" t="e">
        <f>INDEX('NEW HIRE ROSTER'!$G:$G,MATCH(RAW!F480,'NEW HIRE ROSTER'!$A:$A,0))</f>
        <v>#N/A</v>
      </c>
      <c r="C480" s="90" t="e">
        <f>INDEX('NEW HIRE ROSTER'!$F:$F,MATCH(RAW!F480,'NEW HIRE ROSTER'!$A:$A,0))</f>
        <v>#N/A</v>
      </c>
      <c r="D480" s="90" t="e">
        <f>INDEX('Validation List'!$H:$H,MATCH(RAW!E480,'Validation List'!$F:$F,0))</f>
        <v>#N/A</v>
      </c>
      <c r="G480" s="90" t="e">
        <f>VLOOKUP(F480,ML!C464:D1062,2,FALSE)</f>
        <v>#N/A</v>
      </c>
      <c r="H480" s="90" t="e">
        <f>VLOOKUP(F480,ML!C464:E1062,3,FALSE)</f>
        <v>#N/A</v>
      </c>
    </row>
    <row r="481" spans="1:8" x14ac:dyDescent="0.35">
      <c r="A481" s="90" t="e">
        <f>VLOOKUP(E481,'Validation List'!F482:G877,2,FALSE)</f>
        <v>#N/A</v>
      </c>
      <c r="B481" s="90" t="e">
        <f>INDEX('NEW HIRE ROSTER'!$G:$G,MATCH(RAW!F481,'NEW HIRE ROSTER'!$A:$A,0))</f>
        <v>#N/A</v>
      </c>
      <c r="C481" s="90" t="e">
        <f>INDEX('NEW HIRE ROSTER'!$F:$F,MATCH(RAW!F481,'NEW HIRE ROSTER'!$A:$A,0))</f>
        <v>#N/A</v>
      </c>
      <c r="D481" s="90" t="e">
        <f>INDEX('Validation List'!$H:$H,MATCH(RAW!E481,'Validation List'!$F:$F,0))</f>
        <v>#N/A</v>
      </c>
      <c r="G481" s="90" t="e">
        <f>VLOOKUP(F481,ML!C465:D1063,2,FALSE)</f>
        <v>#N/A</v>
      </c>
      <c r="H481" s="90" t="e">
        <f>VLOOKUP(F481,ML!C465:E1063,3,FALSE)</f>
        <v>#N/A</v>
      </c>
    </row>
    <row r="482" spans="1:8" x14ac:dyDescent="0.35">
      <c r="A482" s="90" t="e">
        <f>VLOOKUP(E482,'Validation List'!F483:G878,2,FALSE)</f>
        <v>#N/A</v>
      </c>
      <c r="B482" s="90" t="e">
        <f>INDEX('NEW HIRE ROSTER'!$G:$G,MATCH(RAW!F482,'NEW HIRE ROSTER'!$A:$A,0))</f>
        <v>#N/A</v>
      </c>
      <c r="C482" s="90" t="e">
        <f>INDEX('NEW HIRE ROSTER'!$F:$F,MATCH(RAW!F482,'NEW HIRE ROSTER'!$A:$A,0))</f>
        <v>#N/A</v>
      </c>
      <c r="D482" s="90" t="e">
        <f>INDEX('Validation List'!$H:$H,MATCH(RAW!E482,'Validation List'!$F:$F,0))</f>
        <v>#N/A</v>
      </c>
      <c r="G482" s="90" t="e">
        <f>VLOOKUP(F482,ML!C466:D1064,2,FALSE)</f>
        <v>#N/A</v>
      </c>
      <c r="H482" s="90" t="e">
        <f>VLOOKUP(F482,ML!C466:E1064,3,FALSE)</f>
        <v>#N/A</v>
      </c>
    </row>
    <row r="483" spans="1:8" x14ac:dyDescent="0.35">
      <c r="A483" s="90" t="e">
        <f>VLOOKUP(E483,'Validation List'!F484:G879,2,FALSE)</f>
        <v>#N/A</v>
      </c>
      <c r="B483" s="90" t="e">
        <f>INDEX('NEW HIRE ROSTER'!$G:$G,MATCH(RAW!F483,'NEW HIRE ROSTER'!$A:$A,0))</f>
        <v>#N/A</v>
      </c>
      <c r="C483" s="90" t="e">
        <f>INDEX('NEW HIRE ROSTER'!$F:$F,MATCH(RAW!F483,'NEW HIRE ROSTER'!$A:$A,0))</f>
        <v>#N/A</v>
      </c>
      <c r="D483" s="90" t="e">
        <f>INDEX('Validation List'!$H:$H,MATCH(RAW!E483,'Validation List'!$F:$F,0))</f>
        <v>#N/A</v>
      </c>
      <c r="G483" s="90" t="e">
        <f>VLOOKUP(F483,ML!C467:D1065,2,FALSE)</f>
        <v>#N/A</v>
      </c>
      <c r="H483" s="90" t="e">
        <f>VLOOKUP(F483,ML!C467:E1065,3,FALSE)</f>
        <v>#N/A</v>
      </c>
    </row>
    <row r="484" spans="1:8" x14ac:dyDescent="0.35">
      <c r="A484" s="90" t="e">
        <f>VLOOKUP(E484,'Validation List'!F485:G880,2,FALSE)</f>
        <v>#N/A</v>
      </c>
      <c r="B484" s="90" t="e">
        <f>INDEX('NEW HIRE ROSTER'!$G:$G,MATCH(RAW!F484,'NEW HIRE ROSTER'!$A:$A,0))</f>
        <v>#N/A</v>
      </c>
      <c r="C484" s="90" t="e">
        <f>INDEX('NEW HIRE ROSTER'!$F:$F,MATCH(RAW!F484,'NEW HIRE ROSTER'!$A:$A,0))</f>
        <v>#N/A</v>
      </c>
      <c r="D484" s="90" t="e">
        <f>INDEX('Validation List'!$H:$H,MATCH(RAW!E484,'Validation List'!$F:$F,0))</f>
        <v>#N/A</v>
      </c>
      <c r="G484" s="90" t="e">
        <f>VLOOKUP(F484,ML!C468:D1066,2,FALSE)</f>
        <v>#N/A</v>
      </c>
      <c r="H484" s="90" t="e">
        <f>VLOOKUP(F484,ML!C468:E1066,3,FALSE)</f>
        <v>#N/A</v>
      </c>
    </row>
    <row r="485" spans="1:8" x14ac:dyDescent="0.35">
      <c r="A485" s="90" t="e">
        <f>VLOOKUP(E485,'Validation List'!F486:G881,2,FALSE)</f>
        <v>#N/A</v>
      </c>
      <c r="B485" s="90" t="e">
        <f>INDEX('NEW HIRE ROSTER'!$G:$G,MATCH(RAW!F485,'NEW HIRE ROSTER'!$A:$A,0))</f>
        <v>#N/A</v>
      </c>
      <c r="C485" s="90" t="e">
        <f>INDEX('NEW HIRE ROSTER'!$F:$F,MATCH(RAW!F485,'NEW HIRE ROSTER'!$A:$A,0))</f>
        <v>#N/A</v>
      </c>
      <c r="D485" s="90" t="e">
        <f>INDEX('Validation List'!$H:$H,MATCH(RAW!E485,'Validation List'!$F:$F,0))</f>
        <v>#N/A</v>
      </c>
      <c r="G485" s="90" t="e">
        <f>VLOOKUP(F485,ML!C469:D1067,2,FALSE)</f>
        <v>#N/A</v>
      </c>
      <c r="H485" s="90" t="e">
        <f>VLOOKUP(F485,ML!C469:E1067,3,FALSE)</f>
        <v>#N/A</v>
      </c>
    </row>
    <row r="486" spans="1:8" x14ac:dyDescent="0.35">
      <c r="A486" s="90" t="e">
        <f>VLOOKUP(E486,'Validation List'!F487:G882,2,FALSE)</f>
        <v>#N/A</v>
      </c>
      <c r="B486" s="90" t="e">
        <f>INDEX('NEW HIRE ROSTER'!$G:$G,MATCH(RAW!F486,'NEW HIRE ROSTER'!$A:$A,0))</f>
        <v>#N/A</v>
      </c>
      <c r="C486" s="90" t="e">
        <f>INDEX('NEW HIRE ROSTER'!$F:$F,MATCH(RAW!F486,'NEW HIRE ROSTER'!$A:$A,0))</f>
        <v>#N/A</v>
      </c>
      <c r="D486" s="90" t="e">
        <f>INDEX('Validation List'!$H:$H,MATCH(RAW!E486,'Validation List'!$F:$F,0))</f>
        <v>#N/A</v>
      </c>
      <c r="G486" s="90" t="e">
        <f>VLOOKUP(F486,ML!C470:D1068,2,FALSE)</f>
        <v>#N/A</v>
      </c>
      <c r="H486" s="90" t="e">
        <f>VLOOKUP(F486,ML!C470:E1068,3,FALSE)</f>
        <v>#N/A</v>
      </c>
    </row>
    <row r="487" spans="1:8" x14ac:dyDescent="0.35">
      <c r="A487" s="90" t="e">
        <f>VLOOKUP(E487,'Validation List'!F488:G883,2,FALSE)</f>
        <v>#N/A</v>
      </c>
      <c r="B487" s="90" t="e">
        <f>INDEX('NEW HIRE ROSTER'!$G:$G,MATCH(RAW!F487,'NEW HIRE ROSTER'!$A:$A,0))</f>
        <v>#N/A</v>
      </c>
      <c r="C487" s="90" t="e">
        <f>INDEX('NEW HIRE ROSTER'!$F:$F,MATCH(RAW!F487,'NEW HIRE ROSTER'!$A:$A,0))</f>
        <v>#N/A</v>
      </c>
      <c r="D487" s="90" t="e">
        <f>INDEX('Validation List'!$H:$H,MATCH(RAW!E487,'Validation List'!$F:$F,0))</f>
        <v>#N/A</v>
      </c>
      <c r="G487" s="90" t="e">
        <f>VLOOKUP(F487,ML!C471:D1069,2,FALSE)</f>
        <v>#N/A</v>
      </c>
      <c r="H487" s="90" t="e">
        <f>VLOOKUP(F487,ML!C471:E1069,3,FALSE)</f>
        <v>#N/A</v>
      </c>
    </row>
    <row r="488" spans="1:8" x14ac:dyDescent="0.35">
      <c r="A488" s="90" t="e">
        <f>VLOOKUP(E488,'Validation List'!F489:G884,2,FALSE)</f>
        <v>#N/A</v>
      </c>
      <c r="B488" s="90" t="e">
        <f>INDEX('NEW HIRE ROSTER'!$G:$G,MATCH(RAW!F488,'NEW HIRE ROSTER'!$A:$A,0))</f>
        <v>#N/A</v>
      </c>
      <c r="C488" s="90" t="e">
        <f>INDEX('NEW HIRE ROSTER'!$F:$F,MATCH(RAW!F488,'NEW HIRE ROSTER'!$A:$A,0))</f>
        <v>#N/A</v>
      </c>
      <c r="D488" s="90" t="e">
        <f>INDEX('Validation List'!$H:$H,MATCH(RAW!E488,'Validation List'!$F:$F,0))</f>
        <v>#N/A</v>
      </c>
      <c r="G488" s="90" t="e">
        <f>VLOOKUP(F488,ML!C472:D1070,2,FALSE)</f>
        <v>#N/A</v>
      </c>
      <c r="H488" s="90" t="e">
        <f>VLOOKUP(F488,ML!C472:E1070,3,FALSE)</f>
        <v>#N/A</v>
      </c>
    </row>
    <row r="489" spans="1:8" x14ac:dyDescent="0.35">
      <c r="A489" s="90" t="e">
        <f>VLOOKUP(E489,'Validation List'!F490:G885,2,FALSE)</f>
        <v>#N/A</v>
      </c>
      <c r="B489" s="90" t="e">
        <f>INDEX('NEW HIRE ROSTER'!$G:$G,MATCH(RAW!F489,'NEW HIRE ROSTER'!$A:$A,0))</f>
        <v>#N/A</v>
      </c>
      <c r="C489" s="90" t="e">
        <f>INDEX('NEW HIRE ROSTER'!$F:$F,MATCH(RAW!F489,'NEW HIRE ROSTER'!$A:$A,0))</f>
        <v>#N/A</v>
      </c>
      <c r="D489" s="90" t="e">
        <f>INDEX('Validation List'!$H:$H,MATCH(RAW!E489,'Validation List'!$F:$F,0))</f>
        <v>#N/A</v>
      </c>
      <c r="G489" s="90" t="e">
        <f>VLOOKUP(F489,ML!C473:D1071,2,FALSE)</f>
        <v>#N/A</v>
      </c>
      <c r="H489" s="90" t="e">
        <f>VLOOKUP(F489,ML!C473:E1071,3,FALSE)</f>
        <v>#N/A</v>
      </c>
    </row>
    <row r="490" spans="1:8" x14ac:dyDescent="0.35">
      <c r="A490" s="90" t="e">
        <f>VLOOKUP(E490,'Validation List'!F491:G886,2,FALSE)</f>
        <v>#N/A</v>
      </c>
      <c r="B490" s="90" t="e">
        <f>INDEX('NEW HIRE ROSTER'!$G:$G,MATCH(RAW!F490,'NEW HIRE ROSTER'!$A:$A,0))</f>
        <v>#N/A</v>
      </c>
      <c r="C490" s="90" t="e">
        <f>INDEX('NEW HIRE ROSTER'!$F:$F,MATCH(RAW!F490,'NEW HIRE ROSTER'!$A:$A,0))</f>
        <v>#N/A</v>
      </c>
      <c r="D490" s="90" t="e">
        <f>INDEX('Validation List'!$H:$H,MATCH(RAW!E490,'Validation List'!$F:$F,0))</f>
        <v>#N/A</v>
      </c>
      <c r="G490" s="90" t="e">
        <f>VLOOKUP(F490,ML!C474:D1072,2,FALSE)</f>
        <v>#N/A</v>
      </c>
      <c r="H490" s="90" t="e">
        <f>VLOOKUP(F490,ML!C474:E1072,3,FALSE)</f>
        <v>#N/A</v>
      </c>
    </row>
    <row r="491" spans="1:8" x14ac:dyDescent="0.35">
      <c r="A491" s="90" t="e">
        <f>VLOOKUP(E491,'Validation List'!F492:G887,2,FALSE)</f>
        <v>#N/A</v>
      </c>
      <c r="B491" s="90" t="e">
        <f>INDEX('NEW HIRE ROSTER'!$G:$G,MATCH(RAW!F491,'NEW HIRE ROSTER'!$A:$A,0))</f>
        <v>#N/A</v>
      </c>
      <c r="C491" s="90" t="e">
        <f>INDEX('NEW HIRE ROSTER'!$F:$F,MATCH(RAW!F491,'NEW HIRE ROSTER'!$A:$A,0))</f>
        <v>#N/A</v>
      </c>
      <c r="D491" s="90" t="e">
        <f>INDEX('Validation List'!$H:$H,MATCH(RAW!E491,'Validation List'!$F:$F,0))</f>
        <v>#N/A</v>
      </c>
      <c r="G491" s="90" t="e">
        <f>VLOOKUP(F491,ML!C475:D1073,2,FALSE)</f>
        <v>#N/A</v>
      </c>
      <c r="H491" s="90" t="e">
        <f>VLOOKUP(F491,ML!C475:E1073,3,FALSE)</f>
        <v>#N/A</v>
      </c>
    </row>
    <row r="492" spans="1:8" x14ac:dyDescent="0.35">
      <c r="A492" s="90" t="e">
        <f>VLOOKUP(E492,'Validation List'!F493:G888,2,FALSE)</f>
        <v>#N/A</v>
      </c>
      <c r="B492" s="90" t="e">
        <f>INDEX('NEW HIRE ROSTER'!$G:$G,MATCH(RAW!F492,'NEW HIRE ROSTER'!$A:$A,0))</f>
        <v>#N/A</v>
      </c>
      <c r="C492" s="90" t="e">
        <f>INDEX('NEW HIRE ROSTER'!$F:$F,MATCH(RAW!F492,'NEW HIRE ROSTER'!$A:$A,0))</f>
        <v>#N/A</v>
      </c>
      <c r="D492" s="90" t="e">
        <f>INDEX('Validation List'!$H:$H,MATCH(RAW!E492,'Validation List'!$F:$F,0))</f>
        <v>#N/A</v>
      </c>
      <c r="G492" s="90" t="e">
        <f>VLOOKUP(F492,ML!C476:D1074,2,FALSE)</f>
        <v>#N/A</v>
      </c>
      <c r="H492" s="90" t="e">
        <f>VLOOKUP(F492,ML!C476:E1074,3,FALSE)</f>
        <v>#N/A</v>
      </c>
    </row>
    <row r="493" spans="1:8" x14ac:dyDescent="0.35">
      <c r="A493" s="90" t="e">
        <f>VLOOKUP(E493,'Validation List'!F494:G889,2,FALSE)</f>
        <v>#N/A</v>
      </c>
      <c r="B493" s="90" t="e">
        <f>INDEX('NEW HIRE ROSTER'!$G:$G,MATCH(RAW!F493,'NEW HIRE ROSTER'!$A:$A,0))</f>
        <v>#N/A</v>
      </c>
      <c r="C493" s="90" t="e">
        <f>INDEX('NEW HIRE ROSTER'!$F:$F,MATCH(RAW!F493,'NEW HIRE ROSTER'!$A:$A,0))</f>
        <v>#N/A</v>
      </c>
      <c r="D493" s="90" t="e">
        <f>INDEX('Validation List'!$H:$H,MATCH(RAW!E493,'Validation List'!$F:$F,0))</f>
        <v>#N/A</v>
      </c>
      <c r="G493" s="90" t="e">
        <f>VLOOKUP(F493,ML!C477:D1075,2,FALSE)</f>
        <v>#N/A</v>
      </c>
      <c r="H493" s="90" t="e">
        <f>VLOOKUP(F493,ML!C477:E1075,3,FALSE)</f>
        <v>#N/A</v>
      </c>
    </row>
    <row r="494" spans="1:8" x14ac:dyDescent="0.35">
      <c r="A494" s="90" t="e">
        <f>VLOOKUP(E494,'Validation List'!F495:G890,2,FALSE)</f>
        <v>#N/A</v>
      </c>
      <c r="B494" s="90" t="e">
        <f>INDEX('NEW HIRE ROSTER'!$G:$G,MATCH(RAW!F494,'NEW HIRE ROSTER'!$A:$A,0))</f>
        <v>#N/A</v>
      </c>
      <c r="C494" s="90" t="e">
        <f>INDEX('NEW HIRE ROSTER'!$F:$F,MATCH(RAW!F494,'NEW HIRE ROSTER'!$A:$A,0))</f>
        <v>#N/A</v>
      </c>
      <c r="D494" s="90" t="e">
        <f>INDEX('Validation List'!$H:$H,MATCH(RAW!E494,'Validation List'!$F:$F,0))</f>
        <v>#N/A</v>
      </c>
      <c r="G494" s="90" t="e">
        <f>VLOOKUP(F494,ML!C478:D1076,2,FALSE)</f>
        <v>#N/A</v>
      </c>
      <c r="H494" s="90" t="e">
        <f>VLOOKUP(F494,ML!C478:E1076,3,FALSE)</f>
        <v>#N/A</v>
      </c>
    </row>
    <row r="495" spans="1:8" x14ac:dyDescent="0.35">
      <c r="A495" s="90" t="e">
        <f>VLOOKUP(E495,'Validation List'!F496:G891,2,FALSE)</f>
        <v>#N/A</v>
      </c>
      <c r="B495" s="90" t="e">
        <f>INDEX('NEW HIRE ROSTER'!$G:$G,MATCH(RAW!F495,'NEW HIRE ROSTER'!$A:$A,0))</f>
        <v>#N/A</v>
      </c>
      <c r="C495" s="90" t="e">
        <f>INDEX('NEW HIRE ROSTER'!$F:$F,MATCH(RAW!F495,'NEW HIRE ROSTER'!$A:$A,0))</f>
        <v>#N/A</v>
      </c>
      <c r="D495" s="90" t="e">
        <f>INDEX('Validation List'!$H:$H,MATCH(RAW!E495,'Validation List'!$F:$F,0))</f>
        <v>#N/A</v>
      </c>
      <c r="G495" s="90" t="e">
        <f>VLOOKUP(F495,ML!C479:D1077,2,FALSE)</f>
        <v>#N/A</v>
      </c>
      <c r="H495" s="90" t="e">
        <f>VLOOKUP(F495,ML!C479:E1077,3,FALSE)</f>
        <v>#N/A</v>
      </c>
    </row>
    <row r="496" spans="1:8" x14ac:dyDescent="0.35">
      <c r="A496" s="90" t="e">
        <f>VLOOKUP(E496,'Validation List'!F497:G892,2,FALSE)</f>
        <v>#N/A</v>
      </c>
      <c r="B496" s="90" t="e">
        <f>INDEX('NEW HIRE ROSTER'!$G:$G,MATCH(RAW!F496,'NEW HIRE ROSTER'!$A:$A,0))</f>
        <v>#N/A</v>
      </c>
      <c r="C496" s="90" t="e">
        <f>INDEX('NEW HIRE ROSTER'!$F:$F,MATCH(RAW!F496,'NEW HIRE ROSTER'!$A:$A,0))</f>
        <v>#N/A</v>
      </c>
      <c r="D496" s="90" t="e">
        <f>INDEX('Validation List'!$H:$H,MATCH(RAW!E496,'Validation List'!$F:$F,0))</f>
        <v>#N/A</v>
      </c>
      <c r="G496" s="90" t="e">
        <f>VLOOKUP(F496,ML!C480:D1078,2,FALSE)</f>
        <v>#N/A</v>
      </c>
      <c r="H496" s="90" t="e">
        <f>VLOOKUP(F496,ML!C480:E1078,3,FALSE)</f>
        <v>#N/A</v>
      </c>
    </row>
    <row r="497" spans="1:8" x14ac:dyDescent="0.35">
      <c r="A497" s="90" t="e">
        <f>VLOOKUP(E497,'Validation List'!F498:G893,2,FALSE)</f>
        <v>#N/A</v>
      </c>
      <c r="B497" s="90" t="e">
        <f>INDEX('NEW HIRE ROSTER'!$G:$G,MATCH(RAW!F497,'NEW HIRE ROSTER'!$A:$A,0))</f>
        <v>#N/A</v>
      </c>
      <c r="C497" s="90" t="e">
        <f>INDEX('NEW HIRE ROSTER'!$F:$F,MATCH(RAW!F497,'NEW HIRE ROSTER'!$A:$A,0))</f>
        <v>#N/A</v>
      </c>
      <c r="D497" s="90" t="e">
        <f>INDEX('Validation List'!$H:$H,MATCH(RAW!E497,'Validation List'!$F:$F,0))</f>
        <v>#N/A</v>
      </c>
      <c r="G497" s="90" t="e">
        <f>VLOOKUP(F497,ML!C481:D1079,2,FALSE)</f>
        <v>#N/A</v>
      </c>
      <c r="H497" s="90" t="e">
        <f>VLOOKUP(F497,ML!C481:E1079,3,FALSE)</f>
        <v>#N/A</v>
      </c>
    </row>
    <row r="498" spans="1:8" x14ac:dyDescent="0.35">
      <c r="A498" s="90" t="e">
        <f>VLOOKUP(E498,'Validation List'!F499:G894,2,FALSE)</f>
        <v>#N/A</v>
      </c>
      <c r="B498" s="90" t="e">
        <f>INDEX('NEW HIRE ROSTER'!$G:$G,MATCH(RAW!F498,'NEW HIRE ROSTER'!$A:$A,0))</f>
        <v>#N/A</v>
      </c>
      <c r="C498" s="90" t="e">
        <f>INDEX('NEW HIRE ROSTER'!$F:$F,MATCH(RAW!F498,'NEW HIRE ROSTER'!$A:$A,0))</f>
        <v>#N/A</v>
      </c>
      <c r="D498" s="90" t="e">
        <f>INDEX('Validation List'!$H:$H,MATCH(RAW!E498,'Validation List'!$F:$F,0))</f>
        <v>#N/A</v>
      </c>
      <c r="G498" s="90" t="e">
        <f>VLOOKUP(F498,ML!C482:D1080,2,FALSE)</f>
        <v>#N/A</v>
      </c>
      <c r="H498" s="90" t="e">
        <f>VLOOKUP(F498,ML!C482:E1080,3,FALSE)</f>
        <v>#N/A</v>
      </c>
    </row>
    <row r="499" spans="1:8" x14ac:dyDescent="0.35">
      <c r="A499" s="90" t="e">
        <f>VLOOKUP(E499,'Validation List'!F500:G895,2,FALSE)</f>
        <v>#N/A</v>
      </c>
      <c r="B499" s="90" t="e">
        <f>INDEX('NEW HIRE ROSTER'!$G:$G,MATCH(RAW!F499,'NEW HIRE ROSTER'!$A:$A,0))</f>
        <v>#N/A</v>
      </c>
      <c r="C499" s="90" t="e">
        <f>INDEX('NEW HIRE ROSTER'!$F:$F,MATCH(RAW!F499,'NEW HIRE ROSTER'!$A:$A,0))</f>
        <v>#N/A</v>
      </c>
      <c r="D499" s="90" t="e">
        <f>INDEX('Validation List'!$H:$H,MATCH(RAW!E499,'Validation List'!$F:$F,0))</f>
        <v>#N/A</v>
      </c>
      <c r="G499" s="90" t="e">
        <f>VLOOKUP(F499,ML!C483:D1081,2,FALSE)</f>
        <v>#N/A</v>
      </c>
      <c r="H499" s="90" t="e">
        <f>VLOOKUP(F499,ML!C483:E1081,3,FALSE)</f>
        <v>#N/A</v>
      </c>
    </row>
    <row r="500" spans="1:8" x14ac:dyDescent="0.35">
      <c r="A500" s="90" t="e">
        <f>VLOOKUP(E500,'Validation List'!F501:G896,2,FALSE)</f>
        <v>#N/A</v>
      </c>
      <c r="B500" s="90" t="e">
        <f>INDEX('NEW HIRE ROSTER'!$G:$G,MATCH(RAW!F500,'NEW HIRE ROSTER'!$A:$A,0))</f>
        <v>#N/A</v>
      </c>
      <c r="C500" s="90" t="e">
        <f>INDEX('NEW HIRE ROSTER'!$F:$F,MATCH(RAW!F500,'NEW HIRE ROSTER'!$A:$A,0))</f>
        <v>#N/A</v>
      </c>
      <c r="D500" s="90" t="e">
        <f>INDEX('Validation List'!$H:$H,MATCH(RAW!E500,'Validation List'!$F:$F,0))</f>
        <v>#N/A</v>
      </c>
      <c r="G500" s="90" t="e">
        <f>VLOOKUP(F500,ML!C484:D1082,2,FALSE)</f>
        <v>#N/A</v>
      </c>
      <c r="H500" s="90" t="e">
        <f>VLOOKUP(F500,ML!C484:E1082,3,FALSE)</f>
        <v>#N/A</v>
      </c>
    </row>
    <row r="501" spans="1:8" x14ac:dyDescent="0.35">
      <c r="A501" s="90" t="e">
        <f>VLOOKUP(E501,'Validation List'!F502:G897,2,FALSE)</f>
        <v>#N/A</v>
      </c>
      <c r="B501" s="90" t="e">
        <f>INDEX('NEW HIRE ROSTER'!$G:$G,MATCH(RAW!F501,'NEW HIRE ROSTER'!$A:$A,0))</f>
        <v>#N/A</v>
      </c>
      <c r="C501" s="90" t="e">
        <f>INDEX('NEW HIRE ROSTER'!$F:$F,MATCH(RAW!F501,'NEW HIRE ROSTER'!$A:$A,0))</f>
        <v>#N/A</v>
      </c>
      <c r="D501" s="90" t="e">
        <f>INDEX('Validation List'!$H:$H,MATCH(RAW!E501,'Validation List'!$F:$F,0))</f>
        <v>#N/A</v>
      </c>
      <c r="G501" s="90" t="e">
        <f>VLOOKUP(F501,ML!C485:D1083,2,FALSE)</f>
        <v>#N/A</v>
      </c>
      <c r="H501" s="90" t="e">
        <f>VLOOKUP(F501,ML!C485:E1083,3,FALSE)</f>
        <v>#N/A</v>
      </c>
    </row>
    <row r="502" spans="1:8" x14ac:dyDescent="0.35">
      <c r="A502" s="90" t="e">
        <f>VLOOKUP(E502,'Validation List'!F503:G898,2,FALSE)</f>
        <v>#N/A</v>
      </c>
      <c r="B502" s="90" t="e">
        <f>INDEX('NEW HIRE ROSTER'!$G:$G,MATCH(RAW!F502,'NEW HIRE ROSTER'!$A:$A,0))</f>
        <v>#N/A</v>
      </c>
      <c r="C502" s="90" t="e">
        <f>INDEX('NEW HIRE ROSTER'!$F:$F,MATCH(RAW!F502,'NEW HIRE ROSTER'!$A:$A,0))</f>
        <v>#N/A</v>
      </c>
      <c r="D502" s="90" t="e">
        <f>INDEX('Validation List'!$H:$H,MATCH(RAW!E502,'Validation List'!$F:$F,0))</f>
        <v>#N/A</v>
      </c>
      <c r="G502" s="90" t="e">
        <f>VLOOKUP(F502,ML!C486:D1084,2,FALSE)</f>
        <v>#N/A</v>
      </c>
      <c r="H502" s="90" t="e">
        <f>VLOOKUP(F502,ML!C486:E1084,3,FALSE)</f>
        <v>#N/A</v>
      </c>
    </row>
    <row r="503" spans="1:8" x14ac:dyDescent="0.35">
      <c r="A503" s="90" t="e">
        <f>VLOOKUP(E503,'Validation List'!F504:G899,2,FALSE)</f>
        <v>#N/A</v>
      </c>
      <c r="B503" s="90" t="e">
        <f>INDEX('NEW HIRE ROSTER'!$G:$G,MATCH(RAW!F503,'NEW HIRE ROSTER'!$A:$A,0))</f>
        <v>#N/A</v>
      </c>
      <c r="C503" s="90" t="e">
        <f>INDEX('NEW HIRE ROSTER'!$F:$F,MATCH(RAW!F503,'NEW HIRE ROSTER'!$A:$A,0))</f>
        <v>#N/A</v>
      </c>
      <c r="D503" s="90" t="e">
        <f>INDEX('Validation List'!$H:$H,MATCH(RAW!E503,'Validation List'!$F:$F,0))</f>
        <v>#N/A</v>
      </c>
      <c r="G503" s="90" t="e">
        <f>VLOOKUP(F503,ML!C487:D1085,2,FALSE)</f>
        <v>#N/A</v>
      </c>
      <c r="H503" s="90" t="e">
        <f>VLOOKUP(F503,ML!C487:E1085,3,FALSE)</f>
        <v>#N/A</v>
      </c>
    </row>
    <row r="504" spans="1:8" x14ac:dyDescent="0.35">
      <c r="A504" s="90" t="e">
        <f>VLOOKUP(E504,'Validation List'!F505:G900,2,FALSE)</f>
        <v>#N/A</v>
      </c>
      <c r="B504" s="90" t="e">
        <f>INDEX('NEW HIRE ROSTER'!$G:$G,MATCH(RAW!F504,'NEW HIRE ROSTER'!$A:$A,0))</f>
        <v>#N/A</v>
      </c>
      <c r="C504" s="90" t="e">
        <f>INDEX('NEW HIRE ROSTER'!$F:$F,MATCH(RAW!F504,'NEW HIRE ROSTER'!$A:$A,0))</f>
        <v>#N/A</v>
      </c>
      <c r="D504" s="90" t="e">
        <f>INDEX('Validation List'!$H:$H,MATCH(RAW!E504,'Validation List'!$F:$F,0))</f>
        <v>#N/A</v>
      </c>
      <c r="G504" s="90" t="e">
        <f>VLOOKUP(F504,ML!C488:D1086,2,FALSE)</f>
        <v>#N/A</v>
      </c>
      <c r="H504" s="90" t="e">
        <f>VLOOKUP(F504,ML!C488:E1086,3,FALSE)</f>
        <v>#N/A</v>
      </c>
    </row>
    <row r="505" spans="1:8" x14ac:dyDescent="0.35">
      <c r="A505" s="90" t="e">
        <f>VLOOKUP(E505,'Validation List'!F506:G901,2,FALSE)</f>
        <v>#N/A</v>
      </c>
      <c r="B505" s="90" t="e">
        <f>INDEX('NEW HIRE ROSTER'!$G:$G,MATCH(RAW!F505,'NEW HIRE ROSTER'!$A:$A,0))</f>
        <v>#N/A</v>
      </c>
      <c r="C505" s="90" t="e">
        <f>INDEX('NEW HIRE ROSTER'!$F:$F,MATCH(RAW!F505,'NEW HIRE ROSTER'!$A:$A,0))</f>
        <v>#N/A</v>
      </c>
      <c r="D505" s="90" t="e">
        <f>INDEX('Validation List'!$H:$H,MATCH(RAW!E505,'Validation List'!$F:$F,0))</f>
        <v>#N/A</v>
      </c>
      <c r="G505" s="90" t="e">
        <f>VLOOKUP(F505,ML!C489:D1087,2,FALSE)</f>
        <v>#N/A</v>
      </c>
      <c r="H505" s="90" t="e">
        <f>VLOOKUP(F505,ML!C489:E1087,3,FALSE)</f>
        <v>#N/A</v>
      </c>
    </row>
    <row r="506" spans="1:8" x14ac:dyDescent="0.35">
      <c r="A506" s="90" t="e">
        <f>VLOOKUP(E506,'Validation List'!F507:G902,2,FALSE)</f>
        <v>#N/A</v>
      </c>
      <c r="B506" s="90" t="e">
        <f>INDEX('NEW HIRE ROSTER'!$G:$G,MATCH(RAW!F506,'NEW HIRE ROSTER'!$A:$A,0))</f>
        <v>#N/A</v>
      </c>
      <c r="C506" s="90" t="e">
        <f>INDEX('NEW HIRE ROSTER'!$F:$F,MATCH(RAW!F506,'NEW HIRE ROSTER'!$A:$A,0))</f>
        <v>#N/A</v>
      </c>
      <c r="D506" s="90" t="e">
        <f>INDEX('Validation List'!$H:$H,MATCH(RAW!E506,'Validation List'!$F:$F,0))</f>
        <v>#N/A</v>
      </c>
      <c r="G506" s="90" t="e">
        <f>VLOOKUP(F506,ML!C490:D1088,2,FALSE)</f>
        <v>#N/A</v>
      </c>
      <c r="H506" s="90" t="e">
        <f>VLOOKUP(F506,ML!C490:E1088,3,FALSE)</f>
        <v>#N/A</v>
      </c>
    </row>
    <row r="507" spans="1:8" x14ac:dyDescent="0.35">
      <c r="A507" s="90" t="e">
        <f>VLOOKUP(E507,'Validation List'!F508:G903,2,FALSE)</f>
        <v>#N/A</v>
      </c>
      <c r="B507" s="90" t="e">
        <f>INDEX('NEW HIRE ROSTER'!$G:$G,MATCH(RAW!F507,'NEW HIRE ROSTER'!$A:$A,0))</f>
        <v>#N/A</v>
      </c>
      <c r="C507" s="90" t="e">
        <f>INDEX('NEW HIRE ROSTER'!$F:$F,MATCH(RAW!F507,'NEW HIRE ROSTER'!$A:$A,0))</f>
        <v>#N/A</v>
      </c>
      <c r="D507" s="90" t="e">
        <f>INDEX('Validation List'!$H:$H,MATCH(RAW!E507,'Validation List'!$F:$F,0))</f>
        <v>#N/A</v>
      </c>
      <c r="G507" s="90" t="e">
        <f>VLOOKUP(F507,ML!C491:D1089,2,FALSE)</f>
        <v>#N/A</v>
      </c>
      <c r="H507" s="90" t="e">
        <f>VLOOKUP(F507,ML!C491:E1089,3,FALSE)</f>
        <v>#N/A</v>
      </c>
    </row>
    <row r="508" spans="1:8" x14ac:dyDescent="0.35">
      <c r="A508" s="90" t="e">
        <f>VLOOKUP(E508,'Validation List'!F509:G904,2,FALSE)</f>
        <v>#N/A</v>
      </c>
      <c r="B508" s="90" t="e">
        <f>INDEX('NEW HIRE ROSTER'!$G:$G,MATCH(RAW!F508,'NEW HIRE ROSTER'!$A:$A,0))</f>
        <v>#N/A</v>
      </c>
      <c r="C508" s="90" t="e">
        <f>INDEX('NEW HIRE ROSTER'!$F:$F,MATCH(RAW!F508,'NEW HIRE ROSTER'!$A:$A,0))</f>
        <v>#N/A</v>
      </c>
      <c r="D508" s="90" t="e">
        <f>INDEX('Validation List'!$H:$H,MATCH(RAW!E508,'Validation List'!$F:$F,0))</f>
        <v>#N/A</v>
      </c>
      <c r="G508" s="90" t="e">
        <f>VLOOKUP(F508,ML!C492:D1090,2,FALSE)</f>
        <v>#N/A</v>
      </c>
      <c r="H508" s="90" t="e">
        <f>VLOOKUP(F508,ML!C492:E1090,3,FALSE)</f>
        <v>#N/A</v>
      </c>
    </row>
    <row r="509" spans="1:8" x14ac:dyDescent="0.35">
      <c r="A509" s="90" t="e">
        <f>VLOOKUP(E509,'Validation List'!F510:G905,2,FALSE)</f>
        <v>#N/A</v>
      </c>
      <c r="B509" s="90" t="e">
        <f>INDEX('NEW HIRE ROSTER'!$G:$G,MATCH(RAW!F509,'NEW HIRE ROSTER'!$A:$A,0))</f>
        <v>#N/A</v>
      </c>
      <c r="C509" s="90" t="e">
        <f>INDEX('NEW HIRE ROSTER'!$F:$F,MATCH(RAW!F509,'NEW HIRE ROSTER'!$A:$A,0))</f>
        <v>#N/A</v>
      </c>
      <c r="D509" s="90" t="e">
        <f>INDEX('Validation List'!$H:$H,MATCH(RAW!E509,'Validation List'!$F:$F,0))</f>
        <v>#N/A</v>
      </c>
      <c r="G509" s="90" t="e">
        <f>VLOOKUP(F509,ML!C493:D1091,2,FALSE)</f>
        <v>#N/A</v>
      </c>
      <c r="H509" s="90" t="e">
        <f>VLOOKUP(F509,ML!C493:E1091,3,FALSE)</f>
        <v>#N/A</v>
      </c>
    </row>
    <row r="510" spans="1:8" x14ac:dyDescent="0.35">
      <c r="A510" s="90" t="e">
        <f>VLOOKUP(E510,'Validation List'!F511:G906,2,FALSE)</f>
        <v>#N/A</v>
      </c>
      <c r="B510" s="90" t="e">
        <f>INDEX('NEW HIRE ROSTER'!$G:$G,MATCH(RAW!F510,'NEW HIRE ROSTER'!$A:$A,0))</f>
        <v>#N/A</v>
      </c>
      <c r="C510" s="90" t="e">
        <f>INDEX('NEW HIRE ROSTER'!$F:$F,MATCH(RAW!F510,'NEW HIRE ROSTER'!$A:$A,0))</f>
        <v>#N/A</v>
      </c>
      <c r="D510" s="90" t="e">
        <f>INDEX('Validation List'!$H:$H,MATCH(RAW!E510,'Validation List'!$F:$F,0))</f>
        <v>#N/A</v>
      </c>
      <c r="G510" s="90" t="e">
        <f>VLOOKUP(F510,ML!C494:D1092,2,FALSE)</f>
        <v>#N/A</v>
      </c>
      <c r="H510" s="90" t="e">
        <f>VLOOKUP(F510,ML!C494:E1092,3,FALSE)</f>
        <v>#N/A</v>
      </c>
    </row>
    <row r="511" spans="1:8" x14ac:dyDescent="0.35">
      <c r="A511" s="90" t="e">
        <f>VLOOKUP(E511,'Validation List'!F512:G907,2,FALSE)</f>
        <v>#N/A</v>
      </c>
      <c r="B511" s="90" t="e">
        <f>INDEX('NEW HIRE ROSTER'!$G:$G,MATCH(RAW!F511,'NEW HIRE ROSTER'!$A:$A,0))</f>
        <v>#N/A</v>
      </c>
      <c r="C511" s="90" t="e">
        <f>INDEX('NEW HIRE ROSTER'!$F:$F,MATCH(RAW!F511,'NEW HIRE ROSTER'!$A:$A,0))</f>
        <v>#N/A</v>
      </c>
      <c r="D511" s="90" t="e">
        <f>INDEX('Validation List'!$H:$H,MATCH(RAW!E511,'Validation List'!$F:$F,0))</f>
        <v>#N/A</v>
      </c>
      <c r="G511" s="90" t="e">
        <f>VLOOKUP(F511,ML!C495:D1093,2,FALSE)</f>
        <v>#N/A</v>
      </c>
      <c r="H511" s="90" t="e">
        <f>VLOOKUP(F511,ML!C495:E1093,3,FALSE)</f>
        <v>#N/A</v>
      </c>
    </row>
    <row r="512" spans="1:8" x14ac:dyDescent="0.35">
      <c r="A512" s="90" t="e">
        <f>VLOOKUP(E512,'Validation List'!F513:G908,2,FALSE)</f>
        <v>#N/A</v>
      </c>
      <c r="B512" s="90" t="e">
        <f>INDEX('NEW HIRE ROSTER'!$G:$G,MATCH(RAW!F512,'NEW HIRE ROSTER'!$A:$A,0))</f>
        <v>#N/A</v>
      </c>
      <c r="C512" s="90" t="e">
        <f>INDEX('NEW HIRE ROSTER'!$F:$F,MATCH(RAW!F512,'NEW HIRE ROSTER'!$A:$A,0))</f>
        <v>#N/A</v>
      </c>
      <c r="D512" s="90" t="e">
        <f>INDEX('Validation List'!$H:$H,MATCH(RAW!E512,'Validation List'!$F:$F,0))</f>
        <v>#N/A</v>
      </c>
      <c r="G512" s="90" t="e">
        <f>VLOOKUP(F512,ML!C496:D1094,2,FALSE)</f>
        <v>#N/A</v>
      </c>
      <c r="H512" s="90" t="e">
        <f>VLOOKUP(F512,ML!C496:E1094,3,FALSE)</f>
        <v>#N/A</v>
      </c>
    </row>
    <row r="513" spans="1:8" x14ac:dyDescent="0.35">
      <c r="A513" s="90" t="e">
        <f>VLOOKUP(E513,'Validation List'!F514:G909,2,FALSE)</f>
        <v>#N/A</v>
      </c>
      <c r="B513" s="90" t="e">
        <f>INDEX('NEW HIRE ROSTER'!$G:$G,MATCH(RAW!F513,'NEW HIRE ROSTER'!$A:$A,0))</f>
        <v>#N/A</v>
      </c>
      <c r="C513" s="90" t="e">
        <f>INDEX('NEW HIRE ROSTER'!$F:$F,MATCH(RAW!F513,'NEW HIRE ROSTER'!$A:$A,0))</f>
        <v>#N/A</v>
      </c>
      <c r="D513" s="90" t="e">
        <f>INDEX('Validation List'!$H:$H,MATCH(RAW!E513,'Validation List'!$F:$F,0))</f>
        <v>#N/A</v>
      </c>
      <c r="G513" s="90" t="e">
        <f>VLOOKUP(F513,ML!C497:D1095,2,FALSE)</f>
        <v>#N/A</v>
      </c>
      <c r="H513" s="90" t="e">
        <f>VLOOKUP(F513,ML!C497:E1095,3,FALSE)</f>
        <v>#N/A</v>
      </c>
    </row>
    <row r="514" spans="1:8" x14ac:dyDescent="0.35">
      <c r="A514" s="90" t="e">
        <f>VLOOKUP(E514,'Validation List'!F515:G910,2,FALSE)</f>
        <v>#N/A</v>
      </c>
      <c r="B514" s="90" t="e">
        <f>INDEX('NEW HIRE ROSTER'!$G:$G,MATCH(RAW!F514,'NEW HIRE ROSTER'!$A:$A,0))</f>
        <v>#N/A</v>
      </c>
      <c r="C514" s="90" t="e">
        <f>INDEX('NEW HIRE ROSTER'!$F:$F,MATCH(RAW!F514,'NEW HIRE ROSTER'!$A:$A,0))</f>
        <v>#N/A</v>
      </c>
      <c r="D514" s="90" t="e">
        <f>INDEX('Validation List'!$H:$H,MATCH(RAW!E514,'Validation List'!$F:$F,0))</f>
        <v>#N/A</v>
      </c>
      <c r="G514" s="90" t="e">
        <f>VLOOKUP(F514,ML!C498:D1096,2,FALSE)</f>
        <v>#N/A</v>
      </c>
      <c r="H514" s="90" t="e">
        <f>VLOOKUP(F514,ML!C498:E1096,3,FALSE)</f>
        <v>#N/A</v>
      </c>
    </row>
    <row r="515" spans="1:8" x14ac:dyDescent="0.35">
      <c r="A515" s="90" t="e">
        <f>VLOOKUP(E515,'Validation List'!F516:G911,2,FALSE)</f>
        <v>#N/A</v>
      </c>
      <c r="B515" s="90" t="e">
        <f>INDEX('NEW HIRE ROSTER'!$G:$G,MATCH(RAW!F515,'NEW HIRE ROSTER'!$A:$A,0))</f>
        <v>#N/A</v>
      </c>
      <c r="C515" s="90" t="e">
        <f>INDEX('NEW HIRE ROSTER'!$F:$F,MATCH(RAW!F515,'NEW HIRE ROSTER'!$A:$A,0))</f>
        <v>#N/A</v>
      </c>
      <c r="D515" s="90" t="e">
        <f>INDEX('Validation List'!$H:$H,MATCH(RAW!E515,'Validation List'!$F:$F,0))</f>
        <v>#N/A</v>
      </c>
      <c r="G515" s="90" t="e">
        <f>VLOOKUP(F515,ML!C499:D1097,2,FALSE)</f>
        <v>#N/A</v>
      </c>
      <c r="H515" s="90" t="e">
        <f>VLOOKUP(F515,ML!C499:E1097,3,FALSE)</f>
        <v>#N/A</v>
      </c>
    </row>
    <row r="516" spans="1:8" x14ac:dyDescent="0.35">
      <c r="A516" s="90" t="e">
        <f>VLOOKUP(E516,'Validation List'!F517:G912,2,FALSE)</f>
        <v>#N/A</v>
      </c>
      <c r="B516" s="90" t="e">
        <f>INDEX('NEW HIRE ROSTER'!$G:$G,MATCH(RAW!F516,'NEW HIRE ROSTER'!$A:$A,0))</f>
        <v>#N/A</v>
      </c>
      <c r="C516" s="90" t="e">
        <f>INDEX('NEW HIRE ROSTER'!$F:$F,MATCH(RAW!F516,'NEW HIRE ROSTER'!$A:$A,0))</f>
        <v>#N/A</v>
      </c>
      <c r="D516" s="90" t="e">
        <f>INDEX('Validation List'!$H:$H,MATCH(RAW!E516,'Validation List'!$F:$F,0))</f>
        <v>#N/A</v>
      </c>
      <c r="G516" s="90" t="e">
        <f>VLOOKUP(F516,ML!C500:D1098,2,FALSE)</f>
        <v>#N/A</v>
      </c>
      <c r="H516" s="90" t="e">
        <f>VLOOKUP(F516,ML!C500:E1098,3,FALSE)</f>
        <v>#N/A</v>
      </c>
    </row>
    <row r="517" spans="1:8" x14ac:dyDescent="0.35">
      <c r="A517" s="90" t="e">
        <f>VLOOKUP(E517,'Validation List'!F518:G913,2,FALSE)</f>
        <v>#N/A</v>
      </c>
      <c r="B517" s="90" t="e">
        <f>INDEX('NEW HIRE ROSTER'!$G:$G,MATCH(RAW!F517,'NEW HIRE ROSTER'!$A:$A,0))</f>
        <v>#N/A</v>
      </c>
      <c r="C517" s="90" t="e">
        <f>INDEX('NEW HIRE ROSTER'!$F:$F,MATCH(RAW!F517,'NEW HIRE ROSTER'!$A:$A,0))</f>
        <v>#N/A</v>
      </c>
      <c r="D517" s="90" t="e">
        <f>INDEX('Validation List'!$H:$H,MATCH(RAW!E517,'Validation List'!$F:$F,0))</f>
        <v>#N/A</v>
      </c>
      <c r="G517" s="90" t="e">
        <f>VLOOKUP(F517,ML!C501:D1099,2,FALSE)</f>
        <v>#N/A</v>
      </c>
      <c r="H517" s="90" t="e">
        <f>VLOOKUP(F517,ML!C501:E1099,3,FALSE)</f>
        <v>#N/A</v>
      </c>
    </row>
    <row r="518" spans="1:8" x14ac:dyDescent="0.35">
      <c r="A518" s="90" t="e">
        <f>VLOOKUP(E518,'Validation List'!F519:G914,2,FALSE)</f>
        <v>#N/A</v>
      </c>
      <c r="B518" s="90" t="e">
        <f>INDEX('NEW HIRE ROSTER'!$G:$G,MATCH(RAW!F518,'NEW HIRE ROSTER'!$A:$A,0))</f>
        <v>#N/A</v>
      </c>
      <c r="C518" s="90" t="e">
        <f>INDEX('NEW HIRE ROSTER'!$F:$F,MATCH(RAW!F518,'NEW HIRE ROSTER'!$A:$A,0))</f>
        <v>#N/A</v>
      </c>
      <c r="D518" s="90" t="e">
        <f>INDEX('Validation List'!$H:$H,MATCH(RAW!E518,'Validation List'!$F:$F,0))</f>
        <v>#N/A</v>
      </c>
      <c r="G518" s="90" t="e">
        <f>VLOOKUP(F518,ML!C502:D1100,2,FALSE)</f>
        <v>#N/A</v>
      </c>
      <c r="H518" s="90" t="e">
        <f>VLOOKUP(F518,ML!C502:E1100,3,FALSE)</f>
        <v>#N/A</v>
      </c>
    </row>
    <row r="519" spans="1:8" x14ac:dyDescent="0.35">
      <c r="A519" s="90" t="e">
        <f>VLOOKUP(E519,'Validation List'!F520:G915,2,FALSE)</f>
        <v>#N/A</v>
      </c>
      <c r="B519" s="90" t="e">
        <f>INDEX('NEW HIRE ROSTER'!$G:$G,MATCH(RAW!F519,'NEW HIRE ROSTER'!$A:$A,0))</f>
        <v>#N/A</v>
      </c>
      <c r="C519" s="90" t="e">
        <f>INDEX('NEW HIRE ROSTER'!$F:$F,MATCH(RAW!F519,'NEW HIRE ROSTER'!$A:$A,0))</f>
        <v>#N/A</v>
      </c>
      <c r="D519" s="90" t="e">
        <f>INDEX('Validation List'!$H:$H,MATCH(RAW!E519,'Validation List'!$F:$F,0))</f>
        <v>#N/A</v>
      </c>
      <c r="G519" s="90" t="e">
        <f>VLOOKUP(F519,ML!C503:D1101,2,FALSE)</f>
        <v>#N/A</v>
      </c>
      <c r="H519" s="90" t="e">
        <f>VLOOKUP(F519,ML!C503:E1101,3,FALSE)</f>
        <v>#N/A</v>
      </c>
    </row>
    <row r="520" spans="1:8" x14ac:dyDescent="0.35">
      <c r="A520" s="90" t="e">
        <f>VLOOKUP(E520,'Validation List'!F521:G916,2,FALSE)</f>
        <v>#N/A</v>
      </c>
      <c r="B520" s="90" t="e">
        <f>INDEX('NEW HIRE ROSTER'!$G:$G,MATCH(RAW!F520,'NEW HIRE ROSTER'!$A:$A,0))</f>
        <v>#N/A</v>
      </c>
      <c r="C520" s="90" t="e">
        <f>INDEX('NEW HIRE ROSTER'!$F:$F,MATCH(RAW!F520,'NEW HIRE ROSTER'!$A:$A,0))</f>
        <v>#N/A</v>
      </c>
      <c r="D520" s="90" t="e">
        <f>INDEX('Validation List'!$H:$H,MATCH(RAW!E520,'Validation List'!$F:$F,0))</f>
        <v>#N/A</v>
      </c>
      <c r="G520" s="90" t="e">
        <f>VLOOKUP(F520,ML!C504:D1102,2,FALSE)</f>
        <v>#N/A</v>
      </c>
      <c r="H520" s="90" t="e">
        <f>VLOOKUP(F520,ML!C504:E1102,3,FALSE)</f>
        <v>#N/A</v>
      </c>
    </row>
    <row r="521" spans="1:8" x14ac:dyDescent="0.35">
      <c r="A521" s="90" t="e">
        <f>VLOOKUP(E521,'Validation List'!F522:G917,2,FALSE)</f>
        <v>#N/A</v>
      </c>
      <c r="B521" s="90" t="e">
        <f>INDEX('NEW HIRE ROSTER'!$G:$G,MATCH(RAW!F521,'NEW HIRE ROSTER'!$A:$A,0))</f>
        <v>#N/A</v>
      </c>
      <c r="C521" s="90" t="e">
        <f>INDEX('NEW HIRE ROSTER'!$F:$F,MATCH(RAW!F521,'NEW HIRE ROSTER'!$A:$A,0))</f>
        <v>#N/A</v>
      </c>
      <c r="D521" s="90" t="e">
        <f>INDEX('Validation List'!$H:$H,MATCH(RAW!E521,'Validation List'!$F:$F,0))</f>
        <v>#N/A</v>
      </c>
      <c r="G521" s="90" t="e">
        <f>VLOOKUP(F521,ML!C505:D1103,2,FALSE)</f>
        <v>#N/A</v>
      </c>
      <c r="H521" s="90" t="e">
        <f>VLOOKUP(F521,ML!C505:E1103,3,FALSE)</f>
        <v>#N/A</v>
      </c>
    </row>
    <row r="522" spans="1:8" x14ac:dyDescent="0.35">
      <c r="A522" s="90" t="e">
        <f>VLOOKUP(E522,'Validation List'!F523:G918,2,FALSE)</f>
        <v>#N/A</v>
      </c>
      <c r="B522" s="90" t="e">
        <f>INDEX('NEW HIRE ROSTER'!$G:$G,MATCH(RAW!F522,'NEW HIRE ROSTER'!$A:$A,0))</f>
        <v>#N/A</v>
      </c>
      <c r="C522" s="90" t="e">
        <f>INDEX('NEW HIRE ROSTER'!$F:$F,MATCH(RAW!F522,'NEW HIRE ROSTER'!$A:$A,0))</f>
        <v>#N/A</v>
      </c>
      <c r="D522" s="90" t="e">
        <f>INDEX('Validation List'!$H:$H,MATCH(RAW!E522,'Validation List'!$F:$F,0))</f>
        <v>#N/A</v>
      </c>
      <c r="G522" s="90" t="e">
        <f>VLOOKUP(F522,ML!C506:D1104,2,FALSE)</f>
        <v>#N/A</v>
      </c>
      <c r="H522" s="90" t="e">
        <f>VLOOKUP(F522,ML!C506:E1104,3,FALSE)</f>
        <v>#N/A</v>
      </c>
    </row>
    <row r="523" spans="1:8" x14ac:dyDescent="0.35">
      <c r="A523" s="90" t="e">
        <f>VLOOKUP(E523,'Validation List'!F524:G919,2,FALSE)</f>
        <v>#N/A</v>
      </c>
      <c r="B523" s="90" t="e">
        <f>INDEX('NEW HIRE ROSTER'!$G:$G,MATCH(RAW!F523,'NEW HIRE ROSTER'!$A:$A,0))</f>
        <v>#N/A</v>
      </c>
      <c r="C523" s="90" t="e">
        <f>INDEX('NEW HIRE ROSTER'!$F:$F,MATCH(RAW!F523,'NEW HIRE ROSTER'!$A:$A,0))</f>
        <v>#N/A</v>
      </c>
      <c r="D523" s="90" t="e">
        <f>INDEX('Validation List'!$H:$H,MATCH(RAW!E523,'Validation List'!$F:$F,0))</f>
        <v>#N/A</v>
      </c>
      <c r="G523" s="90" t="e">
        <f>VLOOKUP(F523,ML!C507:D1105,2,FALSE)</f>
        <v>#N/A</v>
      </c>
      <c r="H523" s="90" t="e">
        <f>VLOOKUP(F523,ML!C507:E1105,3,FALSE)</f>
        <v>#N/A</v>
      </c>
    </row>
    <row r="524" spans="1:8" x14ac:dyDescent="0.35">
      <c r="A524" s="90" t="e">
        <f>VLOOKUP(E524,'Validation List'!F525:G920,2,FALSE)</f>
        <v>#N/A</v>
      </c>
      <c r="B524" s="90" t="e">
        <f>INDEX('NEW HIRE ROSTER'!$G:$G,MATCH(RAW!F524,'NEW HIRE ROSTER'!$A:$A,0))</f>
        <v>#N/A</v>
      </c>
      <c r="C524" s="90" t="e">
        <f>INDEX('NEW HIRE ROSTER'!$F:$F,MATCH(RAW!F524,'NEW HIRE ROSTER'!$A:$A,0))</f>
        <v>#N/A</v>
      </c>
      <c r="D524" s="90" t="e">
        <f>INDEX('Validation List'!$H:$H,MATCH(RAW!E524,'Validation List'!$F:$F,0))</f>
        <v>#N/A</v>
      </c>
      <c r="G524" s="90" t="e">
        <f>VLOOKUP(F524,ML!C508:D1106,2,FALSE)</f>
        <v>#N/A</v>
      </c>
      <c r="H524" s="90" t="e">
        <f>VLOOKUP(F524,ML!C508:E1106,3,FALSE)</f>
        <v>#N/A</v>
      </c>
    </row>
    <row r="525" spans="1:8" x14ac:dyDescent="0.35">
      <c r="A525" s="90" t="e">
        <f>VLOOKUP(E525,'Validation List'!F526:G921,2,FALSE)</f>
        <v>#N/A</v>
      </c>
      <c r="B525" s="90" t="e">
        <f>INDEX('NEW HIRE ROSTER'!$G:$G,MATCH(RAW!F525,'NEW HIRE ROSTER'!$A:$A,0))</f>
        <v>#N/A</v>
      </c>
      <c r="C525" s="90" t="e">
        <f>INDEX('NEW HIRE ROSTER'!$F:$F,MATCH(RAW!F525,'NEW HIRE ROSTER'!$A:$A,0))</f>
        <v>#N/A</v>
      </c>
      <c r="D525" s="90" t="e">
        <f>INDEX('Validation List'!$H:$H,MATCH(RAW!E525,'Validation List'!$F:$F,0))</f>
        <v>#N/A</v>
      </c>
      <c r="G525" s="90" t="e">
        <f>VLOOKUP(F525,ML!C509:D1107,2,FALSE)</f>
        <v>#N/A</v>
      </c>
      <c r="H525" s="90" t="e">
        <f>VLOOKUP(F525,ML!C509:E1107,3,FALSE)</f>
        <v>#N/A</v>
      </c>
    </row>
    <row r="526" spans="1:8" x14ac:dyDescent="0.35">
      <c r="A526" s="90" t="e">
        <f>VLOOKUP(E526,'Validation List'!F527:G922,2,FALSE)</f>
        <v>#N/A</v>
      </c>
      <c r="B526" s="90" t="e">
        <f>INDEX('NEW HIRE ROSTER'!$G:$G,MATCH(RAW!F526,'NEW HIRE ROSTER'!$A:$A,0))</f>
        <v>#N/A</v>
      </c>
      <c r="C526" s="90" t="e">
        <f>INDEX('NEW HIRE ROSTER'!$F:$F,MATCH(RAW!F526,'NEW HIRE ROSTER'!$A:$A,0))</f>
        <v>#N/A</v>
      </c>
      <c r="D526" s="90" t="e">
        <f>INDEX('Validation List'!$H:$H,MATCH(RAW!E526,'Validation List'!$F:$F,0))</f>
        <v>#N/A</v>
      </c>
      <c r="G526" s="90" t="e">
        <f>VLOOKUP(F526,ML!C510:D1108,2,FALSE)</f>
        <v>#N/A</v>
      </c>
      <c r="H526" s="90" t="e">
        <f>VLOOKUP(F526,ML!C510:E1108,3,FALSE)</f>
        <v>#N/A</v>
      </c>
    </row>
    <row r="527" spans="1:8" x14ac:dyDescent="0.35">
      <c r="A527" s="90" t="e">
        <f>VLOOKUP(E527,'Validation List'!F528:G923,2,FALSE)</f>
        <v>#N/A</v>
      </c>
      <c r="B527" s="90" t="e">
        <f>INDEX('NEW HIRE ROSTER'!$G:$G,MATCH(RAW!F527,'NEW HIRE ROSTER'!$A:$A,0))</f>
        <v>#N/A</v>
      </c>
      <c r="C527" s="90" t="e">
        <f>INDEX('NEW HIRE ROSTER'!$F:$F,MATCH(RAW!F527,'NEW HIRE ROSTER'!$A:$A,0))</f>
        <v>#N/A</v>
      </c>
      <c r="D527" s="90" t="e">
        <f>INDEX('Validation List'!$H:$H,MATCH(RAW!E527,'Validation List'!$F:$F,0))</f>
        <v>#N/A</v>
      </c>
      <c r="G527" s="90" t="e">
        <f>VLOOKUP(F527,ML!C511:D1109,2,FALSE)</f>
        <v>#N/A</v>
      </c>
      <c r="H527" s="90" t="e">
        <f>VLOOKUP(F527,ML!C511:E1109,3,FALSE)</f>
        <v>#N/A</v>
      </c>
    </row>
    <row r="528" spans="1:8" x14ac:dyDescent="0.35">
      <c r="A528" s="90" t="e">
        <f>VLOOKUP(E528,'Validation List'!F529:G924,2,FALSE)</f>
        <v>#N/A</v>
      </c>
      <c r="B528" s="90" t="e">
        <f>INDEX('NEW HIRE ROSTER'!$G:$G,MATCH(RAW!F528,'NEW HIRE ROSTER'!$A:$A,0))</f>
        <v>#N/A</v>
      </c>
      <c r="C528" s="90" t="e">
        <f>INDEX('NEW HIRE ROSTER'!$F:$F,MATCH(RAW!F528,'NEW HIRE ROSTER'!$A:$A,0))</f>
        <v>#N/A</v>
      </c>
      <c r="D528" s="90" t="e">
        <f>INDEX('Validation List'!$H:$H,MATCH(RAW!E528,'Validation List'!$F:$F,0))</f>
        <v>#N/A</v>
      </c>
      <c r="G528" s="90" t="e">
        <f>VLOOKUP(F528,ML!C512:D1110,2,FALSE)</f>
        <v>#N/A</v>
      </c>
      <c r="H528" s="90" t="e">
        <f>VLOOKUP(F528,ML!C512:E1110,3,FALSE)</f>
        <v>#N/A</v>
      </c>
    </row>
    <row r="529" spans="1:8" x14ac:dyDescent="0.35">
      <c r="A529" s="90" t="e">
        <f>VLOOKUP(E529,'Validation List'!F530:G925,2,FALSE)</f>
        <v>#N/A</v>
      </c>
      <c r="B529" s="90" t="e">
        <f>INDEX('NEW HIRE ROSTER'!$G:$G,MATCH(RAW!F529,'NEW HIRE ROSTER'!$A:$A,0))</f>
        <v>#N/A</v>
      </c>
      <c r="C529" s="90" t="e">
        <f>INDEX('NEW HIRE ROSTER'!$F:$F,MATCH(RAW!F529,'NEW HIRE ROSTER'!$A:$A,0))</f>
        <v>#N/A</v>
      </c>
      <c r="D529" s="90" t="e">
        <f>INDEX('Validation List'!$H:$H,MATCH(RAW!E529,'Validation List'!$F:$F,0))</f>
        <v>#N/A</v>
      </c>
      <c r="G529" s="90" t="e">
        <f>VLOOKUP(F529,ML!C513:D1111,2,FALSE)</f>
        <v>#N/A</v>
      </c>
      <c r="H529" s="90" t="e">
        <f>VLOOKUP(F529,ML!C513:E1111,3,FALSE)</f>
        <v>#N/A</v>
      </c>
    </row>
    <row r="530" spans="1:8" x14ac:dyDescent="0.35">
      <c r="A530" s="90" t="e">
        <f>VLOOKUP(E530,'Validation List'!F531:G926,2,FALSE)</f>
        <v>#N/A</v>
      </c>
      <c r="B530" s="90" t="e">
        <f>INDEX('NEW HIRE ROSTER'!$G:$G,MATCH(RAW!F530,'NEW HIRE ROSTER'!$A:$A,0))</f>
        <v>#N/A</v>
      </c>
      <c r="C530" s="90" t="e">
        <f>INDEX('NEW HIRE ROSTER'!$F:$F,MATCH(RAW!F530,'NEW HIRE ROSTER'!$A:$A,0))</f>
        <v>#N/A</v>
      </c>
      <c r="D530" s="90" t="e">
        <f>INDEX('Validation List'!$H:$H,MATCH(RAW!E530,'Validation List'!$F:$F,0))</f>
        <v>#N/A</v>
      </c>
      <c r="G530" s="90" t="e">
        <f>VLOOKUP(F530,ML!C514:D1112,2,FALSE)</f>
        <v>#N/A</v>
      </c>
      <c r="H530" s="90" t="e">
        <f>VLOOKUP(F530,ML!C514:E1112,3,FALSE)</f>
        <v>#N/A</v>
      </c>
    </row>
    <row r="531" spans="1:8" x14ac:dyDescent="0.35">
      <c r="A531" s="90" t="e">
        <f>VLOOKUP(E531,'Validation List'!F532:G927,2,FALSE)</f>
        <v>#N/A</v>
      </c>
      <c r="B531" s="90" t="e">
        <f>INDEX('NEW HIRE ROSTER'!$G:$G,MATCH(RAW!F531,'NEW HIRE ROSTER'!$A:$A,0))</f>
        <v>#N/A</v>
      </c>
      <c r="C531" s="90" t="e">
        <f>INDEX('NEW HIRE ROSTER'!$F:$F,MATCH(RAW!F531,'NEW HIRE ROSTER'!$A:$A,0))</f>
        <v>#N/A</v>
      </c>
      <c r="D531" s="90" t="e">
        <f>INDEX('Validation List'!$H:$H,MATCH(RAW!E531,'Validation List'!$F:$F,0))</f>
        <v>#N/A</v>
      </c>
      <c r="G531" s="90" t="e">
        <f>VLOOKUP(F531,ML!C515:D1113,2,FALSE)</f>
        <v>#N/A</v>
      </c>
      <c r="H531" s="90" t="e">
        <f>VLOOKUP(F531,ML!C515:E1113,3,FALSE)</f>
        <v>#N/A</v>
      </c>
    </row>
    <row r="532" spans="1:8" x14ac:dyDescent="0.35">
      <c r="A532" s="90" t="e">
        <f>VLOOKUP(E532,'Validation List'!F533:G928,2,FALSE)</f>
        <v>#N/A</v>
      </c>
      <c r="B532" s="90" t="e">
        <f>INDEX('NEW HIRE ROSTER'!$G:$G,MATCH(RAW!F532,'NEW HIRE ROSTER'!$A:$A,0))</f>
        <v>#N/A</v>
      </c>
      <c r="C532" s="90" t="e">
        <f>INDEX('NEW HIRE ROSTER'!$F:$F,MATCH(RAW!F532,'NEW HIRE ROSTER'!$A:$A,0))</f>
        <v>#N/A</v>
      </c>
      <c r="D532" s="90" t="e">
        <f>INDEX('Validation List'!$H:$H,MATCH(RAW!E532,'Validation List'!$F:$F,0))</f>
        <v>#N/A</v>
      </c>
      <c r="G532" s="90" t="e">
        <f>VLOOKUP(F532,ML!C516:D1114,2,FALSE)</f>
        <v>#N/A</v>
      </c>
      <c r="H532" s="90" t="e">
        <f>VLOOKUP(F532,ML!C516:E1114,3,FALSE)</f>
        <v>#N/A</v>
      </c>
    </row>
    <row r="533" spans="1:8" x14ac:dyDescent="0.35">
      <c r="A533" s="90" t="e">
        <f>VLOOKUP(E533,'Validation List'!F534:G929,2,FALSE)</f>
        <v>#N/A</v>
      </c>
      <c r="B533" s="90" t="e">
        <f>INDEX('NEW HIRE ROSTER'!$G:$G,MATCH(RAW!F533,'NEW HIRE ROSTER'!$A:$A,0))</f>
        <v>#N/A</v>
      </c>
      <c r="C533" s="90" t="e">
        <f>INDEX('NEW HIRE ROSTER'!$F:$F,MATCH(RAW!F533,'NEW HIRE ROSTER'!$A:$A,0))</f>
        <v>#N/A</v>
      </c>
      <c r="D533" s="90" t="e">
        <f>INDEX('Validation List'!$H:$H,MATCH(RAW!E533,'Validation List'!$F:$F,0))</f>
        <v>#N/A</v>
      </c>
      <c r="G533" s="90" t="e">
        <f>VLOOKUP(F533,ML!C517:D1115,2,FALSE)</f>
        <v>#N/A</v>
      </c>
      <c r="H533" s="90" t="e">
        <f>VLOOKUP(F533,ML!C517:E1115,3,FALSE)</f>
        <v>#N/A</v>
      </c>
    </row>
    <row r="534" spans="1:8" x14ac:dyDescent="0.35">
      <c r="A534" s="90" t="e">
        <f>VLOOKUP(E534,'Validation List'!F535:G930,2,FALSE)</f>
        <v>#N/A</v>
      </c>
      <c r="B534" s="90" t="e">
        <f>INDEX('NEW HIRE ROSTER'!$G:$G,MATCH(RAW!F534,'NEW HIRE ROSTER'!$A:$A,0))</f>
        <v>#N/A</v>
      </c>
      <c r="C534" s="90" t="e">
        <f>INDEX('NEW HIRE ROSTER'!$F:$F,MATCH(RAW!F534,'NEW HIRE ROSTER'!$A:$A,0))</f>
        <v>#N/A</v>
      </c>
      <c r="D534" s="90" t="e">
        <f>INDEX('Validation List'!$H:$H,MATCH(RAW!E534,'Validation List'!$F:$F,0))</f>
        <v>#N/A</v>
      </c>
      <c r="G534" s="90" t="e">
        <f>VLOOKUP(F534,ML!C518:D1116,2,FALSE)</f>
        <v>#N/A</v>
      </c>
      <c r="H534" s="90" t="e">
        <f>VLOOKUP(F534,ML!C518:E1116,3,FALSE)</f>
        <v>#N/A</v>
      </c>
    </row>
    <row r="535" spans="1:8" x14ac:dyDescent="0.35">
      <c r="A535" s="90" t="e">
        <f>VLOOKUP(E535,'Validation List'!F536:G931,2,FALSE)</f>
        <v>#N/A</v>
      </c>
      <c r="B535" s="90" t="e">
        <f>INDEX('NEW HIRE ROSTER'!$G:$G,MATCH(RAW!F535,'NEW HIRE ROSTER'!$A:$A,0))</f>
        <v>#N/A</v>
      </c>
      <c r="C535" s="90" t="e">
        <f>INDEX('NEW HIRE ROSTER'!$F:$F,MATCH(RAW!F535,'NEW HIRE ROSTER'!$A:$A,0))</f>
        <v>#N/A</v>
      </c>
      <c r="D535" s="90" t="e">
        <f>INDEX('Validation List'!$H:$H,MATCH(RAW!E535,'Validation List'!$F:$F,0))</f>
        <v>#N/A</v>
      </c>
      <c r="G535" s="90" t="e">
        <f>VLOOKUP(F535,ML!C519:D1117,2,FALSE)</f>
        <v>#N/A</v>
      </c>
      <c r="H535" s="90" t="e">
        <f>VLOOKUP(F535,ML!C519:E1117,3,FALSE)</f>
        <v>#N/A</v>
      </c>
    </row>
    <row r="536" spans="1:8" x14ac:dyDescent="0.35">
      <c r="A536" s="90" t="e">
        <f>VLOOKUP(E536,'Validation List'!F537:G932,2,FALSE)</f>
        <v>#N/A</v>
      </c>
      <c r="B536" s="90" t="e">
        <f>INDEX('NEW HIRE ROSTER'!$G:$G,MATCH(RAW!F536,'NEW HIRE ROSTER'!$A:$A,0))</f>
        <v>#N/A</v>
      </c>
      <c r="C536" s="90" t="e">
        <f>INDEX('NEW HIRE ROSTER'!$F:$F,MATCH(RAW!F536,'NEW HIRE ROSTER'!$A:$A,0))</f>
        <v>#N/A</v>
      </c>
      <c r="D536" s="90" t="e">
        <f>INDEX('Validation List'!$H:$H,MATCH(RAW!E536,'Validation List'!$F:$F,0))</f>
        <v>#N/A</v>
      </c>
      <c r="G536" s="90" t="e">
        <f>VLOOKUP(F536,ML!C520:D1118,2,FALSE)</f>
        <v>#N/A</v>
      </c>
      <c r="H536" s="90" t="e">
        <f>VLOOKUP(F536,ML!C520:E1118,3,FALSE)</f>
        <v>#N/A</v>
      </c>
    </row>
    <row r="537" spans="1:8" x14ac:dyDescent="0.35">
      <c r="A537" s="90" t="e">
        <f>VLOOKUP(E537,'Validation List'!F538:G933,2,FALSE)</f>
        <v>#N/A</v>
      </c>
      <c r="B537" s="90" t="e">
        <f>INDEX('NEW HIRE ROSTER'!$G:$G,MATCH(RAW!F537,'NEW HIRE ROSTER'!$A:$A,0))</f>
        <v>#N/A</v>
      </c>
      <c r="C537" s="90" t="e">
        <f>INDEX('NEW HIRE ROSTER'!$F:$F,MATCH(RAW!F537,'NEW HIRE ROSTER'!$A:$A,0))</f>
        <v>#N/A</v>
      </c>
      <c r="D537" s="90" t="e">
        <f>INDEX('Validation List'!$H:$H,MATCH(RAW!E537,'Validation List'!$F:$F,0))</f>
        <v>#N/A</v>
      </c>
      <c r="G537" s="90" t="e">
        <f>VLOOKUP(F537,ML!C521:D1119,2,FALSE)</f>
        <v>#N/A</v>
      </c>
      <c r="H537" s="90" t="e">
        <f>VLOOKUP(F537,ML!C521:E1119,3,FALSE)</f>
        <v>#N/A</v>
      </c>
    </row>
    <row r="538" spans="1:8" x14ac:dyDescent="0.35">
      <c r="A538" s="90" t="e">
        <f>VLOOKUP(E538,'Validation List'!F539:G934,2,FALSE)</f>
        <v>#N/A</v>
      </c>
      <c r="B538" s="90" t="e">
        <f>INDEX('NEW HIRE ROSTER'!$G:$G,MATCH(RAW!F538,'NEW HIRE ROSTER'!$A:$A,0))</f>
        <v>#N/A</v>
      </c>
      <c r="C538" s="90" t="e">
        <f>INDEX('NEW HIRE ROSTER'!$F:$F,MATCH(RAW!F538,'NEW HIRE ROSTER'!$A:$A,0))</f>
        <v>#N/A</v>
      </c>
      <c r="D538" s="90" t="e">
        <f>INDEX('Validation List'!$H:$H,MATCH(RAW!E538,'Validation List'!$F:$F,0))</f>
        <v>#N/A</v>
      </c>
      <c r="G538" s="90" t="e">
        <f>VLOOKUP(F538,ML!C522:D1120,2,FALSE)</f>
        <v>#N/A</v>
      </c>
      <c r="H538" s="90" t="e">
        <f>VLOOKUP(F538,ML!C522:E1120,3,FALSE)</f>
        <v>#N/A</v>
      </c>
    </row>
    <row r="539" spans="1:8" x14ac:dyDescent="0.35">
      <c r="A539" s="90" t="e">
        <f>VLOOKUP(E539,'Validation List'!F540:G935,2,FALSE)</f>
        <v>#N/A</v>
      </c>
      <c r="B539" s="90" t="e">
        <f>INDEX('NEW HIRE ROSTER'!$G:$G,MATCH(RAW!F539,'NEW HIRE ROSTER'!$A:$A,0))</f>
        <v>#N/A</v>
      </c>
      <c r="C539" s="90" t="e">
        <f>INDEX('NEW HIRE ROSTER'!$F:$F,MATCH(RAW!F539,'NEW HIRE ROSTER'!$A:$A,0))</f>
        <v>#N/A</v>
      </c>
      <c r="D539" s="90" t="e">
        <f>INDEX('Validation List'!$H:$H,MATCH(RAW!E539,'Validation List'!$F:$F,0))</f>
        <v>#N/A</v>
      </c>
      <c r="G539" s="90" t="e">
        <f>VLOOKUP(F539,ML!C523:D1121,2,FALSE)</f>
        <v>#N/A</v>
      </c>
      <c r="H539" s="90" t="e">
        <f>VLOOKUP(F539,ML!C523:E1121,3,FALSE)</f>
        <v>#N/A</v>
      </c>
    </row>
    <row r="540" spans="1:8" x14ac:dyDescent="0.35">
      <c r="A540" s="90" t="e">
        <f>VLOOKUP(E540,'Validation List'!F541:G936,2,FALSE)</f>
        <v>#N/A</v>
      </c>
      <c r="B540" s="90" t="e">
        <f>INDEX('NEW HIRE ROSTER'!$G:$G,MATCH(RAW!F540,'NEW HIRE ROSTER'!$A:$A,0))</f>
        <v>#N/A</v>
      </c>
      <c r="C540" s="90" t="e">
        <f>INDEX('NEW HIRE ROSTER'!$F:$F,MATCH(RAW!F540,'NEW HIRE ROSTER'!$A:$A,0))</f>
        <v>#N/A</v>
      </c>
      <c r="D540" s="90" t="e">
        <f>INDEX('Validation List'!$H:$H,MATCH(RAW!E540,'Validation List'!$F:$F,0))</f>
        <v>#N/A</v>
      </c>
      <c r="G540" s="90" t="e">
        <f>VLOOKUP(F540,ML!C524:D1122,2,FALSE)</f>
        <v>#N/A</v>
      </c>
      <c r="H540" s="90" t="e">
        <f>VLOOKUP(F540,ML!C524:E1122,3,FALSE)</f>
        <v>#N/A</v>
      </c>
    </row>
    <row r="541" spans="1:8" x14ac:dyDescent="0.35">
      <c r="A541" s="90" t="e">
        <f>VLOOKUP(E541,'Validation List'!F542:G937,2,FALSE)</f>
        <v>#N/A</v>
      </c>
      <c r="B541" s="90" t="e">
        <f>INDEX('NEW HIRE ROSTER'!$G:$G,MATCH(RAW!F541,'NEW HIRE ROSTER'!$A:$A,0))</f>
        <v>#N/A</v>
      </c>
      <c r="C541" s="90" t="e">
        <f>INDEX('NEW HIRE ROSTER'!$F:$F,MATCH(RAW!F541,'NEW HIRE ROSTER'!$A:$A,0))</f>
        <v>#N/A</v>
      </c>
      <c r="D541" s="90" t="e">
        <f>INDEX('Validation List'!$H:$H,MATCH(RAW!E541,'Validation List'!$F:$F,0))</f>
        <v>#N/A</v>
      </c>
      <c r="G541" s="90" t="e">
        <f>VLOOKUP(F541,ML!C525:D1123,2,FALSE)</f>
        <v>#N/A</v>
      </c>
      <c r="H541" s="90" t="e">
        <f>VLOOKUP(F541,ML!C525:E1123,3,FALSE)</f>
        <v>#N/A</v>
      </c>
    </row>
    <row r="542" spans="1:8" x14ac:dyDescent="0.35">
      <c r="A542" s="90" t="e">
        <f>VLOOKUP(E542,'Validation List'!F543:G938,2,FALSE)</f>
        <v>#N/A</v>
      </c>
      <c r="B542" s="90" t="e">
        <f>INDEX('NEW HIRE ROSTER'!$G:$G,MATCH(RAW!F542,'NEW HIRE ROSTER'!$A:$A,0))</f>
        <v>#N/A</v>
      </c>
      <c r="C542" s="90" t="e">
        <f>INDEX('NEW HIRE ROSTER'!$F:$F,MATCH(RAW!F542,'NEW HIRE ROSTER'!$A:$A,0))</f>
        <v>#N/A</v>
      </c>
      <c r="D542" s="90" t="e">
        <f>INDEX('Validation List'!$H:$H,MATCH(RAW!E542,'Validation List'!$F:$F,0))</f>
        <v>#N/A</v>
      </c>
      <c r="G542" s="90" t="e">
        <f>VLOOKUP(F542,ML!C526:D1124,2,FALSE)</f>
        <v>#N/A</v>
      </c>
      <c r="H542" s="90" t="e">
        <f>VLOOKUP(F542,ML!C526:E1124,3,FALSE)</f>
        <v>#N/A</v>
      </c>
    </row>
    <row r="543" spans="1:8" x14ac:dyDescent="0.35">
      <c r="A543" s="90" t="e">
        <f>VLOOKUP(E543,'Validation List'!F544:G939,2,FALSE)</f>
        <v>#N/A</v>
      </c>
      <c r="B543" s="90" t="e">
        <f>INDEX('NEW HIRE ROSTER'!$G:$G,MATCH(RAW!F543,'NEW HIRE ROSTER'!$A:$A,0))</f>
        <v>#N/A</v>
      </c>
      <c r="C543" s="90" t="e">
        <f>INDEX('NEW HIRE ROSTER'!$F:$F,MATCH(RAW!F543,'NEW HIRE ROSTER'!$A:$A,0))</f>
        <v>#N/A</v>
      </c>
      <c r="D543" s="90" t="e">
        <f>INDEX('Validation List'!$H:$H,MATCH(RAW!E543,'Validation List'!$F:$F,0))</f>
        <v>#N/A</v>
      </c>
      <c r="G543" s="90" t="e">
        <f>VLOOKUP(F543,ML!C527:D1125,2,FALSE)</f>
        <v>#N/A</v>
      </c>
      <c r="H543" s="90" t="e">
        <f>VLOOKUP(F543,ML!C527:E1125,3,FALSE)</f>
        <v>#N/A</v>
      </c>
    </row>
    <row r="544" spans="1:8" x14ac:dyDescent="0.35">
      <c r="A544" s="90" t="e">
        <f>VLOOKUP(E544,'Validation List'!F545:G940,2,FALSE)</f>
        <v>#N/A</v>
      </c>
      <c r="B544" s="90" t="e">
        <f>INDEX('NEW HIRE ROSTER'!$G:$G,MATCH(RAW!F544,'NEW HIRE ROSTER'!$A:$A,0))</f>
        <v>#N/A</v>
      </c>
      <c r="C544" s="90" t="e">
        <f>INDEX('NEW HIRE ROSTER'!$F:$F,MATCH(RAW!F544,'NEW HIRE ROSTER'!$A:$A,0))</f>
        <v>#N/A</v>
      </c>
      <c r="D544" s="90" t="e">
        <f>INDEX('Validation List'!$H:$H,MATCH(RAW!E544,'Validation List'!$F:$F,0))</f>
        <v>#N/A</v>
      </c>
      <c r="G544" s="90" t="e">
        <f>VLOOKUP(F544,ML!C528:D1126,2,FALSE)</f>
        <v>#N/A</v>
      </c>
      <c r="H544" s="90" t="e">
        <f>VLOOKUP(F544,ML!C528:E1126,3,FALSE)</f>
        <v>#N/A</v>
      </c>
    </row>
    <row r="545" spans="1:8" x14ac:dyDescent="0.35">
      <c r="A545" s="90" t="e">
        <f>VLOOKUP(E545,'Validation List'!F546:G941,2,FALSE)</f>
        <v>#N/A</v>
      </c>
      <c r="B545" s="90" t="e">
        <f>INDEX('NEW HIRE ROSTER'!$G:$G,MATCH(RAW!F545,'NEW HIRE ROSTER'!$A:$A,0))</f>
        <v>#N/A</v>
      </c>
      <c r="C545" s="90" t="e">
        <f>INDEX('NEW HIRE ROSTER'!$F:$F,MATCH(RAW!F545,'NEW HIRE ROSTER'!$A:$A,0))</f>
        <v>#N/A</v>
      </c>
      <c r="D545" s="90" t="e">
        <f>INDEX('Validation List'!$H:$H,MATCH(RAW!E545,'Validation List'!$F:$F,0))</f>
        <v>#N/A</v>
      </c>
      <c r="G545" s="90" t="e">
        <f>VLOOKUP(F545,ML!C529:D1127,2,FALSE)</f>
        <v>#N/A</v>
      </c>
      <c r="H545" s="90" t="e">
        <f>VLOOKUP(F545,ML!C529:E1127,3,FALSE)</f>
        <v>#N/A</v>
      </c>
    </row>
    <row r="546" spans="1:8" x14ac:dyDescent="0.35">
      <c r="A546" s="90" t="e">
        <f>VLOOKUP(E546,'Validation List'!F547:G942,2,FALSE)</f>
        <v>#N/A</v>
      </c>
      <c r="B546" s="90" t="e">
        <f>INDEX('NEW HIRE ROSTER'!$G:$G,MATCH(RAW!F546,'NEW HIRE ROSTER'!$A:$A,0))</f>
        <v>#N/A</v>
      </c>
      <c r="C546" s="90" t="e">
        <f>INDEX('NEW HIRE ROSTER'!$F:$F,MATCH(RAW!F546,'NEW HIRE ROSTER'!$A:$A,0))</f>
        <v>#N/A</v>
      </c>
      <c r="D546" s="90" t="e">
        <f>INDEX('Validation List'!$H:$H,MATCH(RAW!E546,'Validation List'!$F:$F,0))</f>
        <v>#N/A</v>
      </c>
      <c r="G546" s="90" t="e">
        <f>VLOOKUP(F546,ML!C530:D1128,2,FALSE)</f>
        <v>#N/A</v>
      </c>
      <c r="H546" s="90" t="e">
        <f>VLOOKUP(F546,ML!C530:E1128,3,FALSE)</f>
        <v>#N/A</v>
      </c>
    </row>
    <row r="547" spans="1:8" x14ac:dyDescent="0.35">
      <c r="A547" s="90" t="e">
        <f>VLOOKUP(E547,'Validation List'!F548:G943,2,FALSE)</f>
        <v>#N/A</v>
      </c>
      <c r="B547" s="90" t="e">
        <f>INDEX('NEW HIRE ROSTER'!$G:$G,MATCH(RAW!F547,'NEW HIRE ROSTER'!$A:$A,0))</f>
        <v>#N/A</v>
      </c>
      <c r="C547" s="90" t="e">
        <f>INDEX('NEW HIRE ROSTER'!$F:$F,MATCH(RAW!F547,'NEW HIRE ROSTER'!$A:$A,0))</f>
        <v>#N/A</v>
      </c>
      <c r="D547" s="90" t="e">
        <f>INDEX('Validation List'!$H:$H,MATCH(RAW!E547,'Validation List'!$F:$F,0))</f>
        <v>#N/A</v>
      </c>
      <c r="G547" s="90" t="e">
        <f>VLOOKUP(F547,ML!C531:D1129,2,FALSE)</f>
        <v>#N/A</v>
      </c>
      <c r="H547" s="90" t="e">
        <f>VLOOKUP(F547,ML!C531:E1129,3,FALSE)</f>
        <v>#N/A</v>
      </c>
    </row>
    <row r="548" spans="1:8" x14ac:dyDescent="0.35">
      <c r="A548" s="90" t="e">
        <f>VLOOKUP(E548,'Validation List'!F549:G944,2,FALSE)</f>
        <v>#N/A</v>
      </c>
      <c r="B548" s="90" t="e">
        <f>INDEX('NEW HIRE ROSTER'!$G:$G,MATCH(RAW!F548,'NEW HIRE ROSTER'!$A:$A,0))</f>
        <v>#N/A</v>
      </c>
      <c r="C548" s="90" t="e">
        <f>INDEX('NEW HIRE ROSTER'!$F:$F,MATCH(RAW!F548,'NEW HIRE ROSTER'!$A:$A,0))</f>
        <v>#N/A</v>
      </c>
      <c r="D548" s="90" t="e">
        <f>INDEX('Validation List'!$H:$H,MATCH(RAW!E548,'Validation List'!$F:$F,0))</f>
        <v>#N/A</v>
      </c>
      <c r="G548" s="90" t="e">
        <f>VLOOKUP(F548,ML!C532:D1130,2,FALSE)</f>
        <v>#N/A</v>
      </c>
      <c r="H548" s="90" t="e">
        <f>VLOOKUP(F548,ML!C532:E1130,3,FALSE)</f>
        <v>#N/A</v>
      </c>
    </row>
    <row r="549" spans="1:8" x14ac:dyDescent="0.35">
      <c r="A549" s="90" t="e">
        <f>VLOOKUP(E549,'Validation List'!F550:G945,2,FALSE)</f>
        <v>#N/A</v>
      </c>
      <c r="B549" s="90" t="e">
        <f>INDEX('NEW HIRE ROSTER'!$G:$G,MATCH(RAW!F549,'NEW HIRE ROSTER'!$A:$A,0))</f>
        <v>#N/A</v>
      </c>
      <c r="C549" s="90" t="e">
        <f>INDEX('NEW HIRE ROSTER'!$F:$F,MATCH(RAW!F549,'NEW HIRE ROSTER'!$A:$A,0))</f>
        <v>#N/A</v>
      </c>
      <c r="D549" s="90" t="e">
        <f>INDEX('Validation List'!$H:$H,MATCH(RAW!E549,'Validation List'!$F:$F,0))</f>
        <v>#N/A</v>
      </c>
      <c r="G549" s="90" t="e">
        <f>VLOOKUP(F549,ML!C533:D1131,2,FALSE)</f>
        <v>#N/A</v>
      </c>
      <c r="H549" s="90" t="e">
        <f>VLOOKUP(F549,ML!C533:E1131,3,FALSE)</f>
        <v>#N/A</v>
      </c>
    </row>
    <row r="550" spans="1:8" x14ac:dyDescent="0.35">
      <c r="A550" s="90" t="e">
        <f>VLOOKUP(E550,'Validation List'!F551:G946,2,FALSE)</f>
        <v>#N/A</v>
      </c>
      <c r="B550" s="90" t="e">
        <f>INDEX('NEW HIRE ROSTER'!$G:$G,MATCH(RAW!F550,'NEW HIRE ROSTER'!$A:$A,0))</f>
        <v>#N/A</v>
      </c>
      <c r="C550" s="90" t="e">
        <f>INDEX('NEW HIRE ROSTER'!$F:$F,MATCH(RAW!F550,'NEW HIRE ROSTER'!$A:$A,0))</f>
        <v>#N/A</v>
      </c>
      <c r="D550" s="90" t="e">
        <f>INDEX('Validation List'!$H:$H,MATCH(RAW!E550,'Validation List'!$F:$F,0))</f>
        <v>#N/A</v>
      </c>
      <c r="G550" s="90" t="e">
        <f>VLOOKUP(F550,ML!C534:D1132,2,FALSE)</f>
        <v>#N/A</v>
      </c>
      <c r="H550" s="90" t="e">
        <f>VLOOKUP(F550,ML!C534:E1132,3,FALSE)</f>
        <v>#N/A</v>
      </c>
    </row>
    <row r="551" spans="1:8" x14ac:dyDescent="0.35">
      <c r="A551" s="90" t="e">
        <f>VLOOKUP(E551,'Validation List'!F552:G947,2,FALSE)</f>
        <v>#N/A</v>
      </c>
      <c r="B551" s="90" t="e">
        <f>INDEX('NEW HIRE ROSTER'!$G:$G,MATCH(RAW!F551,'NEW HIRE ROSTER'!$A:$A,0))</f>
        <v>#N/A</v>
      </c>
      <c r="C551" s="90" t="e">
        <f>INDEX('NEW HIRE ROSTER'!$F:$F,MATCH(RAW!F551,'NEW HIRE ROSTER'!$A:$A,0))</f>
        <v>#N/A</v>
      </c>
      <c r="D551" s="90" t="e">
        <f>INDEX('Validation List'!$H:$H,MATCH(RAW!E551,'Validation List'!$F:$F,0))</f>
        <v>#N/A</v>
      </c>
      <c r="G551" s="90" t="e">
        <f>VLOOKUP(F551,ML!C535:D1133,2,FALSE)</f>
        <v>#N/A</v>
      </c>
      <c r="H551" s="90" t="e">
        <f>VLOOKUP(F551,ML!C535:E1133,3,FALSE)</f>
        <v>#N/A</v>
      </c>
    </row>
    <row r="552" spans="1:8" x14ac:dyDescent="0.35">
      <c r="A552" s="90" t="e">
        <f>VLOOKUP(E552,'Validation List'!F553:G948,2,FALSE)</f>
        <v>#N/A</v>
      </c>
      <c r="B552" s="90" t="e">
        <f>INDEX('NEW HIRE ROSTER'!$G:$G,MATCH(RAW!F552,'NEW HIRE ROSTER'!$A:$A,0))</f>
        <v>#N/A</v>
      </c>
      <c r="C552" s="90" t="e">
        <f>INDEX('NEW HIRE ROSTER'!$F:$F,MATCH(RAW!F552,'NEW HIRE ROSTER'!$A:$A,0))</f>
        <v>#N/A</v>
      </c>
      <c r="D552" s="90" t="e">
        <f>INDEX('Validation List'!$H:$H,MATCH(RAW!E552,'Validation List'!$F:$F,0))</f>
        <v>#N/A</v>
      </c>
      <c r="G552" s="90" t="e">
        <f>VLOOKUP(F552,ML!C536:D1134,2,FALSE)</f>
        <v>#N/A</v>
      </c>
      <c r="H552" s="90" t="e">
        <f>VLOOKUP(F552,ML!C536:E1134,3,FALSE)</f>
        <v>#N/A</v>
      </c>
    </row>
    <row r="553" spans="1:8" x14ac:dyDescent="0.35">
      <c r="A553" s="90" t="e">
        <f>VLOOKUP(E553,'Validation List'!F554:G949,2,FALSE)</f>
        <v>#N/A</v>
      </c>
      <c r="B553" s="90" t="e">
        <f>INDEX('NEW HIRE ROSTER'!$G:$G,MATCH(RAW!F553,'NEW HIRE ROSTER'!$A:$A,0))</f>
        <v>#N/A</v>
      </c>
      <c r="C553" s="90" t="e">
        <f>INDEX('NEW HIRE ROSTER'!$F:$F,MATCH(RAW!F553,'NEW HIRE ROSTER'!$A:$A,0))</f>
        <v>#N/A</v>
      </c>
      <c r="D553" s="90" t="e">
        <f>INDEX('Validation List'!$H:$H,MATCH(RAW!E553,'Validation List'!$F:$F,0))</f>
        <v>#N/A</v>
      </c>
      <c r="G553" s="90" t="e">
        <f>VLOOKUP(F553,ML!C537:D1135,2,FALSE)</f>
        <v>#N/A</v>
      </c>
      <c r="H553" s="90" t="e">
        <f>VLOOKUP(F553,ML!C537:E1135,3,FALSE)</f>
        <v>#N/A</v>
      </c>
    </row>
    <row r="554" spans="1:8" x14ac:dyDescent="0.35">
      <c r="A554" s="90" t="e">
        <f>VLOOKUP(E554,'Validation List'!F555:G950,2,FALSE)</f>
        <v>#N/A</v>
      </c>
      <c r="B554" s="90" t="e">
        <f>INDEX('NEW HIRE ROSTER'!$G:$G,MATCH(RAW!F554,'NEW HIRE ROSTER'!$A:$A,0))</f>
        <v>#N/A</v>
      </c>
      <c r="C554" s="90" t="e">
        <f>INDEX('NEW HIRE ROSTER'!$F:$F,MATCH(RAW!F554,'NEW HIRE ROSTER'!$A:$A,0))</f>
        <v>#N/A</v>
      </c>
      <c r="D554" s="90" t="e">
        <f>INDEX('Validation List'!$H:$H,MATCH(RAW!E554,'Validation List'!$F:$F,0))</f>
        <v>#N/A</v>
      </c>
      <c r="G554" s="90" t="e">
        <f>VLOOKUP(F554,ML!C538:D1136,2,FALSE)</f>
        <v>#N/A</v>
      </c>
      <c r="H554" s="90" t="e">
        <f>VLOOKUP(F554,ML!C538:E1136,3,FALSE)</f>
        <v>#N/A</v>
      </c>
    </row>
    <row r="555" spans="1:8" x14ac:dyDescent="0.35">
      <c r="A555" s="90" t="e">
        <f>VLOOKUP(E555,'Validation List'!F556:G951,2,FALSE)</f>
        <v>#N/A</v>
      </c>
      <c r="B555" s="90" t="e">
        <f>INDEX('NEW HIRE ROSTER'!$G:$G,MATCH(RAW!F555,'NEW HIRE ROSTER'!$A:$A,0))</f>
        <v>#N/A</v>
      </c>
      <c r="C555" s="90" t="e">
        <f>INDEX('NEW HIRE ROSTER'!$F:$F,MATCH(RAW!F555,'NEW HIRE ROSTER'!$A:$A,0))</f>
        <v>#N/A</v>
      </c>
      <c r="D555" s="90" t="e">
        <f>INDEX('Validation List'!$H:$H,MATCH(RAW!E555,'Validation List'!$F:$F,0))</f>
        <v>#N/A</v>
      </c>
      <c r="G555" s="90" t="e">
        <f>VLOOKUP(F555,ML!C539:D1137,2,FALSE)</f>
        <v>#N/A</v>
      </c>
      <c r="H555" s="90" t="e">
        <f>VLOOKUP(F555,ML!C539:E1137,3,FALSE)</f>
        <v>#N/A</v>
      </c>
    </row>
    <row r="556" spans="1:8" x14ac:dyDescent="0.35">
      <c r="A556" s="90" t="e">
        <f>VLOOKUP(E556,'Validation List'!F557:G952,2,FALSE)</f>
        <v>#N/A</v>
      </c>
      <c r="B556" s="90" t="e">
        <f>INDEX('NEW HIRE ROSTER'!$G:$G,MATCH(RAW!F556,'NEW HIRE ROSTER'!$A:$A,0))</f>
        <v>#N/A</v>
      </c>
      <c r="C556" s="90" t="e">
        <f>INDEX('NEW HIRE ROSTER'!$F:$F,MATCH(RAW!F556,'NEW HIRE ROSTER'!$A:$A,0))</f>
        <v>#N/A</v>
      </c>
      <c r="D556" s="90" t="e">
        <f>INDEX('Validation List'!$H:$H,MATCH(RAW!E556,'Validation List'!$F:$F,0))</f>
        <v>#N/A</v>
      </c>
      <c r="G556" s="90" t="e">
        <f>VLOOKUP(F556,ML!C540:D1138,2,FALSE)</f>
        <v>#N/A</v>
      </c>
      <c r="H556" s="90" t="e">
        <f>VLOOKUP(F556,ML!C540:E1138,3,FALSE)</f>
        <v>#N/A</v>
      </c>
    </row>
    <row r="557" spans="1:8" x14ac:dyDescent="0.35">
      <c r="A557" s="90" t="e">
        <f>VLOOKUP(E557,'Validation List'!F558:G953,2,FALSE)</f>
        <v>#N/A</v>
      </c>
      <c r="B557" s="90" t="e">
        <f>INDEX('NEW HIRE ROSTER'!$G:$G,MATCH(RAW!F557,'NEW HIRE ROSTER'!$A:$A,0))</f>
        <v>#N/A</v>
      </c>
      <c r="C557" s="90" t="e">
        <f>INDEX('NEW HIRE ROSTER'!$F:$F,MATCH(RAW!F557,'NEW HIRE ROSTER'!$A:$A,0))</f>
        <v>#N/A</v>
      </c>
      <c r="D557" s="90" t="e">
        <f>INDEX('Validation List'!$H:$H,MATCH(RAW!E557,'Validation List'!$F:$F,0))</f>
        <v>#N/A</v>
      </c>
      <c r="G557" s="90" t="e">
        <f>VLOOKUP(F557,ML!C541:D1139,2,FALSE)</f>
        <v>#N/A</v>
      </c>
      <c r="H557" s="90" t="e">
        <f>VLOOKUP(F557,ML!C541:E1139,3,FALSE)</f>
        <v>#N/A</v>
      </c>
    </row>
    <row r="558" spans="1:8" x14ac:dyDescent="0.35">
      <c r="A558" s="90" t="e">
        <f>VLOOKUP(E558,'Validation List'!F559:G954,2,FALSE)</f>
        <v>#N/A</v>
      </c>
      <c r="B558" s="90" t="e">
        <f>INDEX('NEW HIRE ROSTER'!$G:$G,MATCH(RAW!F558,'NEW HIRE ROSTER'!$A:$A,0))</f>
        <v>#N/A</v>
      </c>
      <c r="C558" s="90" t="e">
        <f>INDEX('NEW HIRE ROSTER'!$F:$F,MATCH(RAW!F558,'NEW HIRE ROSTER'!$A:$A,0))</f>
        <v>#N/A</v>
      </c>
      <c r="D558" s="90" t="e">
        <f>INDEX('Validation List'!$H:$H,MATCH(RAW!E558,'Validation List'!$F:$F,0))</f>
        <v>#N/A</v>
      </c>
      <c r="G558" s="90" t="e">
        <f>VLOOKUP(F558,ML!C542:D1140,2,FALSE)</f>
        <v>#N/A</v>
      </c>
      <c r="H558" s="90" t="e">
        <f>VLOOKUP(F558,ML!C542:E1140,3,FALSE)</f>
        <v>#N/A</v>
      </c>
    </row>
    <row r="559" spans="1:8" x14ac:dyDescent="0.35">
      <c r="A559" s="90" t="e">
        <f>VLOOKUP(E559,'Validation List'!F560:G955,2,FALSE)</f>
        <v>#N/A</v>
      </c>
      <c r="B559" s="90" t="e">
        <f>INDEX('NEW HIRE ROSTER'!$G:$G,MATCH(RAW!F559,'NEW HIRE ROSTER'!$A:$A,0))</f>
        <v>#N/A</v>
      </c>
      <c r="C559" s="90" t="e">
        <f>INDEX('NEW HIRE ROSTER'!$F:$F,MATCH(RAW!F559,'NEW HIRE ROSTER'!$A:$A,0))</f>
        <v>#N/A</v>
      </c>
      <c r="D559" s="90" t="e">
        <f>INDEX('Validation List'!$H:$H,MATCH(RAW!E559,'Validation List'!$F:$F,0))</f>
        <v>#N/A</v>
      </c>
      <c r="G559" s="90" t="e">
        <f>VLOOKUP(F559,ML!C543:D1141,2,FALSE)</f>
        <v>#N/A</v>
      </c>
      <c r="H559" s="90" t="e">
        <f>VLOOKUP(F559,ML!C543:E1141,3,FALSE)</f>
        <v>#N/A</v>
      </c>
    </row>
    <row r="560" spans="1:8" x14ac:dyDescent="0.35">
      <c r="A560" s="90" t="e">
        <f>VLOOKUP(E560,'Validation List'!F561:G956,2,FALSE)</f>
        <v>#N/A</v>
      </c>
      <c r="B560" s="90" t="e">
        <f>INDEX('NEW HIRE ROSTER'!$G:$G,MATCH(RAW!F560,'NEW HIRE ROSTER'!$A:$A,0))</f>
        <v>#N/A</v>
      </c>
      <c r="C560" s="90" t="e">
        <f>INDEX('NEW HIRE ROSTER'!$F:$F,MATCH(RAW!F560,'NEW HIRE ROSTER'!$A:$A,0))</f>
        <v>#N/A</v>
      </c>
      <c r="D560" s="90" t="e">
        <f>INDEX('Validation List'!$H:$H,MATCH(RAW!E560,'Validation List'!$F:$F,0))</f>
        <v>#N/A</v>
      </c>
      <c r="G560" s="90" t="e">
        <f>VLOOKUP(F560,ML!C544:D1142,2,FALSE)</f>
        <v>#N/A</v>
      </c>
      <c r="H560" s="90" t="e">
        <f>VLOOKUP(F560,ML!C544:E1142,3,FALSE)</f>
        <v>#N/A</v>
      </c>
    </row>
    <row r="561" spans="1:8" x14ac:dyDescent="0.35">
      <c r="A561" s="90" t="e">
        <f>VLOOKUP(E561,'Validation List'!F562:G957,2,FALSE)</f>
        <v>#N/A</v>
      </c>
      <c r="B561" s="90" t="e">
        <f>INDEX('NEW HIRE ROSTER'!$G:$G,MATCH(RAW!F561,'NEW HIRE ROSTER'!$A:$A,0))</f>
        <v>#N/A</v>
      </c>
      <c r="C561" s="90" t="e">
        <f>INDEX('NEW HIRE ROSTER'!$F:$F,MATCH(RAW!F561,'NEW HIRE ROSTER'!$A:$A,0))</f>
        <v>#N/A</v>
      </c>
      <c r="D561" s="90" t="e">
        <f>INDEX('Validation List'!$H:$H,MATCH(RAW!E561,'Validation List'!$F:$F,0))</f>
        <v>#N/A</v>
      </c>
      <c r="G561" s="90" t="e">
        <f>VLOOKUP(F561,ML!C545:D1143,2,FALSE)</f>
        <v>#N/A</v>
      </c>
      <c r="H561" s="90" t="e">
        <f>VLOOKUP(F561,ML!C545:E1143,3,FALSE)</f>
        <v>#N/A</v>
      </c>
    </row>
    <row r="562" spans="1:8" x14ac:dyDescent="0.35">
      <c r="A562" s="90" t="e">
        <f>VLOOKUP(E562,'Validation List'!F563:G958,2,FALSE)</f>
        <v>#N/A</v>
      </c>
      <c r="B562" s="90" t="e">
        <f>INDEX('NEW HIRE ROSTER'!$G:$G,MATCH(RAW!F562,'NEW HIRE ROSTER'!$A:$A,0))</f>
        <v>#N/A</v>
      </c>
      <c r="C562" s="90" t="e">
        <f>INDEX('NEW HIRE ROSTER'!$F:$F,MATCH(RAW!F562,'NEW HIRE ROSTER'!$A:$A,0))</f>
        <v>#N/A</v>
      </c>
      <c r="D562" s="90" t="e">
        <f>INDEX('Validation List'!$H:$H,MATCH(RAW!E562,'Validation List'!$F:$F,0))</f>
        <v>#N/A</v>
      </c>
      <c r="G562" s="90" t="e">
        <f>VLOOKUP(F562,ML!C546:D1144,2,FALSE)</f>
        <v>#N/A</v>
      </c>
      <c r="H562" s="90" t="e">
        <f>VLOOKUP(F562,ML!C546:E1144,3,FALSE)</f>
        <v>#N/A</v>
      </c>
    </row>
    <row r="563" spans="1:8" x14ac:dyDescent="0.35">
      <c r="A563" s="90" t="e">
        <f>VLOOKUP(E563,'Validation List'!F564:G959,2,FALSE)</f>
        <v>#N/A</v>
      </c>
      <c r="B563" s="90" t="e">
        <f>INDEX('NEW HIRE ROSTER'!$G:$G,MATCH(RAW!F563,'NEW HIRE ROSTER'!$A:$A,0))</f>
        <v>#N/A</v>
      </c>
      <c r="C563" s="90" t="e">
        <f>INDEX('NEW HIRE ROSTER'!$F:$F,MATCH(RAW!F563,'NEW HIRE ROSTER'!$A:$A,0))</f>
        <v>#N/A</v>
      </c>
      <c r="D563" s="90" t="e">
        <f>INDEX('Validation List'!$H:$H,MATCH(RAW!E563,'Validation List'!$F:$F,0))</f>
        <v>#N/A</v>
      </c>
      <c r="G563" s="90" t="e">
        <f>VLOOKUP(F563,ML!C547:D1145,2,FALSE)</f>
        <v>#N/A</v>
      </c>
      <c r="H563" s="90" t="e">
        <f>VLOOKUP(F563,ML!C547:E1145,3,FALSE)</f>
        <v>#N/A</v>
      </c>
    </row>
    <row r="564" spans="1:8" x14ac:dyDescent="0.35">
      <c r="A564" s="90" t="e">
        <f>VLOOKUP(E564,'Validation List'!F565:G960,2,FALSE)</f>
        <v>#N/A</v>
      </c>
      <c r="B564" s="90" t="e">
        <f>INDEX('NEW HIRE ROSTER'!$G:$G,MATCH(RAW!F564,'NEW HIRE ROSTER'!$A:$A,0))</f>
        <v>#N/A</v>
      </c>
      <c r="C564" s="90" t="e">
        <f>INDEX('NEW HIRE ROSTER'!$F:$F,MATCH(RAW!F564,'NEW HIRE ROSTER'!$A:$A,0))</f>
        <v>#N/A</v>
      </c>
      <c r="D564" s="90" t="e">
        <f>INDEX('Validation List'!$H:$H,MATCH(RAW!E564,'Validation List'!$F:$F,0))</f>
        <v>#N/A</v>
      </c>
      <c r="G564" s="90" t="e">
        <f>VLOOKUP(F564,ML!C548:D1146,2,FALSE)</f>
        <v>#N/A</v>
      </c>
      <c r="H564" s="90" t="e">
        <f>VLOOKUP(F564,ML!C548:E1146,3,FALSE)</f>
        <v>#N/A</v>
      </c>
    </row>
    <row r="565" spans="1:8" x14ac:dyDescent="0.35">
      <c r="A565" s="90" t="e">
        <f>VLOOKUP(E565,'Validation List'!F566:G961,2,FALSE)</f>
        <v>#N/A</v>
      </c>
      <c r="B565" s="90" t="e">
        <f>INDEX('NEW HIRE ROSTER'!$G:$G,MATCH(RAW!F565,'NEW HIRE ROSTER'!$A:$A,0))</f>
        <v>#N/A</v>
      </c>
      <c r="C565" s="90" t="e">
        <f>INDEX('NEW HIRE ROSTER'!$F:$F,MATCH(RAW!F565,'NEW HIRE ROSTER'!$A:$A,0))</f>
        <v>#N/A</v>
      </c>
      <c r="D565" s="90" t="e">
        <f>INDEX('Validation List'!$H:$H,MATCH(RAW!E565,'Validation List'!$F:$F,0))</f>
        <v>#N/A</v>
      </c>
      <c r="G565" s="90" t="e">
        <f>VLOOKUP(F565,ML!C549:D1147,2,FALSE)</f>
        <v>#N/A</v>
      </c>
      <c r="H565" s="90" t="e">
        <f>VLOOKUP(F565,ML!C549:E1147,3,FALSE)</f>
        <v>#N/A</v>
      </c>
    </row>
    <row r="566" spans="1:8" x14ac:dyDescent="0.35">
      <c r="A566" s="90" t="e">
        <f>VLOOKUP(E566,'Validation List'!F567:G962,2,FALSE)</f>
        <v>#N/A</v>
      </c>
      <c r="B566" s="90" t="e">
        <f>INDEX('NEW HIRE ROSTER'!$G:$G,MATCH(RAW!F566,'NEW HIRE ROSTER'!$A:$A,0))</f>
        <v>#N/A</v>
      </c>
      <c r="C566" s="90" t="e">
        <f>INDEX('NEW HIRE ROSTER'!$F:$F,MATCH(RAW!F566,'NEW HIRE ROSTER'!$A:$A,0))</f>
        <v>#N/A</v>
      </c>
      <c r="D566" s="90" t="e">
        <f>INDEX('Validation List'!$H:$H,MATCH(RAW!E566,'Validation List'!$F:$F,0))</f>
        <v>#N/A</v>
      </c>
      <c r="G566" s="90" t="e">
        <f>VLOOKUP(F566,ML!C550:D1148,2,FALSE)</f>
        <v>#N/A</v>
      </c>
      <c r="H566" s="90" t="e">
        <f>VLOOKUP(F566,ML!C550:E1148,3,FALSE)</f>
        <v>#N/A</v>
      </c>
    </row>
    <row r="567" spans="1:8" x14ac:dyDescent="0.35">
      <c r="A567" s="90" t="e">
        <f>VLOOKUP(E567,'Validation List'!F568:G963,2,FALSE)</f>
        <v>#N/A</v>
      </c>
      <c r="B567" s="90" t="e">
        <f>INDEX('NEW HIRE ROSTER'!$G:$G,MATCH(RAW!F567,'NEW HIRE ROSTER'!$A:$A,0))</f>
        <v>#N/A</v>
      </c>
      <c r="C567" s="90" t="e">
        <f>INDEX('NEW HIRE ROSTER'!$F:$F,MATCH(RAW!F567,'NEW HIRE ROSTER'!$A:$A,0))</f>
        <v>#N/A</v>
      </c>
      <c r="D567" s="90" t="e">
        <f>INDEX('Validation List'!$H:$H,MATCH(RAW!E567,'Validation List'!$F:$F,0))</f>
        <v>#N/A</v>
      </c>
      <c r="G567" s="90" t="e">
        <f>VLOOKUP(F567,ML!C551:D1149,2,FALSE)</f>
        <v>#N/A</v>
      </c>
      <c r="H567" s="90" t="e">
        <f>VLOOKUP(F567,ML!C551:E1149,3,FALSE)</f>
        <v>#N/A</v>
      </c>
    </row>
    <row r="568" spans="1:8" x14ac:dyDescent="0.35">
      <c r="A568" s="90" t="e">
        <f>VLOOKUP(E568,'Validation List'!F569:G964,2,FALSE)</f>
        <v>#N/A</v>
      </c>
      <c r="B568" s="90" t="e">
        <f>INDEX('NEW HIRE ROSTER'!$G:$G,MATCH(RAW!F568,'NEW HIRE ROSTER'!$A:$A,0))</f>
        <v>#N/A</v>
      </c>
      <c r="C568" s="90" t="e">
        <f>INDEX('NEW HIRE ROSTER'!$F:$F,MATCH(RAW!F568,'NEW HIRE ROSTER'!$A:$A,0))</f>
        <v>#N/A</v>
      </c>
      <c r="D568" s="90" t="e">
        <f>INDEX('Validation List'!$H:$H,MATCH(RAW!E568,'Validation List'!$F:$F,0))</f>
        <v>#N/A</v>
      </c>
      <c r="G568" s="90" t="e">
        <f>VLOOKUP(F568,ML!C552:D1150,2,FALSE)</f>
        <v>#N/A</v>
      </c>
      <c r="H568" s="90" t="e">
        <f>VLOOKUP(F568,ML!C552:E1150,3,FALSE)</f>
        <v>#N/A</v>
      </c>
    </row>
    <row r="569" spans="1:8" x14ac:dyDescent="0.35">
      <c r="A569" s="90" t="e">
        <f>VLOOKUP(E569,'Validation List'!F570:G965,2,FALSE)</f>
        <v>#N/A</v>
      </c>
      <c r="B569" s="90" t="e">
        <f>INDEX('NEW HIRE ROSTER'!$G:$G,MATCH(RAW!F569,'NEW HIRE ROSTER'!$A:$A,0))</f>
        <v>#N/A</v>
      </c>
      <c r="C569" s="90" t="e">
        <f>INDEX('NEW HIRE ROSTER'!$F:$F,MATCH(RAW!F569,'NEW HIRE ROSTER'!$A:$A,0))</f>
        <v>#N/A</v>
      </c>
      <c r="D569" s="90" t="e">
        <f>INDEX('Validation List'!$H:$H,MATCH(RAW!E569,'Validation List'!$F:$F,0))</f>
        <v>#N/A</v>
      </c>
      <c r="G569" s="90" t="e">
        <f>VLOOKUP(F569,ML!C553:D1151,2,FALSE)</f>
        <v>#N/A</v>
      </c>
      <c r="H569" s="90" t="e">
        <f>VLOOKUP(F569,ML!C553:E1151,3,FALSE)</f>
        <v>#N/A</v>
      </c>
    </row>
    <row r="570" spans="1:8" x14ac:dyDescent="0.35">
      <c r="A570" s="90" t="e">
        <f>VLOOKUP(E570,'Validation List'!F571:G966,2,FALSE)</f>
        <v>#N/A</v>
      </c>
      <c r="B570" s="90" t="e">
        <f>INDEX('NEW HIRE ROSTER'!$G:$G,MATCH(RAW!F570,'NEW HIRE ROSTER'!$A:$A,0))</f>
        <v>#N/A</v>
      </c>
      <c r="C570" s="90" t="e">
        <f>INDEX('NEW HIRE ROSTER'!$F:$F,MATCH(RAW!F570,'NEW HIRE ROSTER'!$A:$A,0))</f>
        <v>#N/A</v>
      </c>
      <c r="D570" s="90" t="e">
        <f>INDEX('Validation List'!$H:$H,MATCH(RAW!E570,'Validation List'!$F:$F,0))</f>
        <v>#N/A</v>
      </c>
      <c r="G570" s="90" t="e">
        <f>VLOOKUP(F570,ML!C554:D1152,2,FALSE)</f>
        <v>#N/A</v>
      </c>
      <c r="H570" s="90" t="e">
        <f>VLOOKUP(F570,ML!C554:E1152,3,FALSE)</f>
        <v>#N/A</v>
      </c>
    </row>
    <row r="571" spans="1:8" x14ac:dyDescent="0.35">
      <c r="A571" s="90" t="e">
        <f>VLOOKUP(E571,'Validation List'!F572:G967,2,FALSE)</f>
        <v>#N/A</v>
      </c>
      <c r="B571" s="90" t="e">
        <f>INDEX('NEW HIRE ROSTER'!$G:$G,MATCH(RAW!F571,'NEW HIRE ROSTER'!$A:$A,0))</f>
        <v>#N/A</v>
      </c>
      <c r="C571" s="90" t="e">
        <f>INDEX('NEW HIRE ROSTER'!$F:$F,MATCH(RAW!F571,'NEW HIRE ROSTER'!$A:$A,0))</f>
        <v>#N/A</v>
      </c>
      <c r="D571" s="90" t="e">
        <f>INDEX('Validation List'!$H:$H,MATCH(RAW!E571,'Validation List'!$F:$F,0))</f>
        <v>#N/A</v>
      </c>
      <c r="G571" s="90" t="e">
        <f>VLOOKUP(F571,ML!C555:D1153,2,FALSE)</f>
        <v>#N/A</v>
      </c>
      <c r="H571" s="90" t="e">
        <f>VLOOKUP(F571,ML!C555:E1153,3,FALSE)</f>
        <v>#N/A</v>
      </c>
    </row>
    <row r="572" spans="1:8" x14ac:dyDescent="0.35">
      <c r="A572" s="90" t="e">
        <f>VLOOKUP(E572,'Validation List'!F573:G968,2,FALSE)</f>
        <v>#N/A</v>
      </c>
      <c r="B572" s="90" t="e">
        <f>INDEX('NEW HIRE ROSTER'!$G:$G,MATCH(RAW!F572,'NEW HIRE ROSTER'!$A:$A,0))</f>
        <v>#N/A</v>
      </c>
      <c r="C572" s="90" t="e">
        <f>INDEX('NEW HIRE ROSTER'!$F:$F,MATCH(RAW!F572,'NEW HIRE ROSTER'!$A:$A,0))</f>
        <v>#N/A</v>
      </c>
      <c r="D572" s="90" t="e">
        <f>INDEX('Validation List'!$H:$H,MATCH(RAW!E572,'Validation List'!$F:$F,0))</f>
        <v>#N/A</v>
      </c>
      <c r="G572" s="90" t="e">
        <f>VLOOKUP(F572,ML!C556:D1154,2,FALSE)</f>
        <v>#N/A</v>
      </c>
      <c r="H572" s="90" t="e">
        <f>VLOOKUP(F572,ML!C556:E1154,3,FALSE)</f>
        <v>#N/A</v>
      </c>
    </row>
    <row r="573" spans="1:8" x14ac:dyDescent="0.35">
      <c r="A573" s="90" t="e">
        <f>VLOOKUP(E573,'Validation List'!F574:G969,2,FALSE)</f>
        <v>#N/A</v>
      </c>
      <c r="B573" s="90" t="e">
        <f>INDEX('NEW HIRE ROSTER'!$G:$G,MATCH(RAW!F573,'NEW HIRE ROSTER'!$A:$A,0))</f>
        <v>#N/A</v>
      </c>
      <c r="C573" s="90" t="e">
        <f>INDEX('NEW HIRE ROSTER'!$F:$F,MATCH(RAW!F573,'NEW HIRE ROSTER'!$A:$A,0))</f>
        <v>#N/A</v>
      </c>
      <c r="D573" s="90" t="e">
        <f>INDEX('Validation List'!$H:$H,MATCH(RAW!E573,'Validation List'!$F:$F,0))</f>
        <v>#N/A</v>
      </c>
      <c r="G573" s="90" t="e">
        <f>VLOOKUP(F573,ML!C557:D1155,2,FALSE)</f>
        <v>#N/A</v>
      </c>
      <c r="H573" s="90" t="e">
        <f>VLOOKUP(F573,ML!C557:E1155,3,FALSE)</f>
        <v>#N/A</v>
      </c>
    </row>
    <row r="574" spans="1:8" x14ac:dyDescent="0.35">
      <c r="A574" s="90" t="e">
        <f>VLOOKUP(E574,'Validation List'!F575:G970,2,FALSE)</f>
        <v>#N/A</v>
      </c>
      <c r="B574" s="90" t="e">
        <f>INDEX('NEW HIRE ROSTER'!$G:$G,MATCH(RAW!F574,'NEW HIRE ROSTER'!$A:$A,0))</f>
        <v>#N/A</v>
      </c>
      <c r="C574" s="90" t="e">
        <f>INDEX('NEW HIRE ROSTER'!$F:$F,MATCH(RAW!F574,'NEW HIRE ROSTER'!$A:$A,0))</f>
        <v>#N/A</v>
      </c>
      <c r="D574" s="90" t="e">
        <f>INDEX('Validation List'!$H:$H,MATCH(RAW!E574,'Validation List'!$F:$F,0))</f>
        <v>#N/A</v>
      </c>
      <c r="G574" s="90" t="e">
        <f>VLOOKUP(F574,ML!C558:D1156,2,FALSE)</f>
        <v>#N/A</v>
      </c>
      <c r="H574" s="90" t="e">
        <f>VLOOKUP(F574,ML!C558:E1156,3,FALSE)</f>
        <v>#N/A</v>
      </c>
    </row>
    <row r="575" spans="1:8" x14ac:dyDescent="0.35">
      <c r="A575" s="90" t="e">
        <f>VLOOKUP(E575,'Validation List'!F576:G971,2,FALSE)</f>
        <v>#N/A</v>
      </c>
      <c r="B575" s="90" t="e">
        <f>INDEX('NEW HIRE ROSTER'!$G:$G,MATCH(RAW!F575,'NEW HIRE ROSTER'!$A:$A,0))</f>
        <v>#N/A</v>
      </c>
      <c r="C575" s="90" t="e">
        <f>INDEX('NEW HIRE ROSTER'!$F:$F,MATCH(RAW!F575,'NEW HIRE ROSTER'!$A:$A,0))</f>
        <v>#N/A</v>
      </c>
      <c r="D575" s="90" t="e">
        <f>INDEX('Validation List'!$H:$H,MATCH(RAW!E575,'Validation List'!$F:$F,0))</f>
        <v>#N/A</v>
      </c>
      <c r="G575" s="90" t="e">
        <f>VLOOKUP(F575,ML!C559:D1157,2,FALSE)</f>
        <v>#N/A</v>
      </c>
      <c r="H575" s="90" t="e">
        <f>VLOOKUP(F575,ML!C559:E1157,3,FALSE)</f>
        <v>#N/A</v>
      </c>
    </row>
    <row r="576" spans="1:8" x14ac:dyDescent="0.35">
      <c r="A576" s="90" t="e">
        <f>VLOOKUP(E576,'Validation List'!F577:G972,2,FALSE)</f>
        <v>#N/A</v>
      </c>
      <c r="B576" s="90" t="e">
        <f>INDEX('NEW HIRE ROSTER'!$G:$G,MATCH(RAW!F576,'NEW HIRE ROSTER'!$A:$A,0))</f>
        <v>#N/A</v>
      </c>
      <c r="C576" s="90" t="e">
        <f>INDEX('NEW HIRE ROSTER'!$F:$F,MATCH(RAW!F576,'NEW HIRE ROSTER'!$A:$A,0))</f>
        <v>#N/A</v>
      </c>
      <c r="D576" s="90" t="e">
        <f>INDEX('Validation List'!$H:$H,MATCH(RAW!E576,'Validation List'!$F:$F,0))</f>
        <v>#N/A</v>
      </c>
      <c r="G576" s="90" t="e">
        <f>VLOOKUP(F576,ML!C560:D1158,2,FALSE)</f>
        <v>#N/A</v>
      </c>
      <c r="H576" s="90" t="e">
        <f>VLOOKUP(F576,ML!C560:E1158,3,FALSE)</f>
        <v>#N/A</v>
      </c>
    </row>
    <row r="577" spans="1:8" x14ac:dyDescent="0.35">
      <c r="A577" s="90" t="e">
        <f>VLOOKUP(E577,'Validation List'!F578:G973,2,FALSE)</f>
        <v>#N/A</v>
      </c>
      <c r="B577" s="90" t="e">
        <f>INDEX('NEW HIRE ROSTER'!$G:$G,MATCH(RAW!F577,'NEW HIRE ROSTER'!$A:$A,0))</f>
        <v>#N/A</v>
      </c>
      <c r="C577" s="90" t="e">
        <f>INDEX('NEW HIRE ROSTER'!$F:$F,MATCH(RAW!F577,'NEW HIRE ROSTER'!$A:$A,0))</f>
        <v>#N/A</v>
      </c>
      <c r="D577" s="90" t="e">
        <f>INDEX('Validation List'!$H:$H,MATCH(RAW!E577,'Validation List'!$F:$F,0))</f>
        <v>#N/A</v>
      </c>
      <c r="G577" s="90" t="e">
        <f>VLOOKUP(F577,ML!C561:D1159,2,FALSE)</f>
        <v>#N/A</v>
      </c>
      <c r="H577" s="90" t="e">
        <f>VLOOKUP(F577,ML!C561:E1159,3,FALSE)</f>
        <v>#N/A</v>
      </c>
    </row>
    <row r="578" spans="1:8" x14ac:dyDescent="0.35">
      <c r="A578" s="90" t="e">
        <f>VLOOKUP(E578,'Validation List'!F579:G974,2,FALSE)</f>
        <v>#N/A</v>
      </c>
      <c r="B578" s="90" t="e">
        <f>INDEX('NEW HIRE ROSTER'!$G:$G,MATCH(RAW!F578,'NEW HIRE ROSTER'!$A:$A,0))</f>
        <v>#N/A</v>
      </c>
      <c r="C578" s="90" t="e">
        <f>INDEX('NEW HIRE ROSTER'!$F:$F,MATCH(RAW!F578,'NEW HIRE ROSTER'!$A:$A,0))</f>
        <v>#N/A</v>
      </c>
      <c r="D578" s="90" t="e">
        <f>INDEX('Validation List'!$H:$H,MATCH(RAW!E578,'Validation List'!$F:$F,0))</f>
        <v>#N/A</v>
      </c>
      <c r="G578" s="90" t="e">
        <f>VLOOKUP(F578,ML!C562:D1160,2,FALSE)</f>
        <v>#N/A</v>
      </c>
      <c r="H578" s="90" t="e">
        <f>VLOOKUP(F578,ML!C562:E1160,3,FALSE)</f>
        <v>#N/A</v>
      </c>
    </row>
    <row r="579" spans="1:8" x14ac:dyDescent="0.35">
      <c r="A579" s="90" t="e">
        <f>VLOOKUP(E579,'Validation List'!F580:G975,2,FALSE)</f>
        <v>#N/A</v>
      </c>
      <c r="B579" s="90" t="e">
        <f>INDEX('NEW HIRE ROSTER'!$G:$G,MATCH(RAW!F579,'NEW HIRE ROSTER'!$A:$A,0))</f>
        <v>#N/A</v>
      </c>
      <c r="C579" s="90" t="e">
        <f>INDEX('NEW HIRE ROSTER'!$F:$F,MATCH(RAW!F579,'NEW HIRE ROSTER'!$A:$A,0))</f>
        <v>#N/A</v>
      </c>
      <c r="D579" s="90" t="e">
        <f>INDEX('Validation List'!$H:$H,MATCH(RAW!E579,'Validation List'!$F:$F,0))</f>
        <v>#N/A</v>
      </c>
      <c r="G579" s="90" t="e">
        <f>VLOOKUP(F579,ML!C563:D1161,2,FALSE)</f>
        <v>#N/A</v>
      </c>
      <c r="H579" s="90" t="e">
        <f>VLOOKUP(F579,ML!C563:E1161,3,FALSE)</f>
        <v>#N/A</v>
      </c>
    </row>
    <row r="580" spans="1:8" x14ac:dyDescent="0.35">
      <c r="A580" s="90" t="e">
        <f>VLOOKUP(E580,'Validation List'!F581:G976,2,FALSE)</f>
        <v>#N/A</v>
      </c>
      <c r="B580" s="90" t="e">
        <f>INDEX('NEW HIRE ROSTER'!$G:$G,MATCH(RAW!F580,'NEW HIRE ROSTER'!$A:$A,0))</f>
        <v>#N/A</v>
      </c>
      <c r="C580" s="90" t="e">
        <f>INDEX('NEW HIRE ROSTER'!$F:$F,MATCH(RAW!F580,'NEW HIRE ROSTER'!$A:$A,0))</f>
        <v>#N/A</v>
      </c>
      <c r="D580" s="90" t="e">
        <f>INDEX('Validation List'!$H:$H,MATCH(RAW!E580,'Validation List'!$F:$F,0))</f>
        <v>#N/A</v>
      </c>
      <c r="G580" s="90" t="e">
        <f>VLOOKUP(F580,ML!C564:D1162,2,FALSE)</f>
        <v>#N/A</v>
      </c>
      <c r="H580" s="90" t="e">
        <f>VLOOKUP(F580,ML!C564:E1162,3,FALSE)</f>
        <v>#N/A</v>
      </c>
    </row>
    <row r="581" spans="1:8" x14ac:dyDescent="0.35">
      <c r="A581" s="90" t="e">
        <f>VLOOKUP(E581,'Validation List'!F582:G977,2,FALSE)</f>
        <v>#N/A</v>
      </c>
      <c r="B581" s="90" t="e">
        <f>INDEX('NEW HIRE ROSTER'!$G:$G,MATCH(RAW!F581,'NEW HIRE ROSTER'!$A:$A,0))</f>
        <v>#N/A</v>
      </c>
      <c r="C581" s="90" t="e">
        <f>INDEX('NEW HIRE ROSTER'!$F:$F,MATCH(RAW!F581,'NEW HIRE ROSTER'!$A:$A,0))</f>
        <v>#N/A</v>
      </c>
      <c r="D581" s="90" t="e">
        <f>INDEX('Validation List'!$H:$H,MATCH(RAW!E581,'Validation List'!$F:$F,0))</f>
        <v>#N/A</v>
      </c>
      <c r="G581" s="90" t="e">
        <f>VLOOKUP(F581,ML!C565:D1163,2,FALSE)</f>
        <v>#N/A</v>
      </c>
      <c r="H581" s="90" t="e">
        <f>VLOOKUP(F581,ML!C565:E1163,3,FALSE)</f>
        <v>#N/A</v>
      </c>
    </row>
    <row r="582" spans="1:8" x14ac:dyDescent="0.35">
      <c r="A582" s="90" t="e">
        <f>VLOOKUP(E582,'Validation List'!F583:G978,2,FALSE)</f>
        <v>#N/A</v>
      </c>
      <c r="B582" s="90" t="e">
        <f>INDEX('NEW HIRE ROSTER'!$G:$G,MATCH(RAW!F582,'NEW HIRE ROSTER'!$A:$A,0))</f>
        <v>#N/A</v>
      </c>
      <c r="C582" s="90" t="e">
        <f>INDEX('NEW HIRE ROSTER'!$F:$F,MATCH(RAW!F582,'NEW HIRE ROSTER'!$A:$A,0))</f>
        <v>#N/A</v>
      </c>
      <c r="D582" s="90" t="e">
        <f>INDEX('Validation List'!$H:$H,MATCH(RAW!E582,'Validation List'!$F:$F,0))</f>
        <v>#N/A</v>
      </c>
      <c r="G582" s="90" t="e">
        <f>VLOOKUP(F582,ML!C566:D1164,2,FALSE)</f>
        <v>#N/A</v>
      </c>
      <c r="H582" s="90" t="e">
        <f>VLOOKUP(F582,ML!C566:E1164,3,FALSE)</f>
        <v>#N/A</v>
      </c>
    </row>
    <row r="583" spans="1:8" x14ac:dyDescent="0.35">
      <c r="A583" s="90" t="e">
        <f>VLOOKUP(E583,'Validation List'!F584:G979,2,FALSE)</f>
        <v>#N/A</v>
      </c>
      <c r="B583" s="90" t="e">
        <f>INDEX('NEW HIRE ROSTER'!$G:$G,MATCH(RAW!F583,'NEW HIRE ROSTER'!$A:$A,0))</f>
        <v>#N/A</v>
      </c>
      <c r="C583" s="90" t="e">
        <f>INDEX('NEW HIRE ROSTER'!$F:$F,MATCH(RAW!F583,'NEW HIRE ROSTER'!$A:$A,0))</f>
        <v>#N/A</v>
      </c>
      <c r="D583" s="90" t="e">
        <f>INDEX('Validation List'!$H:$H,MATCH(RAW!E583,'Validation List'!$F:$F,0))</f>
        <v>#N/A</v>
      </c>
      <c r="G583" s="90" t="e">
        <f>VLOOKUP(F583,ML!C567:D1165,2,FALSE)</f>
        <v>#N/A</v>
      </c>
      <c r="H583" s="90" t="e">
        <f>VLOOKUP(F583,ML!C567:E1165,3,FALSE)</f>
        <v>#N/A</v>
      </c>
    </row>
    <row r="584" spans="1:8" x14ac:dyDescent="0.35">
      <c r="A584" s="90" t="e">
        <f>VLOOKUP(E584,'Validation List'!F585:G980,2,FALSE)</f>
        <v>#N/A</v>
      </c>
      <c r="B584" s="90" t="e">
        <f>INDEX('NEW HIRE ROSTER'!$G:$G,MATCH(RAW!F584,'NEW HIRE ROSTER'!$A:$A,0))</f>
        <v>#N/A</v>
      </c>
      <c r="C584" s="90" t="e">
        <f>INDEX('NEW HIRE ROSTER'!$F:$F,MATCH(RAW!F584,'NEW HIRE ROSTER'!$A:$A,0))</f>
        <v>#N/A</v>
      </c>
      <c r="D584" s="90" t="e">
        <f>INDEX('Validation List'!$H:$H,MATCH(RAW!E584,'Validation List'!$F:$F,0))</f>
        <v>#N/A</v>
      </c>
      <c r="G584" s="90" t="e">
        <f>VLOOKUP(F584,ML!C568:D1166,2,FALSE)</f>
        <v>#N/A</v>
      </c>
      <c r="H584" s="90" t="e">
        <f>VLOOKUP(F584,ML!C568:E1166,3,FALSE)</f>
        <v>#N/A</v>
      </c>
    </row>
    <row r="585" spans="1:8" x14ac:dyDescent="0.35">
      <c r="A585" s="90" t="e">
        <f>VLOOKUP(E585,'Validation List'!F586:G981,2,FALSE)</f>
        <v>#N/A</v>
      </c>
      <c r="B585" s="90" t="e">
        <f>INDEX('NEW HIRE ROSTER'!$G:$G,MATCH(RAW!F585,'NEW HIRE ROSTER'!$A:$A,0))</f>
        <v>#N/A</v>
      </c>
      <c r="C585" s="90" t="e">
        <f>INDEX('NEW HIRE ROSTER'!$F:$F,MATCH(RAW!F585,'NEW HIRE ROSTER'!$A:$A,0))</f>
        <v>#N/A</v>
      </c>
      <c r="D585" s="90" t="e">
        <f>INDEX('Validation List'!$H:$H,MATCH(RAW!E585,'Validation List'!$F:$F,0))</f>
        <v>#N/A</v>
      </c>
      <c r="G585" s="90" t="e">
        <f>VLOOKUP(F585,ML!C569:D1167,2,FALSE)</f>
        <v>#N/A</v>
      </c>
      <c r="H585" s="90" t="e">
        <f>VLOOKUP(F585,ML!C569:E1167,3,FALSE)</f>
        <v>#N/A</v>
      </c>
    </row>
    <row r="586" spans="1:8" x14ac:dyDescent="0.35">
      <c r="A586" s="90" t="e">
        <f>VLOOKUP(E586,'Validation List'!F587:G982,2,FALSE)</f>
        <v>#N/A</v>
      </c>
      <c r="B586" s="90" t="e">
        <f>INDEX('NEW HIRE ROSTER'!$G:$G,MATCH(RAW!F586,'NEW HIRE ROSTER'!$A:$A,0))</f>
        <v>#N/A</v>
      </c>
      <c r="C586" s="90" t="e">
        <f>INDEX('NEW HIRE ROSTER'!$F:$F,MATCH(RAW!F586,'NEW HIRE ROSTER'!$A:$A,0))</f>
        <v>#N/A</v>
      </c>
      <c r="D586" s="90" t="e">
        <f>INDEX('Validation List'!$H:$H,MATCH(RAW!E586,'Validation List'!$F:$F,0))</f>
        <v>#N/A</v>
      </c>
      <c r="G586" s="90" t="e">
        <f>VLOOKUP(F586,ML!C570:D1168,2,FALSE)</f>
        <v>#N/A</v>
      </c>
      <c r="H586" s="90" t="e">
        <f>VLOOKUP(F586,ML!C570:E1168,3,FALSE)</f>
        <v>#N/A</v>
      </c>
    </row>
    <row r="587" spans="1:8" x14ac:dyDescent="0.35">
      <c r="A587" s="90" t="e">
        <f>VLOOKUP(E587,'Validation List'!F588:G983,2,FALSE)</f>
        <v>#N/A</v>
      </c>
      <c r="B587" s="90" t="e">
        <f>INDEX('NEW HIRE ROSTER'!$G:$G,MATCH(RAW!F587,'NEW HIRE ROSTER'!$A:$A,0))</f>
        <v>#N/A</v>
      </c>
      <c r="C587" s="90" t="e">
        <f>INDEX('NEW HIRE ROSTER'!$F:$F,MATCH(RAW!F587,'NEW HIRE ROSTER'!$A:$A,0))</f>
        <v>#N/A</v>
      </c>
      <c r="D587" s="90" t="e">
        <f>INDEX('Validation List'!$H:$H,MATCH(RAW!E587,'Validation List'!$F:$F,0))</f>
        <v>#N/A</v>
      </c>
      <c r="G587" s="90" t="e">
        <f>VLOOKUP(F587,ML!C571:D1169,2,FALSE)</f>
        <v>#N/A</v>
      </c>
      <c r="H587" s="90" t="e">
        <f>VLOOKUP(F587,ML!C571:E1169,3,FALSE)</f>
        <v>#N/A</v>
      </c>
    </row>
    <row r="588" spans="1:8" x14ac:dyDescent="0.35">
      <c r="A588" s="90" t="e">
        <f>VLOOKUP(E588,'Validation List'!F589:G984,2,FALSE)</f>
        <v>#N/A</v>
      </c>
      <c r="B588" s="90" t="e">
        <f>INDEX('NEW HIRE ROSTER'!$G:$G,MATCH(RAW!F588,'NEW HIRE ROSTER'!$A:$A,0))</f>
        <v>#N/A</v>
      </c>
      <c r="C588" s="90" t="e">
        <f>INDEX('NEW HIRE ROSTER'!$F:$F,MATCH(RAW!F588,'NEW HIRE ROSTER'!$A:$A,0))</f>
        <v>#N/A</v>
      </c>
      <c r="D588" s="90" t="e">
        <f>INDEX('Validation List'!$H:$H,MATCH(RAW!E588,'Validation List'!$F:$F,0))</f>
        <v>#N/A</v>
      </c>
      <c r="G588" s="90" t="e">
        <f>VLOOKUP(F588,ML!C572:D1170,2,FALSE)</f>
        <v>#N/A</v>
      </c>
      <c r="H588" s="90" t="e">
        <f>VLOOKUP(F588,ML!C572:E1170,3,FALSE)</f>
        <v>#N/A</v>
      </c>
    </row>
    <row r="589" spans="1:8" x14ac:dyDescent="0.35">
      <c r="A589" s="90" t="e">
        <f>VLOOKUP(E589,'Validation List'!F590:G985,2,FALSE)</f>
        <v>#N/A</v>
      </c>
      <c r="B589" s="90" t="e">
        <f>INDEX('NEW HIRE ROSTER'!$G:$G,MATCH(RAW!F589,'NEW HIRE ROSTER'!$A:$A,0))</f>
        <v>#N/A</v>
      </c>
      <c r="C589" s="90" t="e">
        <f>INDEX('NEW HIRE ROSTER'!$F:$F,MATCH(RAW!F589,'NEW HIRE ROSTER'!$A:$A,0))</f>
        <v>#N/A</v>
      </c>
      <c r="D589" s="90" t="e">
        <f>INDEX('Validation List'!$H:$H,MATCH(RAW!E589,'Validation List'!$F:$F,0))</f>
        <v>#N/A</v>
      </c>
      <c r="G589" s="90" t="e">
        <f>VLOOKUP(F589,ML!C573:D1171,2,FALSE)</f>
        <v>#N/A</v>
      </c>
      <c r="H589" s="90" t="e">
        <f>VLOOKUP(F589,ML!C573:E1171,3,FALSE)</f>
        <v>#N/A</v>
      </c>
    </row>
    <row r="590" spans="1:8" x14ac:dyDescent="0.35">
      <c r="A590" s="90" t="e">
        <f>VLOOKUP(E590,'Validation List'!F591:G986,2,FALSE)</f>
        <v>#N/A</v>
      </c>
      <c r="B590" s="90" t="e">
        <f>INDEX('NEW HIRE ROSTER'!$G:$G,MATCH(RAW!F590,'NEW HIRE ROSTER'!$A:$A,0))</f>
        <v>#N/A</v>
      </c>
      <c r="C590" s="90" t="e">
        <f>INDEX('NEW HIRE ROSTER'!$F:$F,MATCH(RAW!F590,'NEW HIRE ROSTER'!$A:$A,0))</f>
        <v>#N/A</v>
      </c>
      <c r="D590" s="90" t="e">
        <f>INDEX('Validation List'!$H:$H,MATCH(RAW!E590,'Validation List'!$F:$F,0))</f>
        <v>#N/A</v>
      </c>
      <c r="G590" s="90" t="e">
        <f>VLOOKUP(F590,ML!C574:D1172,2,FALSE)</f>
        <v>#N/A</v>
      </c>
      <c r="H590" s="90" t="e">
        <f>VLOOKUP(F590,ML!C574:E1172,3,FALSE)</f>
        <v>#N/A</v>
      </c>
    </row>
    <row r="591" spans="1:8" x14ac:dyDescent="0.35">
      <c r="A591" s="90" t="e">
        <f>VLOOKUP(E591,'Validation List'!F592:G987,2,FALSE)</f>
        <v>#N/A</v>
      </c>
      <c r="B591" s="90" t="e">
        <f>INDEX('NEW HIRE ROSTER'!$G:$G,MATCH(RAW!F591,'NEW HIRE ROSTER'!$A:$A,0))</f>
        <v>#N/A</v>
      </c>
      <c r="C591" s="90" t="e">
        <f>INDEX('NEW HIRE ROSTER'!$F:$F,MATCH(RAW!F591,'NEW HIRE ROSTER'!$A:$A,0))</f>
        <v>#N/A</v>
      </c>
      <c r="D591" s="90" t="e">
        <f>INDEX('Validation List'!$H:$H,MATCH(RAW!E591,'Validation List'!$F:$F,0))</f>
        <v>#N/A</v>
      </c>
      <c r="G591" s="90" t="e">
        <f>VLOOKUP(F591,ML!C575:D1173,2,FALSE)</f>
        <v>#N/A</v>
      </c>
      <c r="H591" s="90" t="e">
        <f>VLOOKUP(F591,ML!C575:E1173,3,FALSE)</f>
        <v>#N/A</v>
      </c>
    </row>
    <row r="592" spans="1:8" x14ac:dyDescent="0.35">
      <c r="A592" s="90" t="e">
        <f>VLOOKUP(E592,'Validation List'!F593:G988,2,FALSE)</f>
        <v>#N/A</v>
      </c>
      <c r="B592" s="90" t="e">
        <f>INDEX('NEW HIRE ROSTER'!$G:$G,MATCH(RAW!F592,'NEW HIRE ROSTER'!$A:$A,0))</f>
        <v>#N/A</v>
      </c>
      <c r="C592" s="90" t="e">
        <f>INDEX('NEW HIRE ROSTER'!$F:$F,MATCH(RAW!F592,'NEW HIRE ROSTER'!$A:$A,0))</f>
        <v>#N/A</v>
      </c>
      <c r="D592" s="90" t="e">
        <f>INDEX('Validation List'!$H:$H,MATCH(RAW!E592,'Validation List'!$F:$F,0))</f>
        <v>#N/A</v>
      </c>
      <c r="G592" s="90" t="e">
        <f>VLOOKUP(F592,ML!C576:D1174,2,FALSE)</f>
        <v>#N/A</v>
      </c>
      <c r="H592" s="90" t="e">
        <f>VLOOKUP(F592,ML!C576:E1174,3,FALSE)</f>
        <v>#N/A</v>
      </c>
    </row>
    <row r="593" spans="1:8" x14ac:dyDescent="0.35">
      <c r="A593" s="90" t="e">
        <f>VLOOKUP(E593,'Validation List'!F594:G989,2,FALSE)</f>
        <v>#N/A</v>
      </c>
      <c r="B593" s="90" t="e">
        <f>INDEX('NEW HIRE ROSTER'!$G:$G,MATCH(RAW!F593,'NEW HIRE ROSTER'!$A:$A,0))</f>
        <v>#N/A</v>
      </c>
      <c r="C593" s="90" t="e">
        <f>INDEX('NEW HIRE ROSTER'!$F:$F,MATCH(RAW!F593,'NEW HIRE ROSTER'!$A:$A,0))</f>
        <v>#N/A</v>
      </c>
      <c r="D593" s="90" t="e">
        <f>INDEX('Validation List'!$H:$H,MATCH(RAW!E593,'Validation List'!$F:$F,0))</f>
        <v>#N/A</v>
      </c>
      <c r="G593" s="90" t="e">
        <f>VLOOKUP(F593,ML!C577:D1175,2,FALSE)</f>
        <v>#N/A</v>
      </c>
      <c r="H593" s="90" t="e">
        <f>VLOOKUP(F593,ML!C577:E1175,3,FALSE)</f>
        <v>#N/A</v>
      </c>
    </row>
    <row r="594" spans="1:8" x14ac:dyDescent="0.35">
      <c r="A594" s="90" t="e">
        <f>VLOOKUP(E594,'Validation List'!F595:G990,2,FALSE)</f>
        <v>#N/A</v>
      </c>
      <c r="B594" s="90" t="e">
        <f>INDEX('NEW HIRE ROSTER'!$G:$G,MATCH(RAW!F594,'NEW HIRE ROSTER'!$A:$A,0))</f>
        <v>#N/A</v>
      </c>
      <c r="C594" s="90" t="e">
        <f>INDEX('NEW HIRE ROSTER'!$F:$F,MATCH(RAW!F594,'NEW HIRE ROSTER'!$A:$A,0))</f>
        <v>#N/A</v>
      </c>
      <c r="D594" s="90" t="e">
        <f>INDEX('Validation List'!$H:$H,MATCH(RAW!E594,'Validation List'!$F:$F,0))</f>
        <v>#N/A</v>
      </c>
      <c r="G594" s="90" t="e">
        <f>VLOOKUP(F594,ML!C578:D1176,2,FALSE)</f>
        <v>#N/A</v>
      </c>
      <c r="H594" s="90" t="e">
        <f>VLOOKUP(F594,ML!C578:E1176,3,FALSE)</f>
        <v>#N/A</v>
      </c>
    </row>
    <row r="595" spans="1:8" x14ac:dyDescent="0.35">
      <c r="A595" s="90" t="e">
        <f>VLOOKUP(E595,'Validation List'!F596:G991,2,FALSE)</f>
        <v>#N/A</v>
      </c>
      <c r="B595" s="90" t="e">
        <f>INDEX('NEW HIRE ROSTER'!$G:$G,MATCH(RAW!F595,'NEW HIRE ROSTER'!$A:$A,0))</f>
        <v>#N/A</v>
      </c>
      <c r="C595" s="90" t="e">
        <f>INDEX('NEW HIRE ROSTER'!$F:$F,MATCH(RAW!F595,'NEW HIRE ROSTER'!$A:$A,0))</f>
        <v>#N/A</v>
      </c>
      <c r="D595" s="90" t="e">
        <f>INDEX('Validation List'!$H:$H,MATCH(RAW!E595,'Validation List'!$F:$F,0))</f>
        <v>#N/A</v>
      </c>
      <c r="G595" s="90" t="e">
        <f>VLOOKUP(F595,ML!C579:D1177,2,FALSE)</f>
        <v>#N/A</v>
      </c>
      <c r="H595" s="90" t="e">
        <f>VLOOKUP(F595,ML!C579:E1177,3,FALSE)</f>
        <v>#N/A</v>
      </c>
    </row>
    <row r="596" spans="1:8" x14ac:dyDescent="0.35">
      <c r="A596" s="90" t="e">
        <f>VLOOKUP(E596,'Validation List'!F597:G992,2,FALSE)</f>
        <v>#N/A</v>
      </c>
      <c r="B596" s="90" t="e">
        <f>INDEX('NEW HIRE ROSTER'!$G:$G,MATCH(RAW!F596,'NEW HIRE ROSTER'!$A:$A,0))</f>
        <v>#N/A</v>
      </c>
      <c r="C596" s="90" t="e">
        <f>INDEX('NEW HIRE ROSTER'!$F:$F,MATCH(RAW!F596,'NEW HIRE ROSTER'!$A:$A,0))</f>
        <v>#N/A</v>
      </c>
      <c r="D596" s="90" t="e">
        <f>INDEX('Validation List'!$H:$H,MATCH(RAW!E596,'Validation List'!$F:$F,0))</f>
        <v>#N/A</v>
      </c>
      <c r="G596" s="90" t="e">
        <f>VLOOKUP(F596,ML!C580:D1178,2,FALSE)</f>
        <v>#N/A</v>
      </c>
      <c r="H596" s="90" t="e">
        <f>VLOOKUP(F596,ML!C580:E1178,3,FALSE)</f>
        <v>#N/A</v>
      </c>
    </row>
    <row r="597" spans="1:8" x14ac:dyDescent="0.35">
      <c r="A597" s="90" t="e">
        <f>VLOOKUP(E597,'Validation List'!F598:G993,2,FALSE)</f>
        <v>#N/A</v>
      </c>
      <c r="B597" s="90" t="e">
        <f>INDEX('NEW HIRE ROSTER'!$G:$G,MATCH(RAW!F597,'NEW HIRE ROSTER'!$A:$A,0))</f>
        <v>#N/A</v>
      </c>
      <c r="C597" s="90" t="e">
        <f>INDEX('NEW HIRE ROSTER'!$F:$F,MATCH(RAW!F597,'NEW HIRE ROSTER'!$A:$A,0))</f>
        <v>#N/A</v>
      </c>
      <c r="D597" s="90" t="e">
        <f>INDEX('Validation List'!$H:$H,MATCH(RAW!E597,'Validation List'!$F:$F,0))</f>
        <v>#N/A</v>
      </c>
      <c r="G597" s="90" t="e">
        <f>VLOOKUP(F597,ML!C581:D1179,2,FALSE)</f>
        <v>#N/A</v>
      </c>
      <c r="H597" s="90" t="e">
        <f>VLOOKUP(F597,ML!C581:E1179,3,FALSE)</f>
        <v>#N/A</v>
      </c>
    </row>
    <row r="598" spans="1:8" x14ac:dyDescent="0.35">
      <c r="A598" s="90" t="e">
        <f>VLOOKUP(E598,'Validation List'!F599:G994,2,FALSE)</f>
        <v>#N/A</v>
      </c>
      <c r="B598" s="90" t="e">
        <f>INDEX('NEW HIRE ROSTER'!$G:$G,MATCH(RAW!F598,'NEW HIRE ROSTER'!$A:$A,0))</f>
        <v>#N/A</v>
      </c>
      <c r="C598" s="90" t="e">
        <f>INDEX('NEW HIRE ROSTER'!$F:$F,MATCH(RAW!F598,'NEW HIRE ROSTER'!$A:$A,0))</f>
        <v>#N/A</v>
      </c>
      <c r="D598" s="90" t="e">
        <f>INDEX('Validation List'!$H:$H,MATCH(RAW!E598,'Validation List'!$F:$F,0))</f>
        <v>#N/A</v>
      </c>
      <c r="G598" s="90" t="e">
        <f>VLOOKUP(F598,ML!C582:D1180,2,FALSE)</f>
        <v>#N/A</v>
      </c>
      <c r="H598" s="90" t="e">
        <f>VLOOKUP(F598,ML!C582:E1180,3,FALSE)</f>
        <v>#N/A</v>
      </c>
    </row>
    <row r="599" spans="1:8" x14ac:dyDescent="0.35">
      <c r="A599" s="90" t="e">
        <f>VLOOKUP(E599,'Validation List'!F600:G995,2,FALSE)</f>
        <v>#N/A</v>
      </c>
      <c r="B599" s="90" t="e">
        <f>INDEX('NEW HIRE ROSTER'!$G:$G,MATCH(RAW!F599,'NEW HIRE ROSTER'!$A:$A,0))</f>
        <v>#N/A</v>
      </c>
      <c r="C599" s="90" t="e">
        <f>INDEX('NEW HIRE ROSTER'!$F:$F,MATCH(RAW!F599,'NEW HIRE ROSTER'!$A:$A,0))</f>
        <v>#N/A</v>
      </c>
      <c r="D599" s="90" t="e">
        <f>INDEX('Validation List'!$H:$H,MATCH(RAW!E599,'Validation List'!$F:$F,0))</f>
        <v>#N/A</v>
      </c>
      <c r="G599" s="90" t="e">
        <f>VLOOKUP(F599,ML!C583:D1181,2,FALSE)</f>
        <v>#N/A</v>
      </c>
      <c r="H599" s="90" t="e">
        <f>VLOOKUP(F599,ML!C583:E1181,3,FALSE)</f>
        <v>#N/A</v>
      </c>
    </row>
    <row r="600" spans="1:8" x14ac:dyDescent="0.35">
      <c r="A600" s="90" t="e">
        <f>VLOOKUP(E600,'Validation List'!F601:G996,2,FALSE)</f>
        <v>#N/A</v>
      </c>
      <c r="B600" s="90" t="e">
        <f>INDEX('NEW HIRE ROSTER'!$G:$G,MATCH(RAW!F600,'NEW HIRE ROSTER'!$A:$A,0))</f>
        <v>#N/A</v>
      </c>
      <c r="C600" s="90" t="e">
        <f>INDEX('NEW HIRE ROSTER'!$F:$F,MATCH(RAW!F600,'NEW HIRE ROSTER'!$A:$A,0))</f>
        <v>#N/A</v>
      </c>
      <c r="D600" s="90" t="e">
        <f>INDEX('Validation List'!$H:$H,MATCH(RAW!E600,'Validation List'!$F:$F,0))</f>
        <v>#N/A</v>
      </c>
      <c r="G600" s="90" t="e">
        <f>VLOOKUP(F600,ML!C584:D1182,2,FALSE)</f>
        <v>#N/A</v>
      </c>
      <c r="H600" s="90" t="e">
        <f>VLOOKUP(F600,ML!C584:E1182,3,FALSE)</f>
        <v>#N/A</v>
      </c>
    </row>
    <row r="601" spans="1:8" x14ac:dyDescent="0.35">
      <c r="A601" s="90" t="e">
        <f>VLOOKUP(E601,'Validation List'!F602:G997,2,FALSE)</f>
        <v>#N/A</v>
      </c>
      <c r="B601" s="90" t="e">
        <f>INDEX('NEW HIRE ROSTER'!$G:$G,MATCH(RAW!F601,'NEW HIRE ROSTER'!$A:$A,0))</f>
        <v>#N/A</v>
      </c>
      <c r="C601" s="90" t="e">
        <f>INDEX('NEW HIRE ROSTER'!$F:$F,MATCH(RAW!F601,'NEW HIRE ROSTER'!$A:$A,0))</f>
        <v>#N/A</v>
      </c>
      <c r="D601" s="90" t="e">
        <f>INDEX('Validation List'!$H:$H,MATCH(RAW!E601,'Validation List'!$F:$F,0))</f>
        <v>#N/A</v>
      </c>
      <c r="G601" s="90" t="e">
        <f>VLOOKUP(F601,ML!C585:D1183,2,FALSE)</f>
        <v>#N/A</v>
      </c>
      <c r="H601" s="90" t="e">
        <f>VLOOKUP(F601,ML!C585:E1183,3,FALSE)</f>
        <v>#N/A</v>
      </c>
    </row>
    <row r="602" spans="1:8" x14ac:dyDescent="0.35">
      <c r="A602" s="90" t="e">
        <f>VLOOKUP(E602,'Validation List'!F603:G998,2,FALSE)</f>
        <v>#N/A</v>
      </c>
      <c r="B602" s="90" t="e">
        <f>INDEX('NEW HIRE ROSTER'!$G:$G,MATCH(RAW!F602,'NEW HIRE ROSTER'!$A:$A,0))</f>
        <v>#N/A</v>
      </c>
      <c r="C602" s="90" t="e">
        <f>INDEX('NEW HIRE ROSTER'!$F:$F,MATCH(RAW!F602,'NEW HIRE ROSTER'!$A:$A,0))</f>
        <v>#N/A</v>
      </c>
      <c r="D602" s="90" t="e">
        <f>INDEX('Validation List'!$H:$H,MATCH(RAW!E602,'Validation List'!$F:$F,0))</f>
        <v>#N/A</v>
      </c>
      <c r="G602" s="90" t="e">
        <f>VLOOKUP(F602,ML!C586:D1184,2,FALSE)</f>
        <v>#N/A</v>
      </c>
      <c r="H602" s="90" t="e">
        <f>VLOOKUP(F602,ML!C586:E1184,3,FALSE)</f>
        <v>#N/A</v>
      </c>
    </row>
    <row r="603" spans="1:8" x14ac:dyDescent="0.35">
      <c r="A603" s="90" t="e">
        <f>VLOOKUP(E603,'Validation List'!F604:G999,2,FALSE)</f>
        <v>#N/A</v>
      </c>
      <c r="B603" s="90" t="e">
        <f>INDEX('NEW HIRE ROSTER'!$G:$G,MATCH(RAW!F603,'NEW HIRE ROSTER'!$A:$A,0))</f>
        <v>#N/A</v>
      </c>
      <c r="C603" s="90" t="e">
        <f>INDEX('NEW HIRE ROSTER'!$F:$F,MATCH(RAW!F603,'NEW HIRE ROSTER'!$A:$A,0))</f>
        <v>#N/A</v>
      </c>
      <c r="D603" s="90" t="e">
        <f>INDEX('Validation List'!$H:$H,MATCH(RAW!E603,'Validation List'!$F:$F,0))</f>
        <v>#N/A</v>
      </c>
      <c r="G603" s="90" t="e">
        <f>VLOOKUP(F603,ML!C587:D1185,2,FALSE)</f>
        <v>#N/A</v>
      </c>
      <c r="H603" s="90" t="e">
        <f>VLOOKUP(F603,ML!C587:E1185,3,FALSE)</f>
        <v>#N/A</v>
      </c>
    </row>
    <row r="604" spans="1:8" x14ac:dyDescent="0.35">
      <c r="A604" s="90" t="e">
        <f>VLOOKUP(E604,'Validation List'!F605:G1000,2,FALSE)</f>
        <v>#N/A</v>
      </c>
      <c r="B604" s="90" t="e">
        <f>INDEX('NEW HIRE ROSTER'!$G:$G,MATCH(RAW!F604,'NEW HIRE ROSTER'!$A:$A,0))</f>
        <v>#N/A</v>
      </c>
      <c r="C604" s="90" t="e">
        <f>INDEX('NEW HIRE ROSTER'!$F:$F,MATCH(RAW!F604,'NEW HIRE ROSTER'!$A:$A,0))</f>
        <v>#N/A</v>
      </c>
      <c r="D604" s="90" t="e">
        <f>INDEX('Validation List'!$H:$H,MATCH(RAW!E604,'Validation List'!$F:$F,0))</f>
        <v>#N/A</v>
      </c>
      <c r="G604" s="90" t="e">
        <f>VLOOKUP(F604,ML!C588:D1186,2,FALSE)</f>
        <v>#N/A</v>
      </c>
      <c r="H604" s="90" t="e">
        <f>VLOOKUP(F604,ML!C588:E1186,3,FALSE)</f>
        <v>#N/A</v>
      </c>
    </row>
    <row r="605" spans="1:8" x14ac:dyDescent="0.35">
      <c r="A605" s="90" t="e">
        <f>VLOOKUP(E605,'Validation List'!F606:G1001,2,FALSE)</f>
        <v>#N/A</v>
      </c>
      <c r="B605" s="90" t="e">
        <f>INDEX('NEW HIRE ROSTER'!$G:$G,MATCH(RAW!F605,'NEW HIRE ROSTER'!$A:$A,0))</f>
        <v>#N/A</v>
      </c>
      <c r="C605" s="90" t="e">
        <f>INDEX('NEW HIRE ROSTER'!$F:$F,MATCH(RAW!F605,'NEW HIRE ROSTER'!$A:$A,0))</f>
        <v>#N/A</v>
      </c>
      <c r="D605" s="90" t="e">
        <f>INDEX('Validation List'!$H:$H,MATCH(RAW!E605,'Validation List'!$F:$F,0))</f>
        <v>#N/A</v>
      </c>
      <c r="G605" s="90" t="e">
        <f>VLOOKUP(F605,ML!C589:D1187,2,FALSE)</f>
        <v>#N/A</v>
      </c>
      <c r="H605" s="90" t="e">
        <f>VLOOKUP(F605,ML!C589:E1187,3,FALSE)</f>
        <v>#N/A</v>
      </c>
    </row>
    <row r="606" spans="1:8" x14ac:dyDescent="0.35">
      <c r="A606" s="90" t="e">
        <f>VLOOKUP(E606,'Validation List'!F607:G1002,2,FALSE)</f>
        <v>#N/A</v>
      </c>
      <c r="B606" s="90" t="e">
        <f>INDEX('NEW HIRE ROSTER'!$G:$G,MATCH(RAW!F606,'NEW HIRE ROSTER'!$A:$A,0))</f>
        <v>#N/A</v>
      </c>
      <c r="C606" s="90" t="e">
        <f>INDEX('NEW HIRE ROSTER'!$F:$F,MATCH(RAW!F606,'NEW HIRE ROSTER'!$A:$A,0))</f>
        <v>#N/A</v>
      </c>
      <c r="D606" s="90" t="e">
        <f>INDEX('Validation List'!$H:$H,MATCH(RAW!E606,'Validation List'!$F:$F,0))</f>
        <v>#N/A</v>
      </c>
      <c r="G606" s="90" t="e">
        <f>VLOOKUP(F606,ML!C590:D1188,2,FALSE)</f>
        <v>#N/A</v>
      </c>
      <c r="H606" s="90" t="e">
        <f>VLOOKUP(F606,ML!C590:E1188,3,FALSE)</f>
        <v>#N/A</v>
      </c>
    </row>
    <row r="607" spans="1:8" x14ac:dyDescent="0.35">
      <c r="A607" s="90" t="e">
        <f>VLOOKUP(E607,'Validation List'!F608:G1003,2,FALSE)</f>
        <v>#N/A</v>
      </c>
      <c r="B607" s="90" t="e">
        <f>INDEX('NEW HIRE ROSTER'!$G:$G,MATCH(RAW!F607,'NEW HIRE ROSTER'!$A:$A,0))</f>
        <v>#N/A</v>
      </c>
      <c r="C607" s="90" t="e">
        <f>INDEX('NEW HIRE ROSTER'!$F:$F,MATCH(RAW!F607,'NEW HIRE ROSTER'!$A:$A,0))</f>
        <v>#N/A</v>
      </c>
      <c r="D607" s="90" t="e">
        <f>INDEX('Validation List'!$H:$H,MATCH(RAW!E607,'Validation List'!$F:$F,0))</f>
        <v>#N/A</v>
      </c>
      <c r="G607" s="90" t="e">
        <f>VLOOKUP(F607,ML!C591:D1189,2,FALSE)</f>
        <v>#N/A</v>
      </c>
      <c r="H607" s="90" t="e">
        <f>VLOOKUP(F607,ML!C591:E1189,3,FALSE)</f>
        <v>#N/A</v>
      </c>
    </row>
    <row r="608" spans="1:8" x14ac:dyDescent="0.35">
      <c r="A608" s="90" t="e">
        <f>VLOOKUP(E608,'Validation List'!F609:G1004,2,FALSE)</f>
        <v>#N/A</v>
      </c>
      <c r="B608" s="90" t="e">
        <f>INDEX('NEW HIRE ROSTER'!$G:$G,MATCH(RAW!F608,'NEW HIRE ROSTER'!$A:$A,0))</f>
        <v>#N/A</v>
      </c>
      <c r="C608" s="90" t="e">
        <f>INDEX('NEW HIRE ROSTER'!$F:$F,MATCH(RAW!F608,'NEW HIRE ROSTER'!$A:$A,0))</f>
        <v>#N/A</v>
      </c>
      <c r="D608" s="90" t="e">
        <f>INDEX('Validation List'!$H:$H,MATCH(RAW!E608,'Validation List'!$F:$F,0))</f>
        <v>#N/A</v>
      </c>
      <c r="G608" s="90" t="e">
        <f>VLOOKUP(F608,ML!C592:D1190,2,FALSE)</f>
        <v>#N/A</v>
      </c>
      <c r="H608" s="90" t="e">
        <f>VLOOKUP(F608,ML!C592:E1190,3,FALSE)</f>
        <v>#N/A</v>
      </c>
    </row>
    <row r="609" spans="1:8" x14ac:dyDescent="0.35">
      <c r="A609" s="90" t="e">
        <f>VLOOKUP(E609,'Validation List'!F610:G1005,2,FALSE)</f>
        <v>#N/A</v>
      </c>
      <c r="B609" s="90" t="e">
        <f>INDEX('NEW HIRE ROSTER'!$G:$G,MATCH(RAW!F609,'NEW HIRE ROSTER'!$A:$A,0))</f>
        <v>#N/A</v>
      </c>
      <c r="C609" s="90" t="e">
        <f>INDEX('NEW HIRE ROSTER'!$F:$F,MATCH(RAW!F609,'NEW HIRE ROSTER'!$A:$A,0))</f>
        <v>#N/A</v>
      </c>
      <c r="D609" s="90" t="e">
        <f>INDEX('Validation List'!$H:$H,MATCH(RAW!E609,'Validation List'!$F:$F,0))</f>
        <v>#N/A</v>
      </c>
      <c r="G609" s="90" t="e">
        <f>VLOOKUP(F609,ML!C593:D1191,2,FALSE)</f>
        <v>#N/A</v>
      </c>
      <c r="H609" s="90" t="e">
        <f>VLOOKUP(F609,ML!C593:E1191,3,FALSE)</f>
        <v>#N/A</v>
      </c>
    </row>
    <row r="610" spans="1:8" x14ac:dyDescent="0.35">
      <c r="A610" s="90" t="e">
        <f>VLOOKUP(E610,'Validation List'!F611:G1006,2,FALSE)</f>
        <v>#N/A</v>
      </c>
      <c r="B610" s="90" t="e">
        <f>INDEX('NEW HIRE ROSTER'!$G:$G,MATCH(RAW!F610,'NEW HIRE ROSTER'!$A:$A,0))</f>
        <v>#N/A</v>
      </c>
      <c r="C610" s="90" t="e">
        <f>INDEX('NEW HIRE ROSTER'!$F:$F,MATCH(RAW!F610,'NEW HIRE ROSTER'!$A:$A,0))</f>
        <v>#N/A</v>
      </c>
      <c r="D610" s="90" t="e">
        <f>INDEX('Validation List'!$H:$H,MATCH(RAW!E610,'Validation List'!$F:$F,0))</f>
        <v>#N/A</v>
      </c>
      <c r="G610" s="90" t="e">
        <f>VLOOKUP(F610,ML!C594:D1192,2,FALSE)</f>
        <v>#N/A</v>
      </c>
      <c r="H610" s="90" t="e">
        <f>VLOOKUP(F610,ML!C594:E1192,3,FALSE)</f>
        <v>#N/A</v>
      </c>
    </row>
    <row r="611" spans="1:8" x14ac:dyDescent="0.35">
      <c r="A611" s="90" t="e">
        <f>VLOOKUP(E611,'Validation List'!F612:G1007,2,FALSE)</f>
        <v>#N/A</v>
      </c>
      <c r="B611" s="90" t="e">
        <f>INDEX('NEW HIRE ROSTER'!$G:$G,MATCH(RAW!F611,'NEW HIRE ROSTER'!$A:$A,0))</f>
        <v>#N/A</v>
      </c>
      <c r="C611" s="90" t="e">
        <f>INDEX('NEW HIRE ROSTER'!$F:$F,MATCH(RAW!F611,'NEW HIRE ROSTER'!$A:$A,0))</f>
        <v>#N/A</v>
      </c>
      <c r="D611" s="90" t="e">
        <f>INDEX('Validation List'!$H:$H,MATCH(RAW!E611,'Validation List'!$F:$F,0))</f>
        <v>#N/A</v>
      </c>
      <c r="G611" s="90" t="e">
        <f>VLOOKUP(F611,ML!C595:D1193,2,FALSE)</f>
        <v>#N/A</v>
      </c>
      <c r="H611" s="90" t="e">
        <f>VLOOKUP(F611,ML!C595:E1193,3,FALSE)</f>
        <v>#N/A</v>
      </c>
    </row>
    <row r="612" spans="1:8" x14ac:dyDescent="0.35">
      <c r="A612" s="90" t="e">
        <f>VLOOKUP(E612,'Validation List'!F613:G1008,2,FALSE)</f>
        <v>#N/A</v>
      </c>
      <c r="B612" s="90" t="e">
        <f>INDEX('NEW HIRE ROSTER'!$G:$G,MATCH(RAW!F612,'NEW HIRE ROSTER'!$A:$A,0))</f>
        <v>#N/A</v>
      </c>
      <c r="C612" s="90" t="e">
        <f>INDEX('NEW HIRE ROSTER'!$F:$F,MATCH(RAW!F612,'NEW HIRE ROSTER'!$A:$A,0))</f>
        <v>#N/A</v>
      </c>
      <c r="D612" s="90" t="e">
        <f>INDEX('Validation List'!$H:$H,MATCH(RAW!E612,'Validation List'!$F:$F,0))</f>
        <v>#N/A</v>
      </c>
      <c r="G612" s="90" t="e">
        <f>VLOOKUP(F612,ML!C596:D1194,2,FALSE)</f>
        <v>#N/A</v>
      </c>
      <c r="H612" s="90" t="e">
        <f>VLOOKUP(F612,ML!C596:E1194,3,FALSE)</f>
        <v>#N/A</v>
      </c>
    </row>
    <row r="613" spans="1:8" x14ac:dyDescent="0.35">
      <c r="A613" s="90" t="e">
        <f>VLOOKUP(E613,'Validation List'!F614:G1009,2,FALSE)</f>
        <v>#N/A</v>
      </c>
      <c r="B613" s="90" t="e">
        <f>INDEX('NEW HIRE ROSTER'!$G:$G,MATCH(RAW!F613,'NEW HIRE ROSTER'!$A:$A,0))</f>
        <v>#N/A</v>
      </c>
      <c r="C613" s="90" t="e">
        <f>INDEX('NEW HIRE ROSTER'!$F:$F,MATCH(RAW!F613,'NEW HIRE ROSTER'!$A:$A,0))</f>
        <v>#N/A</v>
      </c>
      <c r="D613" s="90" t="e">
        <f>INDEX('Validation List'!$H:$H,MATCH(RAW!E613,'Validation List'!$F:$F,0))</f>
        <v>#N/A</v>
      </c>
      <c r="G613" s="90" t="e">
        <f>VLOOKUP(F613,ML!C597:D1195,2,FALSE)</f>
        <v>#N/A</v>
      </c>
      <c r="H613" s="90" t="e">
        <f>VLOOKUP(F613,ML!C597:E1195,3,FALSE)</f>
        <v>#N/A</v>
      </c>
    </row>
    <row r="614" spans="1:8" x14ac:dyDescent="0.35">
      <c r="A614" s="90" t="e">
        <f>VLOOKUP(E614,'Validation List'!F615:G1010,2,FALSE)</f>
        <v>#N/A</v>
      </c>
      <c r="B614" s="90" t="e">
        <f>INDEX('NEW HIRE ROSTER'!$G:$G,MATCH(RAW!F614,'NEW HIRE ROSTER'!$A:$A,0))</f>
        <v>#N/A</v>
      </c>
      <c r="C614" s="90" t="e">
        <f>INDEX('NEW HIRE ROSTER'!$F:$F,MATCH(RAW!F614,'NEW HIRE ROSTER'!$A:$A,0))</f>
        <v>#N/A</v>
      </c>
      <c r="D614" s="90" t="e">
        <f>INDEX('Validation List'!$H:$H,MATCH(RAW!E614,'Validation List'!$F:$F,0))</f>
        <v>#N/A</v>
      </c>
      <c r="G614" s="90" t="e">
        <f>VLOOKUP(F614,ML!C598:D1196,2,FALSE)</f>
        <v>#N/A</v>
      </c>
      <c r="H614" s="90" t="e">
        <f>VLOOKUP(F614,ML!C598:E1196,3,FALSE)</f>
        <v>#N/A</v>
      </c>
    </row>
    <row r="615" spans="1:8" x14ac:dyDescent="0.35">
      <c r="A615" s="90" t="e">
        <f>VLOOKUP(E615,'Validation List'!F616:G1011,2,FALSE)</f>
        <v>#N/A</v>
      </c>
      <c r="B615" s="90" t="e">
        <f>INDEX('NEW HIRE ROSTER'!$G:$G,MATCH(RAW!F615,'NEW HIRE ROSTER'!$A:$A,0))</f>
        <v>#N/A</v>
      </c>
      <c r="C615" s="90" t="e">
        <f>INDEX('NEW HIRE ROSTER'!$F:$F,MATCH(RAW!F615,'NEW HIRE ROSTER'!$A:$A,0))</f>
        <v>#N/A</v>
      </c>
      <c r="D615" s="90" t="e">
        <f>INDEX('Validation List'!$H:$H,MATCH(RAW!E615,'Validation List'!$F:$F,0))</f>
        <v>#N/A</v>
      </c>
      <c r="G615" s="90" t="e">
        <f>VLOOKUP(F615,ML!C599:D1197,2,FALSE)</f>
        <v>#N/A</v>
      </c>
      <c r="H615" s="90" t="e">
        <f>VLOOKUP(F615,ML!C599:E1197,3,FALSE)</f>
        <v>#N/A</v>
      </c>
    </row>
    <row r="616" spans="1:8" x14ac:dyDescent="0.35">
      <c r="A616" s="90" t="e">
        <f>VLOOKUP(E616,'Validation List'!F617:G1012,2,FALSE)</f>
        <v>#N/A</v>
      </c>
      <c r="B616" s="90" t="e">
        <f>INDEX('NEW HIRE ROSTER'!$G:$G,MATCH(RAW!F616,'NEW HIRE ROSTER'!$A:$A,0))</f>
        <v>#N/A</v>
      </c>
      <c r="C616" s="90" t="e">
        <f>INDEX('NEW HIRE ROSTER'!$F:$F,MATCH(RAW!F616,'NEW HIRE ROSTER'!$A:$A,0))</f>
        <v>#N/A</v>
      </c>
      <c r="D616" s="90" t="e">
        <f>INDEX('Validation List'!$H:$H,MATCH(RAW!E616,'Validation List'!$F:$F,0))</f>
        <v>#N/A</v>
      </c>
      <c r="G616" s="90" t="e">
        <f>VLOOKUP(F616,ML!C600:D1198,2,FALSE)</f>
        <v>#N/A</v>
      </c>
      <c r="H616" s="90" t="e">
        <f>VLOOKUP(F616,ML!C600:E1198,3,FALSE)</f>
        <v>#N/A</v>
      </c>
    </row>
    <row r="617" spans="1:8" x14ac:dyDescent="0.35">
      <c r="A617" s="90" t="e">
        <f>VLOOKUP(E617,'Validation List'!F618:G1013,2,FALSE)</f>
        <v>#N/A</v>
      </c>
      <c r="B617" s="90" t="e">
        <f>INDEX('NEW HIRE ROSTER'!$G:$G,MATCH(RAW!F617,'NEW HIRE ROSTER'!$A:$A,0))</f>
        <v>#N/A</v>
      </c>
      <c r="C617" s="90" t="e">
        <f>INDEX('NEW HIRE ROSTER'!$F:$F,MATCH(RAW!F617,'NEW HIRE ROSTER'!$A:$A,0))</f>
        <v>#N/A</v>
      </c>
      <c r="D617" s="90" t="e">
        <f>INDEX('Validation List'!$H:$H,MATCH(RAW!E617,'Validation List'!$F:$F,0))</f>
        <v>#N/A</v>
      </c>
      <c r="G617" s="90" t="e">
        <f>VLOOKUP(F617,ML!C601:D1199,2,FALSE)</f>
        <v>#N/A</v>
      </c>
      <c r="H617" s="90" t="e">
        <f>VLOOKUP(F617,ML!C601:E1199,3,FALSE)</f>
        <v>#N/A</v>
      </c>
    </row>
    <row r="618" spans="1:8" x14ac:dyDescent="0.35">
      <c r="A618" s="90" t="e">
        <f>VLOOKUP(E618,'Validation List'!F619:G1014,2,FALSE)</f>
        <v>#N/A</v>
      </c>
      <c r="B618" s="90" t="e">
        <f>INDEX('NEW HIRE ROSTER'!$G:$G,MATCH(RAW!F618,'NEW HIRE ROSTER'!$A:$A,0))</f>
        <v>#N/A</v>
      </c>
      <c r="C618" s="90" t="e">
        <f>INDEX('NEW HIRE ROSTER'!$F:$F,MATCH(RAW!F618,'NEW HIRE ROSTER'!$A:$A,0))</f>
        <v>#N/A</v>
      </c>
      <c r="D618" s="90" t="e">
        <f>INDEX('Validation List'!$H:$H,MATCH(RAW!E618,'Validation List'!$F:$F,0))</f>
        <v>#N/A</v>
      </c>
      <c r="G618" s="90" t="e">
        <f>VLOOKUP(F618,ML!C602:D1200,2,FALSE)</f>
        <v>#N/A</v>
      </c>
      <c r="H618" s="90" t="e">
        <f>VLOOKUP(F618,ML!C602:E1200,3,FALSE)</f>
        <v>#N/A</v>
      </c>
    </row>
    <row r="619" spans="1:8" x14ac:dyDescent="0.35">
      <c r="A619" s="90" t="e">
        <f>VLOOKUP(E619,'Validation List'!F620:G1015,2,FALSE)</f>
        <v>#N/A</v>
      </c>
      <c r="B619" s="90" t="e">
        <f>INDEX('NEW HIRE ROSTER'!$G:$G,MATCH(RAW!F619,'NEW HIRE ROSTER'!$A:$A,0))</f>
        <v>#N/A</v>
      </c>
      <c r="C619" s="90" t="e">
        <f>INDEX('NEW HIRE ROSTER'!$F:$F,MATCH(RAW!F619,'NEW HIRE ROSTER'!$A:$A,0))</f>
        <v>#N/A</v>
      </c>
      <c r="D619" s="90" t="e">
        <f>INDEX('Validation List'!$H:$H,MATCH(RAW!E619,'Validation List'!$F:$F,0))</f>
        <v>#N/A</v>
      </c>
      <c r="G619" s="90" t="e">
        <f>VLOOKUP(F619,ML!C603:D1201,2,FALSE)</f>
        <v>#N/A</v>
      </c>
      <c r="H619" s="90" t="e">
        <f>VLOOKUP(F619,ML!C603:E1201,3,FALSE)</f>
        <v>#N/A</v>
      </c>
    </row>
    <row r="620" spans="1:8" x14ac:dyDescent="0.35">
      <c r="A620" s="90" t="e">
        <f>VLOOKUP(E620,'Validation List'!F621:G1016,2,FALSE)</f>
        <v>#N/A</v>
      </c>
      <c r="B620" s="90" t="e">
        <f>INDEX('NEW HIRE ROSTER'!$G:$G,MATCH(RAW!F620,'NEW HIRE ROSTER'!$A:$A,0))</f>
        <v>#N/A</v>
      </c>
      <c r="C620" s="90" t="e">
        <f>INDEX('NEW HIRE ROSTER'!$F:$F,MATCH(RAW!F620,'NEW HIRE ROSTER'!$A:$A,0))</f>
        <v>#N/A</v>
      </c>
      <c r="D620" s="90" t="e">
        <f>INDEX('Validation List'!$H:$H,MATCH(RAW!E620,'Validation List'!$F:$F,0))</f>
        <v>#N/A</v>
      </c>
      <c r="G620" s="90" t="e">
        <f>VLOOKUP(F620,ML!C604:D1202,2,FALSE)</f>
        <v>#N/A</v>
      </c>
      <c r="H620" s="90" t="e">
        <f>VLOOKUP(F620,ML!C604:E1202,3,FALSE)</f>
        <v>#N/A</v>
      </c>
    </row>
    <row r="621" spans="1:8" x14ac:dyDescent="0.35">
      <c r="A621" s="90" t="e">
        <f>VLOOKUP(E621,'Validation List'!F622:G1017,2,FALSE)</f>
        <v>#N/A</v>
      </c>
      <c r="B621" s="90" t="e">
        <f>INDEX('NEW HIRE ROSTER'!$G:$G,MATCH(RAW!F621,'NEW HIRE ROSTER'!$A:$A,0))</f>
        <v>#N/A</v>
      </c>
      <c r="C621" s="90" t="e">
        <f>INDEX('NEW HIRE ROSTER'!$F:$F,MATCH(RAW!F621,'NEW HIRE ROSTER'!$A:$A,0))</f>
        <v>#N/A</v>
      </c>
      <c r="D621" s="90" t="e">
        <f>INDEX('Validation List'!$H:$H,MATCH(RAW!E621,'Validation List'!$F:$F,0))</f>
        <v>#N/A</v>
      </c>
      <c r="G621" s="90" t="e">
        <f>VLOOKUP(F621,ML!C605:D1203,2,FALSE)</f>
        <v>#N/A</v>
      </c>
      <c r="H621" s="90" t="e">
        <f>VLOOKUP(F621,ML!C605:E1203,3,FALSE)</f>
        <v>#N/A</v>
      </c>
    </row>
    <row r="622" spans="1:8" x14ac:dyDescent="0.35">
      <c r="A622" s="90" t="e">
        <f>VLOOKUP(E622,'Validation List'!F623:G1018,2,FALSE)</f>
        <v>#N/A</v>
      </c>
      <c r="B622" s="90" t="e">
        <f>INDEX('NEW HIRE ROSTER'!$G:$G,MATCH(RAW!F622,'NEW HIRE ROSTER'!$A:$A,0))</f>
        <v>#N/A</v>
      </c>
      <c r="C622" s="90" t="e">
        <f>INDEX('NEW HIRE ROSTER'!$F:$F,MATCH(RAW!F622,'NEW HIRE ROSTER'!$A:$A,0))</f>
        <v>#N/A</v>
      </c>
      <c r="D622" s="90" t="e">
        <f>INDEX('Validation List'!$H:$H,MATCH(RAW!E622,'Validation List'!$F:$F,0))</f>
        <v>#N/A</v>
      </c>
      <c r="G622" s="90" t="e">
        <f>VLOOKUP(F622,ML!C606:D1204,2,FALSE)</f>
        <v>#N/A</v>
      </c>
      <c r="H622" s="90" t="e">
        <f>VLOOKUP(F622,ML!C606:E1204,3,FALSE)</f>
        <v>#N/A</v>
      </c>
    </row>
    <row r="623" spans="1:8" x14ac:dyDescent="0.35">
      <c r="A623" s="90" t="e">
        <f>VLOOKUP(E623,'Validation List'!F624:G1019,2,FALSE)</f>
        <v>#N/A</v>
      </c>
      <c r="B623" s="90" t="e">
        <f>INDEX('NEW HIRE ROSTER'!$G:$G,MATCH(RAW!F623,'NEW HIRE ROSTER'!$A:$A,0))</f>
        <v>#N/A</v>
      </c>
      <c r="C623" s="90" t="e">
        <f>INDEX('NEW HIRE ROSTER'!$F:$F,MATCH(RAW!F623,'NEW HIRE ROSTER'!$A:$A,0))</f>
        <v>#N/A</v>
      </c>
      <c r="D623" s="90" t="e">
        <f>INDEX('Validation List'!$H:$H,MATCH(RAW!E623,'Validation List'!$F:$F,0))</f>
        <v>#N/A</v>
      </c>
      <c r="G623" s="90" t="e">
        <f>VLOOKUP(F623,ML!C607:D1205,2,FALSE)</f>
        <v>#N/A</v>
      </c>
      <c r="H623" s="90" t="e">
        <f>VLOOKUP(F623,ML!C607:E1205,3,FALSE)</f>
        <v>#N/A</v>
      </c>
    </row>
    <row r="624" spans="1:8" x14ac:dyDescent="0.35">
      <c r="A624" s="90" t="e">
        <f>VLOOKUP(E624,'Validation List'!F625:G1020,2,FALSE)</f>
        <v>#N/A</v>
      </c>
      <c r="B624" s="90" t="e">
        <f>INDEX('NEW HIRE ROSTER'!$G:$G,MATCH(RAW!F624,'NEW HIRE ROSTER'!$A:$A,0))</f>
        <v>#N/A</v>
      </c>
      <c r="C624" s="90" t="e">
        <f>INDEX('NEW HIRE ROSTER'!$F:$F,MATCH(RAW!F624,'NEW HIRE ROSTER'!$A:$A,0))</f>
        <v>#N/A</v>
      </c>
      <c r="D624" s="90" t="e">
        <f>INDEX('Validation List'!$H:$H,MATCH(RAW!E624,'Validation List'!$F:$F,0))</f>
        <v>#N/A</v>
      </c>
      <c r="G624" s="90" t="e">
        <f>VLOOKUP(F624,ML!C608:D1206,2,FALSE)</f>
        <v>#N/A</v>
      </c>
      <c r="H624" s="90" t="e">
        <f>VLOOKUP(F624,ML!C608:E1206,3,FALSE)</f>
        <v>#N/A</v>
      </c>
    </row>
    <row r="625" spans="1:8" x14ac:dyDescent="0.35">
      <c r="A625" s="90" t="e">
        <f>VLOOKUP(E625,'Validation List'!F626:G1021,2,FALSE)</f>
        <v>#N/A</v>
      </c>
      <c r="B625" s="90" t="e">
        <f>INDEX('NEW HIRE ROSTER'!$G:$G,MATCH(RAW!F625,'NEW HIRE ROSTER'!$A:$A,0))</f>
        <v>#N/A</v>
      </c>
      <c r="C625" s="90" t="e">
        <f>INDEX('NEW HIRE ROSTER'!$F:$F,MATCH(RAW!F625,'NEW HIRE ROSTER'!$A:$A,0))</f>
        <v>#N/A</v>
      </c>
      <c r="D625" s="90" t="e">
        <f>INDEX('Validation List'!$H:$H,MATCH(RAW!E625,'Validation List'!$F:$F,0))</f>
        <v>#N/A</v>
      </c>
      <c r="G625" s="90" t="e">
        <f>VLOOKUP(F625,ML!C609:D1207,2,FALSE)</f>
        <v>#N/A</v>
      </c>
      <c r="H625" s="90" t="e">
        <f>VLOOKUP(F625,ML!C609:E1207,3,FALSE)</f>
        <v>#N/A</v>
      </c>
    </row>
    <row r="626" spans="1:8" x14ac:dyDescent="0.35">
      <c r="A626" s="90" t="e">
        <f>VLOOKUP(E626,'Validation List'!F627:G1022,2,FALSE)</f>
        <v>#N/A</v>
      </c>
      <c r="B626" s="90" t="e">
        <f>INDEX('NEW HIRE ROSTER'!$G:$G,MATCH(RAW!F626,'NEW HIRE ROSTER'!$A:$A,0))</f>
        <v>#N/A</v>
      </c>
      <c r="C626" s="90" t="e">
        <f>INDEX('NEW HIRE ROSTER'!$F:$F,MATCH(RAW!F626,'NEW HIRE ROSTER'!$A:$A,0))</f>
        <v>#N/A</v>
      </c>
      <c r="D626" s="90" t="e">
        <f>INDEX('Validation List'!$H:$H,MATCH(RAW!E626,'Validation List'!$F:$F,0))</f>
        <v>#N/A</v>
      </c>
      <c r="G626" s="90" t="e">
        <f>VLOOKUP(F626,ML!C610:D1208,2,FALSE)</f>
        <v>#N/A</v>
      </c>
      <c r="H626" s="90" t="e">
        <f>VLOOKUP(F626,ML!C610:E1208,3,FALSE)</f>
        <v>#N/A</v>
      </c>
    </row>
    <row r="627" spans="1:8" x14ac:dyDescent="0.35">
      <c r="A627" s="90" t="e">
        <f>VLOOKUP(E627,'Validation List'!F628:G1023,2,FALSE)</f>
        <v>#N/A</v>
      </c>
      <c r="B627" s="90" t="e">
        <f>INDEX('NEW HIRE ROSTER'!$G:$G,MATCH(RAW!F627,'NEW HIRE ROSTER'!$A:$A,0))</f>
        <v>#N/A</v>
      </c>
      <c r="C627" s="90" t="e">
        <f>INDEX('NEW HIRE ROSTER'!$F:$F,MATCH(RAW!F627,'NEW HIRE ROSTER'!$A:$A,0))</f>
        <v>#N/A</v>
      </c>
      <c r="D627" s="90" t="e">
        <f>INDEX('Validation List'!$H:$H,MATCH(RAW!E627,'Validation List'!$F:$F,0))</f>
        <v>#N/A</v>
      </c>
      <c r="G627" s="90" t="e">
        <f>VLOOKUP(F627,ML!C611:D1209,2,FALSE)</f>
        <v>#N/A</v>
      </c>
      <c r="H627" s="90" t="e">
        <f>VLOOKUP(F627,ML!C611:E1209,3,FALSE)</f>
        <v>#N/A</v>
      </c>
    </row>
    <row r="628" spans="1:8" x14ac:dyDescent="0.35">
      <c r="A628" s="90" t="e">
        <f>VLOOKUP(E628,'Validation List'!F629:G1024,2,FALSE)</f>
        <v>#N/A</v>
      </c>
      <c r="B628" s="90" t="e">
        <f>INDEX('NEW HIRE ROSTER'!$G:$G,MATCH(RAW!F628,'NEW HIRE ROSTER'!$A:$A,0))</f>
        <v>#N/A</v>
      </c>
      <c r="C628" s="90" t="e">
        <f>INDEX('NEW HIRE ROSTER'!$F:$F,MATCH(RAW!F628,'NEW HIRE ROSTER'!$A:$A,0))</f>
        <v>#N/A</v>
      </c>
      <c r="D628" s="90" t="e">
        <f>INDEX('Validation List'!$H:$H,MATCH(RAW!E628,'Validation List'!$F:$F,0))</f>
        <v>#N/A</v>
      </c>
      <c r="G628" s="90" t="e">
        <f>VLOOKUP(F628,ML!C612:D1210,2,FALSE)</f>
        <v>#N/A</v>
      </c>
      <c r="H628" s="90" t="e">
        <f>VLOOKUP(F628,ML!C612:E1210,3,FALSE)</f>
        <v>#N/A</v>
      </c>
    </row>
    <row r="629" spans="1:8" x14ac:dyDescent="0.35">
      <c r="A629" s="90" t="e">
        <f>VLOOKUP(E629,'Validation List'!F630:G1025,2,FALSE)</f>
        <v>#N/A</v>
      </c>
      <c r="B629" s="90" t="e">
        <f>INDEX('NEW HIRE ROSTER'!$G:$G,MATCH(RAW!F629,'NEW HIRE ROSTER'!$A:$A,0))</f>
        <v>#N/A</v>
      </c>
      <c r="C629" s="90" t="e">
        <f>INDEX('NEW HIRE ROSTER'!$F:$F,MATCH(RAW!F629,'NEW HIRE ROSTER'!$A:$A,0))</f>
        <v>#N/A</v>
      </c>
      <c r="D629" s="90" t="e">
        <f>INDEX('Validation List'!$H:$H,MATCH(RAW!E629,'Validation List'!$F:$F,0))</f>
        <v>#N/A</v>
      </c>
      <c r="G629" s="90" t="e">
        <f>VLOOKUP(F629,ML!C613:D1211,2,FALSE)</f>
        <v>#N/A</v>
      </c>
      <c r="H629" s="90" t="e">
        <f>VLOOKUP(F629,ML!C613:E1211,3,FALSE)</f>
        <v>#N/A</v>
      </c>
    </row>
    <row r="630" spans="1:8" x14ac:dyDescent="0.35">
      <c r="A630" s="90" t="e">
        <f>VLOOKUP(E630,'Validation List'!F631:G1026,2,FALSE)</f>
        <v>#N/A</v>
      </c>
      <c r="B630" s="90" t="e">
        <f>INDEX('NEW HIRE ROSTER'!$G:$G,MATCH(RAW!F630,'NEW HIRE ROSTER'!$A:$A,0))</f>
        <v>#N/A</v>
      </c>
      <c r="C630" s="90" t="e">
        <f>INDEX('NEW HIRE ROSTER'!$F:$F,MATCH(RAW!F630,'NEW HIRE ROSTER'!$A:$A,0))</f>
        <v>#N/A</v>
      </c>
      <c r="D630" s="90" t="e">
        <f>INDEX('Validation List'!$H:$H,MATCH(RAW!E630,'Validation List'!$F:$F,0))</f>
        <v>#N/A</v>
      </c>
      <c r="G630" s="90" t="e">
        <f>VLOOKUP(F630,ML!C614:D1212,2,FALSE)</f>
        <v>#N/A</v>
      </c>
      <c r="H630" s="90" t="e">
        <f>VLOOKUP(F630,ML!C614:E1212,3,FALSE)</f>
        <v>#N/A</v>
      </c>
    </row>
    <row r="631" spans="1:8" x14ac:dyDescent="0.35">
      <c r="A631" s="90" t="e">
        <f>VLOOKUP(E631,'Validation List'!F632:G1027,2,FALSE)</f>
        <v>#N/A</v>
      </c>
      <c r="B631" s="90" t="e">
        <f>INDEX('NEW HIRE ROSTER'!$G:$G,MATCH(RAW!F631,'NEW HIRE ROSTER'!$A:$A,0))</f>
        <v>#N/A</v>
      </c>
      <c r="C631" s="90" t="e">
        <f>INDEX('NEW HIRE ROSTER'!$F:$F,MATCH(RAW!F631,'NEW HIRE ROSTER'!$A:$A,0))</f>
        <v>#N/A</v>
      </c>
      <c r="D631" s="90" t="e">
        <f>INDEX('Validation List'!$H:$H,MATCH(RAW!E631,'Validation List'!$F:$F,0))</f>
        <v>#N/A</v>
      </c>
      <c r="G631" s="90" t="e">
        <f>VLOOKUP(F631,ML!C615:D1213,2,FALSE)</f>
        <v>#N/A</v>
      </c>
      <c r="H631" s="90" t="e">
        <f>VLOOKUP(F631,ML!C615:E1213,3,FALSE)</f>
        <v>#N/A</v>
      </c>
    </row>
    <row r="632" spans="1:8" x14ac:dyDescent="0.35">
      <c r="A632" s="90" t="e">
        <f>VLOOKUP(E632,'Validation List'!F633:G1028,2,FALSE)</f>
        <v>#N/A</v>
      </c>
      <c r="B632" s="90" t="e">
        <f>INDEX('NEW HIRE ROSTER'!$G:$G,MATCH(RAW!F632,'NEW HIRE ROSTER'!$A:$A,0))</f>
        <v>#N/A</v>
      </c>
      <c r="C632" s="90" t="e">
        <f>INDEX('NEW HIRE ROSTER'!$F:$F,MATCH(RAW!F632,'NEW HIRE ROSTER'!$A:$A,0))</f>
        <v>#N/A</v>
      </c>
      <c r="D632" s="90" t="e">
        <f>INDEX('Validation List'!$H:$H,MATCH(RAW!E632,'Validation List'!$F:$F,0))</f>
        <v>#N/A</v>
      </c>
      <c r="G632" s="90" t="e">
        <f>VLOOKUP(F632,ML!C616:D1214,2,FALSE)</f>
        <v>#N/A</v>
      </c>
      <c r="H632" s="90" t="e">
        <f>VLOOKUP(F632,ML!C616:E1214,3,FALSE)</f>
        <v>#N/A</v>
      </c>
    </row>
    <row r="633" spans="1:8" x14ac:dyDescent="0.35">
      <c r="A633" s="90" t="e">
        <f>VLOOKUP(E633,'Validation List'!F634:G1029,2,FALSE)</f>
        <v>#N/A</v>
      </c>
      <c r="B633" s="90" t="e">
        <f>INDEX('NEW HIRE ROSTER'!$G:$G,MATCH(RAW!F633,'NEW HIRE ROSTER'!$A:$A,0))</f>
        <v>#N/A</v>
      </c>
      <c r="C633" s="90" t="e">
        <f>INDEX('NEW HIRE ROSTER'!$F:$F,MATCH(RAW!F633,'NEW HIRE ROSTER'!$A:$A,0))</f>
        <v>#N/A</v>
      </c>
      <c r="D633" s="90" t="e">
        <f>INDEX('Validation List'!$H:$H,MATCH(RAW!E633,'Validation List'!$F:$F,0))</f>
        <v>#N/A</v>
      </c>
      <c r="G633" s="90" t="e">
        <f>VLOOKUP(F633,ML!C617:D1215,2,FALSE)</f>
        <v>#N/A</v>
      </c>
      <c r="H633" s="90" t="e">
        <f>VLOOKUP(F633,ML!C617:E1215,3,FALSE)</f>
        <v>#N/A</v>
      </c>
    </row>
    <row r="634" spans="1:8" x14ac:dyDescent="0.35">
      <c r="A634" s="90" t="e">
        <f>VLOOKUP(E634,'Validation List'!F635:G1030,2,FALSE)</f>
        <v>#N/A</v>
      </c>
      <c r="B634" s="90" t="e">
        <f>INDEX('NEW HIRE ROSTER'!$G:$G,MATCH(RAW!F634,'NEW HIRE ROSTER'!$A:$A,0))</f>
        <v>#N/A</v>
      </c>
      <c r="C634" s="90" t="e">
        <f>INDEX('NEW HIRE ROSTER'!$F:$F,MATCH(RAW!F634,'NEW HIRE ROSTER'!$A:$A,0))</f>
        <v>#N/A</v>
      </c>
      <c r="D634" s="90" t="e">
        <f>INDEX('Validation List'!$H:$H,MATCH(RAW!E634,'Validation List'!$F:$F,0))</f>
        <v>#N/A</v>
      </c>
      <c r="G634" s="90" t="e">
        <f>VLOOKUP(F634,ML!C618:D1216,2,FALSE)</f>
        <v>#N/A</v>
      </c>
      <c r="H634" s="90" t="e">
        <f>VLOOKUP(F634,ML!C618:E1216,3,FALSE)</f>
        <v>#N/A</v>
      </c>
    </row>
    <row r="635" spans="1:8" x14ac:dyDescent="0.35">
      <c r="A635" s="90" t="e">
        <f>VLOOKUP(E635,'Validation List'!F636:G1031,2,FALSE)</f>
        <v>#N/A</v>
      </c>
      <c r="B635" s="90" t="e">
        <f>INDEX('NEW HIRE ROSTER'!$G:$G,MATCH(RAW!F635,'NEW HIRE ROSTER'!$A:$A,0))</f>
        <v>#N/A</v>
      </c>
      <c r="C635" s="90" t="e">
        <f>INDEX('NEW HIRE ROSTER'!$F:$F,MATCH(RAW!F635,'NEW HIRE ROSTER'!$A:$A,0))</f>
        <v>#N/A</v>
      </c>
      <c r="D635" s="90" t="e">
        <f>INDEX('Validation List'!$H:$H,MATCH(RAW!E635,'Validation List'!$F:$F,0))</f>
        <v>#N/A</v>
      </c>
      <c r="G635" s="90" t="e">
        <f>VLOOKUP(F635,ML!C619:D1217,2,FALSE)</f>
        <v>#N/A</v>
      </c>
      <c r="H635" s="90" t="e">
        <f>VLOOKUP(F635,ML!C619:E1217,3,FALSE)</f>
        <v>#N/A</v>
      </c>
    </row>
    <row r="636" spans="1:8" x14ac:dyDescent="0.35">
      <c r="A636" s="90" t="e">
        <f>VLOOKUP(E636,'Validation List'!F637:G1032,2,FALSE)</f>
        <v>#N/A</v>
      </c>
      <c r="B636" s="90" t="e">
        <f>INDEX('NEW HIRE ROSTER'!$G:$G,MATCH(RAW!F636,'NEW HIRE ROSTER'!$A:$A,0))</f>
        <v>#N/A</v>
      </c>
      <c r="C636" s="90" t="e">
        <f>INDEX('NEW HIRE ROSTER'!$F:$F,MATCH(RAW!F636,'NEW HIRE ROSTER'!$A:$A,0))</f>
        <v>#N/A</v>
      </c>
      <c r="D636" s="90" t="e">
        <f>INDEX('Validation List'!$H:$H,MATCH(RAW!E636,'Validation List'!$F:$F,0))</f>
        <v>#N/A</v>
      </c>
      <c r="G636" s="90" t="e">
        <f>VLOOKUP(F636,ML!C620:D1218,2,FALSE)</f>
        <v>#N/A</v>
      </c>
      <c r="H636" s="90" t="e">
        <f>VLOOKUP(F636,ML!C620:E1218,3,FALSE)</f>
        <v>#N/A</v>
      </c>
    </row>
    <row r="637" spans="1:8" x14ac:dyDescent="0.35">
      <c r="A637" s="90" t="e">
        <f>VLOOKUP(E637,'Validation List'!F638:G1033,2,FALSE)</f>
        <v>#N/A</v>
      </c>
      <c r="B637" s="90" t="e">
        <f>INDEX('NEW HIRE ROSTER'!$G:$G,MATCH(RAW!F637,'NEW HIRE ROSTER'!$A:$A,0))</f>
        <v>#N/A</v>
      </c>
      <c r="C637" s="90" t="e">
        <f>INDEX('NEW HIRE ROSTER'!$F:$F,MATCH(RAW!F637,'NEW HIRE ROSTER'!$A:$A,0))</f>
        <v>#N/A</v>
      </c>
      <c r="D637" s="90" t="e">
        <f>INDEX('Validation List'!$H:$H,MATCH(RAW!E637,'Validation List'!$F:$F,0))</f>
        <v>#N/A</v>
      </c>
      <c r="G637" s="90" t="e">
        <f>VLOOKUP(F637,ML!C621:D1219,2,FALSE)</f>
        <v>#N/A</v>
      </c>
      <c r="H637" s="90" t="e">
        <f>VLOOKUP(F637,ML!C621:E1219,3,FALSE)</f>
        <v>#N/A</v>
      </c>
    </row>
    <row r="638" spans="1:8" x14ac:dyDescent="0.35">
      <c r="A638" s="90" t="e">
        <f>VLOOKUP(E638,'Validation List'!F639:G1034,2,FALSE)</f>
        <v>#N/A</v>
      </c>
      <c r="B638" s="90" t="e">
        <f>INDEX('NEW HIRE ROSTER'!$G:$G,MATCH(RAW!F638,'NEW HIRE ROSTER'!$A:$A,0))</f>
        <v>#N/A</v>
      </c>
      <c r="C638" s="90" t="e">
        <f>INDEX('NEW HIRE ROSTER'!$F:$F,MATCH(RAW!F638,'NEW HIRE ROSTER'!$A:$A,0))</f>
        <v>#N/A</v>
      </c>
      <c r="D638" s="90" t="e">
        <f>INDEX('Validation List'!$H:$H,MATCH(RAW!E638,'Validation List'!$F:$F,0))</f>
        <v>#N/A</v>
      </c>
      <c r="G638" s="90" t="e">
        <f>VLOOKUP(F638,ML!C622:D1220,2,FALSE)</f>
        <v>#N/A</v>
      </c>
      <c r="H638" s="90" t="e">
        <f>VLOOKUP(F638,ML!C622:E1220,3,FALSE)</f>
        <v>#N/A</v>
      </c>
    </row>
    <row r="639" spans="1:8" x14ac:dyDescent="0.35">
      <c r="A639" s="90" t="e">
        <f>VLOOKUP(E639,'Validation List'!F640:G1035,2,FALSE)</f>
        <v>#N/A</v>
      </c>
      <c r="B639" s="90" t="e">
        <f>INDEX('NEW HIRE ROSTER'!$G:$G,MATCH(RAW!F639,'NEW HIRE ROSTER'!$A:$A,0))</f>
        <v>#N/A</v>
      </c>
      <c r="C639" s="90" t="e">
        <f>INDEX('NEW HIRE ROSTER'!$F:$F,MATCH(RAW!F639,'NEW HIRE ROSTER'!$A:$A,0))</f>
        <v>#N/A</v>
      </c>
      <c r="D639" s="90" t="e">
        <f>INDEX('Validation List'!$H:$H,MATCH(RAW!E639,'Validation List'!$F:$F,0))</f>
        <v>#N/A</v>
      </c>
      <c r="G639" s="90" t="e">
        <f>VLOOKUP(F639,ML!C623:D1221,2,FALSE)</f>
        <v>#N/A</v>
      </c>
      <c r="H639" s="90" t="e">
        <f>VLOOKUP(F639,ML!C623:E1221,3,FALSE)</f>
        <v>#N/A</v>
      </c>
    </row>
    <row r="640" spans="1:8" x14ac:dyDescent="0.35">
      <c r="A640" s="90" t="e">
        <f>VLOOKUP(E640,'Validation List'!F641:G1036,2,FALSE)</f>
        <v>#N/A</v>
      </c>
      <c r="B640" s="90" t="e">
        <f>INDEX('NEW HIRE ROSTER'!$G:$G,MATCH(RAW!F640,'NEW HIRE ROSTER'!$A:$A,0))</f>
        <v>#N/A</v>
      </c>
      <c r="C640" s="90" t="e">
        <f>INDEX('NEW HIRE ROSTER'!$F:$F,MATCH(RAW!F640,'NEW HIRE ROSTER'!$A:$A,0))</f>
        <v>#N/A</v>
      </c>
      <c r="D640" s="90" t="e">
        <f>INDEX('Validation List'!$H:$H,MATCH(RAW!E640,'Validation List'!$F:$F,0))</f>
        <v>#N/A</v>
      </c>
      <c r="G640" s="90" t="e">
        <f>VLOOKUP(F640,ML!C624:D1222,2,FALSE)</f>
        <v>#N/A</v>
      </c>
      <c r="H640" s="90" t="e">
        <f>VLOOKUP(F640,ML!C624:E1222,3,FALSE)</f>
        <v>#N/A</v>
      </c>
    </row>
    <row r="641" spans="1:8" x14ac:dyDescent="0.35">
      <c r="A641" s="90" t="e">
        <f>VLOOKUP(E641,'Validation List'!F642:G1037,2,FALSE)</f>
        <v>#N/A</v>
      </c>
      <c r="B641" s="90" t="e">
        <f>INDEX('NEW HIRE ROSTER'!$G:$G,MATCH(RAW!F641,'NEW HIRE ROSTER'!$A:$A,0))</f>
        <v>#N/A</v>
      </c>
      <c r="C641" s="90" t="e">
        <f>INDEX('NEW HIRE ROSTER'!$F:$F,MATCH(RAW!F641,'NEW HIRE ROSTER'!$A:$A,0))</f>
        <v>#N/A</v>
      </c>
      <c r="D641" s="90" t="e">
        <f>INDEX('Validation List'!$H:$H,MATCH(RAW!E641,'Validation List'!$F:$F,0))</f>
        <v>#N/A</v>
      </c>
      <c r="G641" s="90" t="e">
        <f>VLOOKUP(F641,ML!C625:D1223,2,FALSE)</f>
        <v>#N/A</v>
      </c>
      <c r="H641" s="90" t="e">
        <f>VLOOKUP(F641,ML!C625:E1223,3,FALSE)</f>
        <v>#N/A</v>
      </c>
    </row>
    <row r="642" spans="1:8" x14ac:dyDescent="0.35">
      <c r="A642" s="90" t="e">
        <f>VLOOKUP(E642,'Validation List'!F643:G1038,2,FALSE)</f>
        <v>#N/A</v>
      </c>
      <c r="B642" s="90" t="e">
        <f>INDEX('NEW HIRE ROSTER'!$G:$G,MATCH(RAW!F642,'NEW HIRE ROSTER'!$A:$A,0))</f>
        <v>#N/A</v>
      </c>
      <c r="C642" s="90" t="e">
        <f>INDEX('NEW HIRE ROSTER'!$F:$F,MATCH(RAW!F642,'NEW HIRE ROSTER'!$A:$A,0))</f>
        <v>#N/A</v>
      </c>
      <c r="D642" s="90" t="e">
        <f>INDEX('Validation List'!$H:$H,MATCH(RAW!E642,'Validation List'!$F:$F,0))</f>
        <v>#N/A</v>
      </c>
      <c r="G642" s="90" t="e">
        <f>VLOOKUP(F642,ML!C626:D1224,2,FALSE)</f>
        <v>#N/A</v>
      </c>
      <c r="H642" s="90" t="e">
        <f>VLOOKUP(F642,ML!C626:E1224,3,FALSE)</f>
        <v>#N/A</v>
      </c>
    </row>
    <row r="643" spans="1:8" x14ac:dyDescent="0.35">
      <c r="A643" s="90" t="e">
        <f>VLOOKUP(E643,'Validation List'!F644:G1039,2,FALSE)</f>
        <v>#N/A</v>
      </c>
      <c r="B643" s="90" t="e">
        <f>INDEX('NEW HIRE ROSTER'!$G:$G,MATCH(RAW!F643,'NEW HIRE ROSTER'!$A:$A,0))</f>
        <v>#N/A</v>
      </c>
      <c r="C643" s="90" t="e">
        <f>INDEX('NEW HIRE ROSTER'!$F:$F,MATCH(RAW!F643,'NEW HIRE ROSTER'!$A:$A,0))</f>
        <v>#N/A</v>
      </c>
      <c r="D643" s="90" t="e">
        <f>INDEX('Validation List'!$H:$H,MATCH(RAW!E643,'Validation List'!$F:$F,0))</f>
        <v>#N/A</v>
      </c>
      <c r="G643" s="90" t="e">
        <f>VLOOKUP(F643,ML!C627:D1225,2,FALSE)</f>
        <v>#N/A</v>
      </c>
      <c r="H643" s="90" t="e">
        <f>VLOOKUP(F643,ML!C627:E1225,3,FALSE)</f>
        <v>#N/A</v>
      </c>
    </row>
    <row r="644" spans="1:8" x14ac:dyDescent="0.35">
      <c r="A644" s="90" t="e">
        <f>VLOOKUP(E644,'Validation List'!F645:G1040,2,FALSE)</f>
        <v>#N/A</v>
      </c>
      <c r="B644" s="90" t="e">
        <f>INDEX('NEW HIRE ROSTER'!$G:$G,MATCH(RAW!F644,'NEW HIRE ROSTER'!$A:$A,0))</f>
        <v>#N/A</v>
      </c>
      <c r="C644" s="90" t="e">
        <f>INDEX('NEW HIRE ROSTER'!$F:$F,MATCH(RAW!F644,'NEW HIRE ROSTER'!$A:$A,0))</f>
        <v>#N/A</v>
      </c>
      <c r="D644" s="90" t="e">
        <f>INDEX('Validation List'!$H:$H,MATCH(RAW!E644,'Validation List'!$F:$F,0))</f>
        <v>#N/A</v>
      </c>
      <c r="G644" s="90" t="e">
        <f>VLOOKUP(F644,ML!C628:D1226,2,FALSE)</f>
        <v>#N/A</v>
      </c>
      <c r="H644" s="90" t="e">
        <f>VLOOKUP(F644,ML!C628:E1226,3,FALSE)</f>
        <v>#N/A</v>
      </c>
    </row>
    <row r="645" spans="1:8" x14ac:dyDescent="0.35">
      <c r="A645" s="90" t="e">
        <f>VLOOKUP(E645,'Validation List'!F646:G1041,2,FALSE)</f>
        <v>#N/A</v>
      </c>
      <c r="B645" s="90" t="e">
        <f>INDEX('NEW HIRE ROSTER'!$G:$G,MATCH(RAW!F645,'NEW HIRE ROSTER'!$A:$A,0))</f>
        <v>#N/A</v>
      </c>
      <c r="C645" s="90" t="e">
        <f>INDEX('NEW HIRE ROSTER'!$F:$F,MATCH(RAW!F645,'NEW HIRE ROSTER'!$A:$A,0))</f>
        <v>#N/A</v>
      </c>
      <c r="D645" s="90" t="e">
        <f>INDEX('Validation List'!$H:$H,MATCH(RAW!E645,'Validation List'!$F:$F,0))</f>
        <v>#N/A</v>
      </c>
      <c r="G645" s="90" t="e">
        <f>VLOOKUP(F645,ML!C629:D1227,2,FALSE)</f>
        <v>#N/A</v>
      </c>
      <c r="H645" s="90" t="e">
        <f>VLOOKUP(F645,ML!C629:E1227,3,FALSE)</f>
        <v>#N/A</v>
      </c>
    </row>
    <row r="646" spans="1:8" x14ac:dyDescent="0.35">
      <c r="A646" s="90" t="e">
        <f>VLOOKUP(E646,'Validation List'!F647:G1042,2,FALSE)</f>
        <v>#N/A</v>
      </c>
      <c r="B646" s="90" t="e">
        <f>INDEX('NEW HIRE ROSTER'!$G:$G,MATCH(RAW!F646,'NEW HIRE ROSTER'!$A:$A,0))</f>
        <v>#N/A</v>
      </c>
      <c r="C646" s="90" t="e">
        <f>INDEX('NEW HIRE ROSTER'!$F:$F,MATCH(RAW!F646,'NEW HIRE ROSTER'!$A:$A,0))</f>
        <v>#N/A</v>
      </c>
      <c r="D646" s="90" t="e">
        <f>INDEX('Validation List'!$H:$H,MATCH(RAW!E646,'Validation List'!$F:$F,0))</f>
        <v>#N/A</v>
      </c>
      <c r="G646" s="90" t="e">
        <f>VLOOKUP(F646,ML!C630:D1228,2,FALSE)</f>
        <v>#N/A</v>
      </c>
      <c r="H646" s="90" t="e">
        <f>VLOOKUP(F646,ML!C630:E1228,3,FALSE)</f>
        <v>#N/A</v>
      </c>
    </row>
    <row r="647" spans="1:8" x14ac:dyDescent="0.35">
      <c r="A647" s="90" t="e">
        <f>VLOOKUP(E647,'Validation List'!F648:G1043,2,FALSE)</f>
        <v>#N/A</v>
      </c>
      <c r="B647" s="90" t="e">
        <f>INDEX('NEW HIRE ROSTER'!$G:$G,MATCH(RAW!F647,'NEW HIRE ROSTER'!$A:$A,0))</f>
        <v>#N/A</v>
      </c>
      <c r="C647" s="90" t="e">
        <f>INDEX('NEW HIRE ROSTER'!$F:$F,MATCH(RAW!F647,'NEW HIRE ROSTER'!$A:$A,0))</f>
        <v>#N/A</v>
      </c>
      <c r="D647" s="90" t="e">
        <f>INDEX('Validation List'!$H:$H,MATCH(RAW!E647,'Validation List'!$F:$F,0))</f>
        <v>#N/A</v>
      </c>
      <c r="G647" s="90" t="e">
        <f>VLOOKUP(F647,ML!C631:D1229,2,FALSE)</f>
        <v>#N/A</v>
      </c>
      <c r="H647" s="90" t="e">
        <f>VLOOKUP(F647,ML!C631:E1229,3,FALSE)</f>
        <v>#N/A</v>
      </c>
    </row>
    <row r="648" spans="1:8" x14ac:dyDescent="0.35">
      <c r="A648" s="90" t="e">
        <f>VLOOKUP(E648,'Validation List'!F649:G1044,2,FALSE)</f>
        <v>#N/A</v>
      </c>
      <c r="B648" s="90" t="e">
        <f>INDEX('NEW HIRE ROSTER'!$G:$G,MATCH(RAW!F648,'NEW HIRE ROSTER'!$A:$A,0))</f>
        <v>#N/A</v>
      </c>
      <c r="C648" s="90" t="e">
        <f>INDEX('NEW HIRE ROSTER'!$F:$F,MATCH(RAW!F648,'NEW HIRE ROSTER'!$A:$A,0))</f>
        <v>#N/A</v>
      </c>
      <c r="D648" s="90" t="e">
        <f>INDEX('Validation List'!$H:$H,MATCH(RAW!E648,'Validation List'!$F:$F,0))</f>
        <v>#N/A</v>
      </c>
      <c r="G648" s="90" t="e">
        <f>VLOOKUP(F648,ML!C632:D1230,2,FALSE)</f>
        <v>#N/A</v>
      </c>
      <c r="H648" s="90" t="e">
        <f>VLOOKUP(F648,ML!C632:E1230,3,FALSE)</f>
        <v>#N/A</v>
      </c>
    </row>
    <row r="649" spans="1:8" x14ac:dyDescent="0.35">
      <c r="A649" s="90" t="e">
        <f>VLOOKUP(E649,'Validation List'!F650:G1045,2,FALSE)</f>
        <v>#N/A</v>
      </c>
      <c r="B649" s="90" t="e">
        <f>INDEX('NEW HIRE ROSTER'!$G:$G,MATCH(RAW!F649,'NEW HIRE ROSTER'!$A:$A,0))</f>
        <v>#N/A</v>
      </c>
      <c r="C649" s="90" t="e">
        <f>INDEX('NEW HIRE ROSTER'!$F:$F,MATCH(RAW!F649,'NEW HIRE ROSTER'!$A:$A,0))</f>
        <v>#N/A</v>
      </c>
      <c r="D649" s="90" t="e">
        <f>INDEX('Validation List'!$H:$H,MATCH(RAW!E649,'Validation List'!$F:$F,0))</f>
        <v>#N/A</v>
      </c>
      <c r="G649" s="90" t="e">
        <f>VLOOKUP(F649,ML!C633:D1231,2,FALSE)</f>
        <v>#N/A</v>
      </c>
      <c r="H649" s="90" t="e">
        <f>VLOOKUP(F649,ML!C633:E1231,3,FALSE)</f>
        <v>#N/A</v>
      </c>
    </row>
    <row r="650" spans="1:8" x14ac:dyDescent="0.35">
      <c r="A650" s="90" t="e">
        <f>VLOOKUP(E650,'Validation List'!F651:G1046,2,FALSE)</f>
        <v>#N/A</v>
      </c>
      <c r="B650" s="90" t="e">
        <f>INDEX('NEW HIRE ROSTER'!$G:$G,MATCH(RAW!F650,'NEW HIRE ROSTER'!$A:$A,0))</f>
        <v>#N/A</v>
      </c>
      <c r="C650" s="90" t="e">
        <f>INDEX('NEW HIRE ROSTER'!$F:$F,MATCH(RAW!F650,'NEW HIRE ROSTER'!$A:$A,0))</f>
        <v>#N/A</v>
      </c>
      <c r="D650" s="90" t="e">
        <f>INDEX('Validation List'!$H:$H,MATCH(RAW!E650,'Validation List'!$F:$F,0))</f>
        <v>#N/A</v>
      </c>
      <c r="G650" s="90" t="e">
        <f>VLOOKUP(F650,ML!C634:D1232,2,FALSE)</f>
        <v>#N/A</v>
      </c>
      <c r="H650" s="90" t="e">
        <f>VLOOKUP(F650,ML!C634:E1232,3,FALSE)</f>
        <v>#N/A</v>
      </c>
    </row>
    <row r="651" spans="1:8" x14ac:dyDescent="0.35">
      <c r="A651" s="90" t="e">
        <f>VLOOKUP(E651,'Validation List'!F652:G1047,2,FALSE)</f>
        <v>#N/A</v>
      </c>
      <c r="B651" s="90" t="e">
        <f>INDEX('NEW HIRE ROSTER'!$G:$G,MATCH(RAW!F651,'NEW HIRE ROSTER'!$A:$A,0))</f>
        <v>#N/A</v>
      </c>
      <c r="C651" s="90" t="e">
        <f>INDEX('NEW HIRE ROSTER'!$F:$F,MATCH(RAW!F651,'NEW HIRE ROSTER'!$A:$A,0))</f>
        <v>#N/A</v>
      </c>
      <c r="D651" s="90" t="e">
        <f>INDEX('Validation List'!$H:$H,MATCH(RAW!E651,'Validation List'!$F:$F,0))</f>
        <v>#N/A</v>
      </c>
      <c r="G651" s="90" t="e">
        <f>VLOOKUP(F651,ML!C635:D1233,2,FALSE)</f>
        <v>#N/A</v>
      </c>
      <c r="H651" s="90" t="e">
        <f>VLOOKUP(F651,ML!C635:E1233,3,FALSE)</f>
        <v>#N/A</v>
      </c>
    </row>
    <row r="652" spans="1:8" x14ac:dyDescent="0.35">
      <c r="A652" s="90" t="e">
        <f>VLOOKUP(E652,'Validation List'!F653:G1048,2,FALSE)</f>
        <v>#N/A</v>
      </c>
      <c r="B652" s="90" t="e">
        <f>INDEX('NEW HIRE ROSTER'!$G:$G,MATCH(RAW!F652,'NEW HIRE ROSTER'!$A:$A,0))</f>
        <v>#N/A</v>
      </c>
      <c r="C652" s="90" t="e">
        <f>INDEX('NEW HIRE ROSTER'!$F:$F,MATCH(RAW!F652,'NEW HIRE ROSTER'!$A:$A,0))</f>
        <v>#N/A</v>
      </c>
      <c r="D652" s="90" t="e">
        <f>INDEX('Validation List'!$H:$H,MATCH(RAW!E652,'Validation List'!$F:$F,0))</f>
        <v>#N/A</v>
      </c>
      <c r="G652" s="90" t="e">
        <f>VLOOKUP(F652,ML!C636:D1234,2,FALSE)</f>
        <v>#N/A</v>
      </c>
      <c r="H652" s="90" t="e">
        <f>VLOOKUP(F652,ML!C636:E1234,3,FALSE)</f>
        <v>#N/A</v>
      </c>
    </row>
    <row r="653" spans="1:8" x14ac:dyDescent="0.35">
      <c r="A653" s="90" t="e">
        <f>VLOOKUP(E653,'Validation List'!F654:G1049,2,FALSE)</f>
        <v>#N/A</v>
      </c>
      <c r="B653" s="90" t="e">
        <f>INDEX('NEW HIRE ROSTER'!$G:$G,MATCH(RAW!F653,'NEW HIRE ROSTER'!$A:$A,0))</f>
        <v>#N/A</v>
      </c>
      <c r="C653" s="90" t="e">
        <f>INDEX('NEW HIRE ROSTER'!$F:$F,MATCH(RAW!F653,'NEW HIRE ROSTER'!$A:$A,0))</f>
        <v>#N/A</v>
      </c>
      <c r="D653" s="90" t="e">
        <f>INDEX('Validation List'!$H:$H,MATCH(RAW!E653,'Validation List'!$F:$F,0))</f>
        <v>#N/A</v>
      </c>
      <c r="G653" s="90" t="e">
        <f>VLOOKUP(F653,ML!C637:D1235,2,FALSE)</f>
        <v>#N/A</v>
      </c>
      <c r="H653" s="90" t="e">
        <f>VLOOKUP(F653,ML!C637:E1235,3,FALSE)</f>
        <v>#N/A</v>
      </c>
    </row>
    <row r="654" spans="1:8" x14ac:dyDescent="0.35">
      <c r="A654" s="90" t="e">
        <f>VLOOKUP(E654,'Validation List'!F655:G1050,2,FALSE)</f>
        <v>#N/A</v>
      </c>
      <c r="B654" s="90" t="e">
        <f>INDEX('NEW HIRE ROSTER'!$G:$G,MATCH(RAW!F654,'NEW HIRE ROSTER'!$A:$A,0))</f>
        <v>#N/A</v>
      </c>
      <c r="C654" s="90" t="e">
        <f>INDEX('NEW HIRE ROSTER'!$F:$F,MATCH(RAW!F654,'NEW HIRE ROSTER'!$A:$A,0))</f>
        <v>#N/A</v>
      </c>
      <c r="D654" s="90" t="e">
        <f>INDEX('Validation List'!$H:$H,MATCH(RAW!E654,'Validation List'!$F:$F,0))</f>
        <v>#N/A</v>
      </c>
      <c r="G654" s="90" t="e">
        <f>VLOOKUP(F654,ML!C638:D1236,2,FALSE)</f>
        <v>#N/A</v>
      </c>
      <c r="H654" s="90" t="e">
        <f>VLOOKUP(F654,ML!C638:E1236,3,FALSE)</f>
        <v>#N/A</v>
      </c>
    </row>
    <row r="655" spans="1:8" x14ac:dyDescent="0.35">
      <c r="A655" s="90" t="e">
        <f>VLOOKUP(E655,'Validation List'!F656:G1051,2,FALSE)</f>
        <v>#N/A</v>
      </c>
      <c r="B655" s="90" t="e">
        <f>INDEX('NEW HIRE ROSTER'!$G:$G,MATCH(RAW!F655,'NEW HIRE ROSTER'!$A:$A,0))</f>
        <v>#N/A</v>
      </c>
      <c r="C655" s="90" t="e">
        <f>INDEX('NEW HIRE ROSTER'!$F:$F,MATCH(RAW!F655,'NEW HIRE ROSTER'!$A:$A,0))</f>
        <v>#N/A</v>
      </c>
      <c r="D655" s="90" t="e">
        <f>INDEX('Validation List'!$H:$H,MATCH(RAW!E655,'Validation List'!$F:$F,0))</f>
        <v>#N/A</v>
      </c>
      <c r="G655" s="90" t="e">
        <f>VLOOKUP(F655,ML!C639:D1237,2,FALSE)</f>
        <v>#N/A</v>
      </c>
      <c r="H655" s="90" t="e">
        <f>VLOOKUP(F655,ML!C639:E1237,3,FALSE)</f>
        <v>#N/A</v>
      </c>
    </row>
    <row r="656" spans="1:8" x14ac:dyDescent="0.35">
      <c r="A656" s="90" t="e">
        <f>VLOOKUP(E656,'Validation List'!F657:G1052,2,FALSE)</f>
        <v>#N/A</v>
      </c>
      <c r="B656" s="90" t="e">
        <f>INDEX('NEW HIRE ROSTER'!$G:$G,MATCH(RAW!F656,'NEW HIRE ROSTER'!$A:$A,0))</f>
        <v>#N/A</v>
      </c>
      <c r="C656" s="90" t="e">
        <f>INDEX('NEW HIRE ROSTER'!$F:$F,MATCH(RAW!F656,'NEW HIRE ROSTER'!$A:$A,0))</f>
        <v>#N/A</v>
      </c>
      <c r="D656" s="90" t="e">
        <f>INDEX('Validation List'!$H:$H,MATCH(RAW!E656,'Validation List'!$F:$F,0))</f>
        <v>#N/A</v>
      </c>
      <c r="G656" s="90" t="e">
        <f>VLOOKUP(F656,ML!C640:D1238,2,FALSE)</f>
        <v>#N/A</v>
      </c>
      <c r="H656" s="90" t="e">
        <f>VLOOKUP(F656,ML!C640:E1238,3,FALSE)</f>
        <v>#N/A</v>
      </c>
    </row>
    <row r="657" spans="1:8" x14ac:dyDescent="0.35">
      <c r="A657" s="90" t="e">
        <f>VLOOKUP(E657,'Validation List'!F658:G1053,2,FALSE)</f>
        <v>#N/A</v>
      </c>
      <c r="B657" s="90" t="e">
        <f>INDEX('NEW HIRE ROSTER'!$G:$G,MATCH(RAW!F657,'NEW HIRE ROSTER'!$A:$A,0))</f>
        <v>#N/A</v>
      </c>
      <c r="C657" s="90" t="e">
        <f>INDEX('NEW HIRE ROSTER'!$F:$F,MATCH(RAW!F657,'NEW HIRE ROSTER'!$A:$A,0))</f>
        <v>#N/A</v>
      </c>
      <c r="D657" s="90" t="e">
        <f>INDEX('Validation List'!$H:$H,MATCH(RAW!E657,'Validation List'!$F:$F,0))</f>
        <v>#N/A</v>
      </c>
      <c r="G657" s="90" t="e">
        <f>VLOOKUP(F657,ML!C641:D1239,2,FALSE)</f>
        <v>#N/A</v>
      </c>
      <c r="H657" s="90" t="e">
        <f>VLOOKUP(F657,ML!C641:E1239,3,FALSE)</f>
        <v>#N/A</v>
      </c>
    </row>
    <row r="658" spans="1:8" x14ac:dyDescent="0.35">
      <c r="A658" s="90" t="e">
        <f>VLOOKUP(E658,'Validation List'!F659:G1054,2,FALSE)</f>
        <v>#N/A</v>
      </c>
      <c r="B658" s="90" t="e">
        <f>INDEX('NEW HIRE ROSTER'!$G:$G,MATCH(RAW!F658,'NEW HIRE ROSTER'!$A:$A,0))</f>
        <v>#N/A</v>
      </c>
      <c r="C658" s="90" t="e">
        <f>INDEX('NEW HIRE ROSTER'!$F:$F,MATCH(RAW!F658,'NEW HIRE ROSTER'!$A:$A,0))</f>
        <v>#N/A</v>
      </c>
      <c r="D658" s="90" t="e">
        <f>INDEX('Validation List'!$H:$H,MATCH(RAW!E658,'Validation List'!$F:$F,0))</f>
        <v>#N/A</v>
      </c>
      <c r="G658" s="90" t="e">
        <f>VLOOKUP(F658,ML!C642:D1240,2,FALSE)</f>
        <v>#N/A</v>
      </c>
      <c r="H658" s="90" t="e">
        <f>VLOOKUP(F658,ML!C642:E1240,3,FALSE)</f>
        <v>#N/A</v>
      </c>
    </row>
    <row r="659" spans="1:8" x14ac:dyDescent="0.35">
      <c r="A659" s="90" t="e">
        <f>VLOOKUP(E659,'Validation List'!F660:G1055,2,FALSE)</f>
        <v>#N/A</v>
      </c>
      <c r="B659" s="90" t="e">
        <f>INDEX('NEW HIRE ROSTER'!$G:$G,MATCH(RAW!F659,'NEW HIRE ROSTER'!$A:$A,0))</f>
        <v>#N/A</v>
      </c>
      <c r="C659" s="90" t="e">
        <f>INDEX('NEW HIRE ROSTER'!$F:$F,MATCH(RAW!F659,'NEW HIRE ROSTER'!$A:$A,0))</f>
        <v>#N/A</v>
      </c>
      <c r="D659" s="90" t="e">
        <f>INDEX('Validation List'!$H:$H,MATCH(RAW!E659,'Validation List'!$F:$F,0))</f>
        <v>#N/A</v>
      </c>
      <c r="G659" s="90" t="e">
        <f>VLOOKUP(F659,ML!C643:D1241,2,FALSE)</f>
        <v>#N/A</v>
      </c>
      <c r="H659" s="90" t="e">
        <f>VLOOKUP(F659,ML!C643:E1241,3,FALSE)</f>
        <v>#N/A</v>
      </c>
    </row>
    <row r="660" spans="1:8" x14ac:dyDescent="0.35">
      <c r="A660" s="90" t="e">
        <f>VLOOKUP(E660,'Validation List'!F661:G1056,2,FALSE)</f>
        <v>#N/A</v>
      </c>
      <c r="B660" s="90" t="e">
        <f>INDEX('NEW HIRE ROSTER'!$G:$G,MATCH(RAW!F660,'NEW HIRE ROSTER'!$A:$A,0))</f>
        <v>#N/A</v>
      </c>
      <c r="C660" s="90" t="e">
        <f>INDEX('NEW HIRE ROSTER'!$F:$F,MATCH(RAW!F660,'NEW HIRE ROSTER'!$A:$A,0))</f>
        <v>#N/A</v>
      </c>
      <c r="D660" s="90" t="e">
        <f>INDEX('Validation List'!$H:$H,MATCH(RAW!E660,'Validation List'!$F:$F,0))</f>
        <v>#N/A</v>
      </c>
      <c r="G660" s="90" t="e">
        <f>VLOOKUP(F660,ML!C644:D1242,2,FALSE)</f>
        <v>#N/A</v>
      </c>
      <c r="H660" s="90" t="e">
        <f>VLOOKUP(F660,ML!C644:E1242,3,FALSE)</f>
        <v>#N/A</v>
      </c>
    </row>
    <row r="661" spans="1:8" x14ac:dyDescent="0.35">
      <c r="A661" s="90" t="e">
        <f>VLOOKUP(E661,'Validation List'!F662:G1057,2,FALSE)</f>
        <v>#N/A</v>
      </c>
      <c r="B661" s="90" t="e">
        <f>INDEX('NEW HIRE ROSTER'!$G:$G,MATCH(RAW!F661,'NEW HIRE ROSTER'!$A:$A,0))</f>
        <v>#N/A</v>
      </c>
      <c r="C661" s="90" t="e">
        <f>INDEX('NEW HIRE ROSTER'!$F:$F,MATCH(RAW!F661,'NEW HIRE ROSTER'!$A:$A,0))</f>
        <v>#N/A</v>
      </c>
      <c r="D661" s="90" t="e">
        <f>INDEX('Validation List'!$H:$H,MATCH(RAW!E661,'Validation List'!$F:$F,0))</f>
        <v>#N/A</v>
      </c>
      <c r="G661" s="90" t="e">
        <f>VLOOKUP(F661,ML!C645:D1243,2,FALSE)</f>
        <v>#N/A</v>
      </c>
      <c r="H661" s="90" t="e">
        <f>VLOOKUP(F661,ML!C645:E1243,3,FALSE)</f>
        <v>#N/A</v>
      </c>
    </row>
    <row r="662" spans="1:8" x14ac:dyDescent="0.35">
      <c r="A662" s="90" t="e">
        <f>VLOOKUP(E662,'Validation List'!F663:G1058,2,FALSE)</f>
        <v>#N/A</v>
      </c>
      <c r="B662" s="90" t="e">
        <f>INDEX('NEW HIRE ROSTER'!$G:$G,MATCH(RAW!F662,'NEW HIRE ROSTER'!$A:$A,0))</f>
        <v>#N/A</v>
      </c>
      <c r="C662" s="90" t="e">
        <f>INDEX('NEW HIRE ROSTER'!$F:$F,MATCH(RAW!F662,'NEW HIRE ROSTER'!$A:$A,0))</f>
        <v>#N/A</v>
      </c>
      <c r="D662" s="90" t="e">
        <f>INDEX('Validation List'!$H:$H,MATCH(RAW!E662,'Validation List'!$F:$F,0))</f>
        <v>#N/A</v>
      </c>
      <c r="G662" s="90" t="e">
        <f>VLOOKUP(F662,ML!C646:D1244,2,FALSE)</f>
        <v>#N/A</v>
      </c>
      <c r="H662" s="90" t="e">
        <f>VLOOKUP(F662,ML!C646:E1244,3,FALSE)</f>
        <v>#N/A</v>
      </c>
    </row>
    <row r="663" spans="1:8" x14ac:dyDescent="0.35">
      <c r="A663" s="90" t="e">
        <f>VLOOKUP(E663,'Validation List'!F664:G1059,2,FALSE)</f>
        <v>#N/A</v>
      </c>
      <c r="B663" s="90" t="e">
        <f>INDEX('NEW HIRE ROSTER'!$G:$G,MATCH(RAW!F663,'NEW HIRE ROSTER'!$A:$A,0))</f>
        <v>#N/A</v>
      </c>
      <c r="C663" s="90" t="e">
        <f>INDEX('NEW HIRE ROSTER'!$F:$F,MATCH(RAW!F663,'NEW HIRE ROSTER'!$A:$A,0))</f>
        <v>#N/A</v>
      </c>
      <c r="D663" s="90" t="e">
        <f>INDEX('Validation List'!$H:$H,MATCH(RAW!E663,'Validation List'!$F:$F,0))</f>
        <v>#N/A</v>
      </c>
      <c r="G663" s="90" t="e">
        <f>VLOOKUP(F663,ML!C647:D1245,2,FALSE)</f>
        <v>#N/A</v>
      </c>
      <c r="H663" s="90" t="e">
        <f>VLOOKUP(F663,ML!C647:E1245,3,FALSE)</f>
        <v>#N/A</v>
      </c>
    </row>
    <row r="664" spans="1:8" x14ac:dyDescent="0.35">
      <c r="A664" s="90" t="e">
        <f>VLOOKUP(E664,'Validation List'!F665:G1060,2,FALSE)</f>
        <v>#N/A</v>
      </c>
      <c r="B664" s="90" t="e">
        <f>INDEX('NEW HIRE ROSTER'!$G:$G,MATCH(RAW!F664,'NEW HIRE ROSTER'!$A:$A,0))</f>
        <v>#N/A</v>
      </c>
      <c r="C664" s="90" t="e">
        <f>INDEX('NEW HIRE ROSTER'!$F:$F,MATCH(RAW!F664,'NEW HIRE ROSTER'!$A:$A,0))</f>
        <v>#N/A</v>
      </c>
      <c r="D664" s="90" t="e">
        <f>INDEX('Validation List'!$H:$H,MATCH(RAW!E664,'Validation List'!$F:$F,0))</f>
        <v>#N/A</v>
      </c>
      <c r="G664" s="90" t="e">
        <f>VLOOKUP(F664,ML!C648:D1246,2,FALSE)</f>
        <v>#N/A</v>
      </c>
      <c r="H664" s="90" t="e">
        <f>VLOOKUP(F664,ML!C648:E1246,3,FALSE)</f>
        <v>#N/A</v>
      </c>
    </row>
    <row r="665" spans="1:8" x14ac:dyDescent="0.35">
      <c r="A665" s="90" t="e">
        <f>VLOOKUP(E665,'Validation List'!F666:G1061,2,FALSE)</f>
        <v>#N/A</v>
      </c>
      <c r="B665" s="90" t="e">
        <f>INDEX('NEW HIRE ROSTER'!$G:$G,MATCH(RAW!F665,'NEW HIRE ROSTER'!$A:$A,0))</f>
        <v>#N/A</v>
      </c>
      <c r="C665" s="90" t="e">
        <f>INDEX('NEW HIRE ROSTER'!$F:$F,MATCH(RAW!F665,'NEW HIRE ROSTER'!$A:$A,0))</f>
        <v>#N/A</v>
      </c>
      <c r="D665" s="90" t="e">
        <f>INDEX('Validation List'!$H:$H,MATCH(RAW!E665,'Validation List'!$F:$F,0))</f>
        <v>#N/A</v>
      </c>
      <c r="G665" s="90" t="e">
        <f>VLOOKUP(F665,ML!C649:D1247,2,FALSE)</f>
        <v>#N/A</v>
      </c>
      <c r="H665" s="90" t="e">
        <f>VLOOKUP(F665,ML!C649:E1247,3,FALSE)</f>
        <v>#N/A</v>
      </c>
    </row>
    <row r="666" spans="1:8" x14ac:dyDescent="0.35">
      <c r="A666" s="90" t="e">
        <f>VLOOKUP(E666,'Validation List'!F667:G1062,2,FALSE)</f>
        <v>#N/A</v>
      </c>
      <c r="B666" s="90" t="e">
        <f>INDEX('NEW HIRE ROSTER'!$G:$G,MATCH(RAW!F666,'NEW HIRE ROSTER'!$A:$A,0))</f>
        <v>#N/A</v>
      </c>
      <c r="C666" s="90" t="e">
        <f>INDEX('NEW HIRE ROSTER'!$F:$F,MATCH(RAW!F666,'NEW HIRE ROSTER'!$A:$A,0))</f>
        <v>#N/A</v>
      </c>
      <c r="D666" s="90" t="e">
        <f>INDEX('Validation List'!$H:$H,MATCH(RAW!E666,'Validation List'!$F:$F,0))</f>
        <v>#N/A</v>
      </c>
      <c r="G666" s="90" t="e">
        <f>VLOOKUP(F666,ML!C650:D1248,2,FALSE)</f>
        <v>#N/A</v>
      </c>
      <c r="H666" s="90" t="e">
        <f>VLOOKUP(F666,ML!C650:E1248,3,FALSE)</f>
        <v>#N/A</v>
      </c>
    </row>
    <row r="667" spans="1:8" x14ac:dyDescent="0.35">
      <c r="A667" s="90" t="e">
        <f>VLOOKUP(E667,'Validation List'!F668:G1063,2,FALSE)</f>
        <v>#N/A</v>
      </c>
      <c r="B667" s="90" t="e">
        <f>INDEX('NEW HIRE ROSTER'!$G:$G,MATCH(RAW!F667,'NEW HIRE ROSTER'!$A:$A,0))</f>
        <v>#N/A</v>
      </c>
      <c r="C667" s="90" t="e">
        <f>INDEX('NEW HIRE ROSTER'!$F:$F,MATCH(RAW!F667,'NEW HIRE ROSTER'!$A:$A,0))</f>
        <v>#N/A</v>
      </c>
      <c r="D667" s="90" t="e">
        <f>INDEX('Validation List'!$H:$H,MATCH(RAW!E667,'Validation List'!$F:$F,0))</f>
        <v>#N/A</v>
      </c>
      <c r="G667" s="90" t="e">
        <f>VLOOKUP(F667,ML!C651:D1249,2,FALSE)</f>
        <v>#N/A</v>
      </c>
      <c r="H667" s="90" t="e">
        <f>VLOOKUP(F667,ML!C651:E1249,3,FALSE)</f>
        <v>#N/A</v>
      </c>
    </row>
    <row r="668" spans="1:8" x14ac:dyDescent="0.35">
      <c r="A668" s="90" t="e">
        <f>VLOOKUP(E668,'Validation List'!F669:G1064,2,FALSE)</f>
        <v>#N/A</v>
      </c>
      <c r="B668" s="90" t="e">
        <f>INDEX('NEW HIRE ROSTER'!$G:$G,MATCH(RAW!F668,'NEW HIRE ROSTER'!$A:$A,0))</f>
        <v>#N/A</v>
      </c>
      <c r="C668" s="90" t="e">
        <f>INDEX('NEW HIRE ROSTER'!$F:$F,MATCH(RAW!F668,'NEW HIRE ROSTER'!$A:$A,0))</f>
        <v>#N/A</v>
      </c>
      <c r="D668" s="90" t="e">
        <f>INDEX('Validation List'!$H:$H,MATCH(RAW!E668,'Validation List'!$F:$F,0))</f>
        <v>#N/A</v>
      </c>
      <c r="G668" s="90" t="e">
        <f>VLOOKUP(F668,ML!C652:D1250,2,FALSE)</f>
        <v>#N/A</v>
      </c>
      <c r="H668" s="90" t="e">
        <f>VLOOKUP(F668,ML!C652:E1250,3,FALSE)</f>
        <v>#N/A</v>
      </c>
    </row>
    <row r="669" spans="1:8" x14ac:dyDescent="0.35">
      <c r="A669" s="90" t="e">
        <f>VLOOKUP(E669,'Validation List'!F670:G1065,2,FALSE)</f>
        <v>#N/A</v>
      </c>
      <c r="B669" s="90" t="e">
        <f>INDEX('NEW HIRE ROSTER'!$G:$G,MATCH(RAW!F669,'NEW HIRE ROSTER'!$A:$A,0))</f>
        <v>#N/A</v>
      </c>
      <c r="C669" s="90" t="e">
        <f>INDEX('NEW HIRE ROSTER'!$F:$F,MATCH(RAW!F669,'NEW HIRE ROSTER'!$A:$A,0))</f>
        <v>#N/A</v>
      </c>
      <c r="D669" s="90" t="e">
        <f>INDEX('Validation List'!$H:$H,MATCH(RAW!E669,'Validation List'!$F:$F,0))</f>
        <v>#N/A</v>
      </c>
      <c r="G669" s="90" t="e">
        <f>VLOOKUP(F669,ML!C653:D1251,2,FALSE)</f>
        <v>#N/A</v>
      </c>
      <c r="H669" s="90" t="e">
        <f>VLOOKUP(F669,ML!C653:E1251,3,FALSE)</f>
        <v>#N/A</v>
      </c>
    </row>
    <row r="670" spans="1:8" x14ac:dyDescent="0.35">
      <c r="A670" s="90" t="e">
        <f>VLOOKUP(E670,'Validation List'!F671:G1066,2,FALSE)</f>
        <v>#N/A</v>
      </c>
      <c r="B670" s="90" t="e">
        <f>INDEX('NEW HIRE ROSTER'!$G:$G,MATCH(RAW!F670,'NEW HIRE ROSTER'!$A:$A,0))</f>
        <v>#N/A</v>
      </c>
      <c r="C670" s="90" t="e">
        <f>INDEX('NEW HIRE ROSTER'!$F:$F,MATCH(RAW!F670,'NEW HIRE ROSTER'!$A:$A,0))</f>
        <v>#N/A</v>
      </c>
      <c r="D670" s="90" t="e">
        <f>INDEX('Validation List'!$H:$H,MATCH(RAW!E670,'Validation List'!$F:$F,0))</f>
        <v>#N/A</v>
      </c>
      <c r="G670" s="90" t="e">
        <f>VLOOKUP(F670,ML!C654:D1252,2,FALSE)</f>
        <v>#N/A</v>
      </c>
      <c r="H670" s="90" t="e">
        <f>VLOOKUP(F670,ML!C654:E1252,3,FALSE)</f>
        <v>#N/A</v>
      </c>
    </row>
    <row r="671" spans="1:8" x14ac:dyDescent="0.35">
      <c r="A671" s="90" t="e">
        <f>VLOOKUP(E671,'Validation List'!F672:G1067,2,FALSE)</f>
        <v>#N/A</v>
      </c>
      <c r="B671" s="90" t="e">
        <f>INDEX('NEW HIRE ROSTER'!$G:$G,MATCH(RAW!F671,'NEW HIRE ROSTER'!$A:$A,0))</f>
        <v>#N/A</v>
      </c>
      <c r="C671" s="90" t="e">
        <f>INDEX('NEW HIRE ROSTER'!$F:$F,MATCH(RAW!F671,'NEW HIRE ROSTER'!$A:$A,0))</f>
        <v>#N/A</v>
      </c>
      <c r="D671" s="90" t="e">
        <f>INDEX('Validation List'!$H:$H,MATCH(RAW!E671,'Validation List'!$F:$F,0))</f>
        <v>#N/A</v>
      </c>
      <c r="G671" s="90" t="e">
        <f>VLOOKUP(F671,ML!C655:D1253,2,FALSE)</f>
        <v>#N/A</v>
      </c>
      <c r="H671" s="90" t="e">
        <f>VLOOKUP(F671,ML!C655:E1253,3,FALSE)</f>
        <v>#N/A</v>
      </c>
    </row>
    <row r="672" spans="1:8" x14ac:dyDescent="0.35">
      <c r="A672" s="90" t="e">
        <f>VLOOKUP(E672,'Validation List'!F673:G1068,2,FALSE)</f>
        <v>#N/A</v>
      </c>
      <c r="B672" s="90" t="e">
        <f>INDEX('NEW HIRE ROSTER'!$G:$G,MATCH(RAW!F672,'NEW HIRE ROSTER'!$A:$A,0))</f>
        <v>#N/A</v>
      </c>
      <c r="C672" s="90" t="e">
        <f>INDEX('NEW HIRE ROSTER'!$F:$F,MATCH(RAW!F672,'NEW HIRE ROSTER'!$A:$A,0))</f>
        <v>#N/A</v>
      </c>
      <c r="D672" s="90" t="e">
        <f>INDEX('Validation List'!$H:$H,MATCH(RAW!E672,'Validation List'!$F:$F,0))</f>
        <v>#N/A</v>
      </c>
      <c r="G672" s="90" t="e">
        <f>VLOOKUP(F672,ML!C656:D1254,2,FALSE)</f>
        <v>#N/A</v>
      </c>
      <c r="H672" s="90" t="e">
        <f>VLOOKUP(F672,ML!C656:E1254,3,FALSE)</f>
        <v>#N/A</v>
      </c>
    </row>
    <row r="673" spans="1:8" x14ac:dyDescent="0.35">
      <c r="A673" s="90" t="e">
        <f>VLOOKUP(E673,'Validation List'!F674:G1069,2,FALSE)</f>
        <v>#N/A</v>
      </c>
      <c r="B673" s="90" t="e">
        <f>INDEX('NEW HIRE ROSTER'!$G:$G,MATCH(RAW!F673,'NEW HIRE ROSTER'!$A:$A,0))</f>
        <v>#N/A</v>
      </c>
      <c r="C673" s="90" t="e">
        <f>INDEX('NEW HIRE ROSTER'!$F:$F,MATCH(RAW!F673,'NEW HIRE ROSTER'!$A:$A,0))</f>
        <v>#N/A</v>
      </c>
      <c r="D673" s="90" t="e">
        <f>INDEX('Validation List'!$H:$H,MATCH(RAW!E673,'Validation List'!$F:$F,0))</f>
        <v>#N/A</v>
      </c>
      <c r="G673" s="90" t="e">
        <f>VLOOKUP(F673,ML!C657:D1255,2,FALSE)</f>
        <v>#N/A</v>
      </c>
      <c r="H673" s="90" t="e">
        <f>VLOOKUP(F673,ML!C657:E1255,3,FALSE)</f>
        <v>#N/A</v>
      </c>
    </row>
    <row r="674" spans="1:8" x14ac:dyDescent="0.35">
      <c r="A674" s="90" t="e">
        <f>VLOOKUP(E674,'Validation List'!F675:G1070,2,FALSE)</f>
        <v>#N/A</v>
      </c>
      <c r="B674" s="90" t="e">
        <f>INDEX('NEW HIRE ROSTER'!$G:$G,MATCH(RAW!F674,'NEW HIRE ROSTER'!$A:$A,0))</f>
        <v>#N/A</v>
      </c>
      <c r="C674" s="90" t="e">
        <f>INDEX('NEW HIRE ROSTER'!$F:$F,MATCH(RAW!F674,'NEW HIRE ROSTER'!$A:$A,0))</f>
        <v>#N/A</v>
      </c>
      <c r="D674" s="90" t="e">
        <f>INDEX('Validation List'!$H:$H,MATCH(RAW!E674,'Validation List'!$F:$F,0))</f>
        <v>#N/A</v>
      </c>
      <c r="G674" s="90" t="e">
        <f>VLOOKUP(F674,ML!C658:D1256,2,FALSE)</f>
        <v>#N/A</v>
      </c>
      <c r="H674" s="90" t="e">
        <f>VLOOKUP(F674,ML!C658:E1256,3,FALSE)</f>
        <v>#N/A</v>
      </c>
    </row>
    <row r="675" spans="1:8" x14ac:dyDescent="0.35">
      <c r="A675" s="90" t="e">
        <f>VLOOKUP(E675,'Validation List'!F676:G1071,2,FALSE)</f>
        <v>#N/A</v>
      </c>
      <c r="B675" s="90" t="e">
        <f>INDEX('NEW HIRE ROSTER'!$G:$G,MATCH(RAW!F675,'NEW HIRE ROSTER'!$A:$A,0))</f>
        <v>#N/A</v>
      </c>
      <c r="C675" s="90" t="e">
        <f>INDEX('NEW HIRE ROSTER'!$F:$F,MATCH(RAW!F675,'NEW HIRE ROSTER'!$A:$A,0))</f>
        <v>#N/A</v>
      </c>
      <c r="D675" s="90" t="e">
        <f>INDEX('Validation List'!$H:$H,MATCH(RAW!E675,'Validation List'!$F:$F,0))</f>
        <v>#N/A</v>
      </c>
      <c r="G675" s="90" t="e">
        <f>VLOOKUP(F675,ML!C659:D1257,2,FALSE)</f>
        <v>#N/A</v>
      </c>
      <c r="H675" s="90" t="e">
        <f>VLOOKUP(F675,ML!C659:E1257,3,FALSE)</f>
        <v>#N/A</v>
      </c>
    </row>
    <row r="676" spans="1:8" x14ac:dyDescent="0.35">
      <c r="A676" s="90" t="e">
        <f>VLOOKUP(E676,'Validation List'!F677:G1072,2,FALSE)</f>
        <v>#N/A</v>
      </c>
      <c r="B676" s="90" t="e">
        <f>INDEX('NEW HIRE ROSTER'!$G:$G,MATCH(RAW!F676,'NEW HIRE ROSTER'!$A:$A,0))</f>
        <v>#N/A</v>
      </c>
      <c r="C676" s="90" t="e">
        <f>INDEX('NEW HIRE ROSTER'!$F:$F,MATCH(RAW!F676,'NEW HIRE ROSTER'!$A:$A,0))</f>
        <v>#N/A</v>
      </c>
      <c r="D676" s="90" t="e">
        <f>INDEX('Validation List'!$H:$H,MATCH(RAW!E676,'Validation List'!$F:$F,0))</f>
        <v>#N/A</v>
      </c>
      <c r="G676" s="90" t="e">
        <f>VLOOKUP(F676,ML!C660:D1258,2,FALSE)</f>
        <v>#N/A</v>
      </c>
      <c r="H676" s="90" t="e">
        <f>VLOOKUP(F676,ML!C660:E1258,3,FALSE)</f>
        <v>#N/A</v>
      </c>
    </row>
    <row r="677" spans="1:8" x14ac:dyDescent="0.35">
      <c r="A677" s="90" t="e">
        <f>VLOOKUP(E677,'Validation List'!F678:G1073,2,FALSE)</f>
        <v>#N/A</v>
      </c>
      <c r="B677" s="90" t="e">
        <f>INDEX('NEW HIRE ROSTER'!$G:$G,MATCH(RAW!F677,'NEW HIRE ROSTER'!$A:$A,0))</f>
        <v>#N/A</v>
      </c>
      <c r="C677" s="90" t="e">
        <f>INDEX('NEW HIRE ROSTER'!$F:$F,MATCH(RAW!F677,'NEW HIRE ROSTER'!$A:$A,0))</f>
        <v>#N/A</v>
      </c>
      <c r="D677" s="90" t="e">
        <f>INDEX('Validation List'!$H:$H,MATCH(RAW!E677,'Validation List'!$F:$F,0))</f>
        <v>#N/A</v>
      </c>
      <c r="G677" s="90" t="e">
        <f>VLOOKUP(F677,ML!C661:D1259,2,FALSE)</f>
        <v>#N/A</v>
      </c>
      <c r="H677" s="90" t="e">
        <f>VLOOKUP(F677,ML!C661:E1259,3,FALSE)</f>
        <v>#N/A</v>
      </c>
    </row>
    <row r="678" spans="1:8" x14ac:dyDescent="0.35">
      <c r="A678" s="90" t="e">
        <f>VLOOKUP(E678,'Validation List'!F679:G1074,2,FALSE)</f>
        <v>#N/A</v>
      </c>
      <c r="B678" s="90" t="e">
        <f>INDEX('NEW HIRE ROSTER'!$G:$G,MATCH(RAW!F678,'NEW HIRE ROSTER'!$A:$A,0))</f>
        <v>#N/A</v>
      </c>
      <c r="C678" s="90" t="e">
        <f>INDEX('NEW HIRE ROSTER'!$F:$F,MATCH(RAW!F678,'NEW HIRE ROSTER'!$A:$A,0))</f>
        <v>#N/A</v>
      </c>
      <c r="D678" s="90" t="e">
        <f>INDEX('Validation List'!$H:$H,MATCH(RAW!E678,'Validation List'!$F:$F,0))</f>
        <v>#N/A</v>
      </c>
      <c r="G678" s="90" t="e">
        <f>VLOOKUP(F678,ML!C662:D1260,2,FALSE)</f>
        <v>#N/A</v>
      </c>
      <c r="H678" s="90" t="e">
        <f>VLOOKUP(F678,ML!C662:E1260,3,FALSE)</f>
        <v>#N/A</v>
      </c>
    </row>
    <row r="679" spans="1:8" x14ac:dyDescent="0.35">
      <c r="A679" s="90" t="e">
        <f>VLOOKUP(E679,'Validation List'!F680:G1075,2,FALSE)</f>
        <v>#N/A</v>
      </c>
      <c r="B679" s="90" t="e">
        <f>INDEX('NEW HIRE ROSTER'!$G:$G,MATCH(RAW!F679,'NEW HIRE ROSTER'!$A:$A,0))</f>
        <v>#N/A</v>
      </c>
      <c r="C679" s="90" t="e">
        <f>INDEX('NEW HIRE ROSTER'!$F:$F,MATCH(RAW!F679,'NEW HIRE ROSTER'!$A:$A,0))</f>
        <v>#N/A</v>
      </c>
      <c r="D679" s="90" t="e">
        <f>INDEX('Validation List'!$H:$H,MATCH(RAW!E679,'Validation List'!$F:$F,0))</f>
        <v>#N/A</v>
      </c>
      <c r="G679" s="90" t="e">
        <f>VLOOKUP(F679,ML!C663:D1261,2,FALSE)</f>
        <v>#N/A</v>
      </c>
      <c r="H679" s="90" t="e">
        <f>VLOOKUP(F679,ML!C663:E1261,3,FALSE)</f>
        <v>#N/A</v>
      </c>
    </row>
    <row r="680" spans="1:8" x14ac:dyDescent="0.35">
      <c r="A680" s="90" t="e">
        <f>VLOOKUP(E680,'Validation List'!F681:G1076,2,FALSE)</f>
        <v>#N/A</v>
      </c>
      <c r="B680" s="90" t="e">
        <f>INDEX('NEW HIRE ROSTER'!$G:$G,MATCH(RAW!F680,'NEW HIRE ROSTER'!$A:$A,0))</f>
        <v>#N/A</v>
      </c>
      <c r="C680" s="90" t="e">
        <f>INDEX('NEW HIRE ROSTER'!$F:$F,MATCH(RAW!F680,'NEW HIRE ROSTER'!$A:$A,0))</f>
        <v>#N/A</v>
      </c>
      <c r="D680" s="90" t="e">
        <f>INDEX('Validation List'!$H:$H,MATCH(RAW!E680,'Validation List'!$F:$F,0))</f>
        <v>#N/A</v>
      </c>
      <c r="G680" s="90" t="e">
        <f>VLOOKUP(F680,ML!C664:D1262,2,FALSE)</f>
        <v>#N/A</v>
      </c>
      <c r="H680" s="90" t="e">
        <f>VLOOKUP(F680,ML!C664:E1262,3,FALSE)</f>
        <v>#N/A</v>
      </c>
    </row>
    <row r="681" spans="1:8" x14ac:dyDescent="0.35">
      <c r="A681" s="90" t="e">
        <f>VLOOKUP(E681,'Validation List'!F682:G1077,2,FALSE)</f>
        <v>#N/A</v>
      </c>
      <c r="B681" s="90" t="e">
        <f>INDEX('NEW HIRE ROSTER'!$G:$G,MATCH(RAW!F681,'NEW HIRE ROSTER'!$A:$A,0))</f>
        <v>#N/A</v>
      </c>
      <c r="C681" s="90" t="e">
        <f>INDEX('NEW HIRE ROSTER'!$F:$F,MATCH(RAW!F681,'NEW HIRE ROSTER'!$A:$A,0))</f>
        <v>#N/A</v>
      </c>
      <c r="D681" s="90" t="e">
        <f>INDEX('Validation List'!$H:$H,MATCH(RAW!E681,'Validation List'!$F:$F,0))</f>
        <v>#N/A</v>
      </c>
      <c r="G681" s="90" t="e">
        <f>VLOOKUP(F681,ML!C665:D1263,2,FALSE)</f>
        <v>#N/A</v>
      </c>
      <c r="H681" s="90" t="e">
        <f>VLOOKUP(F681,ML!C665:E1263,3,FALSE)</f>
        <v>#N/A</v>
      </c>
    </row>
    <row r="682" spans="1:8" x14ac:dyDescent="0.35">
      <c r="A682" s="90" t="e">
        <f>VLOOKUP(E682,'Validation List'!F683:G1078,2,FALSE)</f>
        <v>#N/A</v>
      </c>
      <c r="B682" s="90" t="e">
        <f>INDEX('NEW HIRE ROSTER'!$G:$G,MATCH(RAW!F682,'NEW HIRE ROSTER'!$A:$A,0))</f>
        <v>#N/A</v>
      </c>
      <c r="C682" s="90" t="e">
        <f>INDEX('NEW HIRE ROSTER'!$F:$F,MATCH(RAW!F682,'NEW HIRE ROSTER'!$A:$A,0))</f>
        <v>#N/A</v>
      </c>
      <c r="D682" s="90" t="e">
        <f>INDEX('Validation List'!$H:$H,MATCH(RAW!E682,'Validation List'!$F:$F,0))</f>
        <v>#N/A</v>
      </c>
      <c r="G682" s="90" t="e">
        <f>VLOOKUP(F682,ML!C666:D1264,2,FALSE)</f>
        <v>#N/A</v>
      </c>
      <c r="H682" s="90" t="e">
        <f>VLOOKUP(F682,ML!C666:E1264,3,FALSE)</f>
        <v>#N/A</v>
      </c>
    </row>
    <row r="683" spans="1:8" x14ac:dyDescent="0.35">
      <c r="A683" s="90" t="e">
        <f>VLOOKUP(E683,'Validation List'!F684:G1079,2,FALSE)</f>
        <v>#N/A</v>
      </c>
      <c r="B683" s="90" t="e">
        <f>INDEX('NEW HIRE ROSTER'!$G:$G,MATCH(RAW!F683,'NEW HIRE ROSTER'!$A:$A,0))</f>
        <v>#N/A</v>
      </c>
      <c r="C683" s="90" t="e">
        <f>INDEX('NEW HIRE ROSTER'!$F:$F,MATCH(RAW!F683,'NEW HIRE ROSTER'!$A:$A,0))</f>
        <v>#N/A</v>
      </c>
      <c r="D683" s="90" t="e">
        <f>INDEX('Validation List'!$H:$H,MATCH(RAW!E683,'Validation List'!$F:$F,0))</f>
        <v>#N/A</v>
      </c>
      <c r="G683" s="90" t="e">
        <f>VLOOKUP(F683,ML!C667:D1265,2,FALSE)</f>
        <v>#N/A</v>
      </c>
      <c r="H683" s="90" t="e">
        <f>VLOOKUP(F683,ML!C667:E1265,3,FALSE)</f>
        <v>#N/A</v>
      </c>
    </row>
    <row r="684" spans="1:8" x14ac:dyDescent="0.35">
      <c r="A684" s="90" t="e">
        <f>VLOOKUP(E684,'Validation List'!F685:G1080,2,FALSE)</f>
        <v>#N/A</v>
      </c>
      <c r="B684" s="90" t="e">
        <f>INDEX('NEW HIRE ROSTER'!$G:$G,MATCH(RAW!F684,'NEW HIRE ROSTER'!$A:$A,0))</f>
        <v>#N/A</v>
      </c>
      <c r="C684" s="90" t="e">
        <f>INDEX('NEW HIRE ROSTER'!$F:$F,MATCH(RAW!F684,'NEW HIRE ROSTER'!$A:$A,0))</f>
        <v>#N/A</v>
      </c>
      <c r="D684" s="90" t="e">
        <f>INDEX('Validation List'!$H:$H,MATCH(RAW!E684,'Validation List'!$F:$F,0))</f>
        <v>#N/A</v>
      </c>
      <c r="G684" s="90" t="e">
        <f>VLOOKUP(F684,ML!C668:D1266,2,FALSE)</f>
        <v>#N/A</v>
      </c>
      <c r="H684" s="90" t="e">
        <f>VLOOKUP(F684,ML!C668:E1266,3,FALSE)</f>
        <v>#N/A</v>
      </c>
    </row>
    <row r="685" spans="1:8" x14ac:dyDescent="0.35">
      <c r="A685" s="90" t="e">
        <f>VLOOKUP(E685,'Validation List'!F686:G1081,2,FALSE)</f>
        <v>#N/A</v>
      </c>
      <c r="B685" s="90" t="e">
        <f>INDEX('NEW HIRE ROSTER'!$G:$G,MATCH(RAW!F685,'NEW HIRE ROSTER'!$A:$A,0))</f>
        <v>#N/A</v>
      </c>
      <c r="C685" s="90" t="e">
        <f>INDEX('NEW HIRE ROSTER'!$F:$F,MATCH(RAW!F685,'NEW HIRE ROSTER'!$A:$A,0))</f>
        <v>#N/A</v>
      </c>
      <c r="D685" s="90" t="e">
        <f>INDEX('Validation List'!$H:$H,MATCH(RAW!E685,'Validation List'!$F:$F,0))</f>
        <v>#N/A</v>
      </c>
      <c r="G685" s="90" t="e">
        <f>VLOOKUP(F685,ML!C669:D1267,2,FALSE)</f>
        <v>#N/A</v>
      </c>
      <c r="H685" s="90" t="e">
        <f>VLOOKUP(F685,ML!C669:E1267,3,FALSE)</f>
        <v>#N/A</v>
      </c>
    </row>
    <row r="686" spans="1:8" x14ac:dyDescent="0.35">
      <c r="A686" s="90" t="e">
        <f>VLOOKUP(E686,'Validation List'!F687:G1082,2,FALSE)</f>
        <v>#N/A</v>
      </c>
      <c r="B686" s="90" t="e">
        <f>INDEX('NEW HIRE ROSTER'!$G:$G,MATCH(RAW!F686,'NEW HIRE ROSTER'!$A:$A,0))</f>
        <v>#N/A</v>
      </c>
      <c r="C686" s="90" t="e">
        <f>INDEX('NEW HIRE ROSTER'!$F:$F,MATCH(RAW!F686,'NEW HIRE ROSTER'!$A:$A,0))</f>
        <v>#N/A</v>
      </c>
      <c r="D686" s="90" t="e">
        <f>INDEX('Validation List'!$H:$H,MATCH(RAW!E686,'Validation List'!$F:$F,0))</f>
        <v>#N/A</v>
      </c>
      <c r="G686" s="90" t="e">
        <f>VLOOKUP(F686,ML!C670:D1268,2,FALSE)</f>
        <v>#N/A</v>
      </c>
      <c r="H686" s="90" t="e">
        <f>VLOOKUP(F686,ML!C670:E1268,3,FALSE)</f>
        <v>#N/A</v>
      </c>
    </row>
    <row r="687" spans="1:8" x14ac:dyDescent="0.35">
      <c r="A687" s="90" t="e">
        <f>VLOOKUP(E687,'Validation List'!F688:G1083,2,FALSE)</f>
        <v>#N/A</v>
      </c>
      <c r="B687" s="90" t="e">
        <f>INDEX('NEW HIRE ROSTER'!$G:$G,MATCH(RAW!F687,'NEW HIRE ROSTER'!$A:$A,0))</f>
        <v>#N/A</v>
      </c>
      <c r="C687" s="90" t="e">
        <f>INDEX('NEW HIRE ROSTER'!$F:$F,MATCH(RAW!F687,'NEW HIRE ROSTER'!$A:$A,0))</f>
        <v>#N/A</v>
      </c>
      <c r="D687" s="90" t="e">
        <f>INDEX('Validation List'!$H:$H,MATCH(RAW!E687,'Validation List'!$F:$F,0))</f>
        <v>#N/A</v>
      </c>
      <c r="G687" s="90" t="e">
        <f>VLOOKUP(F687,ML!C671:D1269,2,FALSE)</f>
        <v>#N/A</v>
      </c>
      <c r="H687" s="90" t="e">
        <f>VLOOKUP(F687,ML!C671:E1269,3,FALSE)</f>
        <v>#N/A</v>
      </c>
    </row>
    <row r="688" spans="1:8" x14ac:dyDescent="0.35">
      <c r="A688" s="90" t="e">
        <f>VLOOKUP(E688,'Validation List'!F689:G1084,2,FALSE)</f>
        <v>#N/A</v>
      </c>
      <c r="B688" s="90" t="e">
        <f>INDEX('NEW HIRE ROSTER'!$G:$G,MATCH(RAW!F688,'NEW HIRE ROSTER'!$A:$A,0))</f>
        <v>#N/A</v>
      </c>
      <c r="C688" s="90" t="e">
        <f>INDEX('NEW HIRE ROSTER'!$F:$F,MATCH(RAW!F688,'NEW HIRE ROSTER'!$A:$A,0))</f>
        <v>#N/A</v>
      </c>
      <c r="D688" s="90" t="e">
        <f>INDEX('Validation List'!$H:$H,MATCH(RAW!E688,'Validation List'!$F:$F,0))</f>
        <v>#N/A</v>
      </c>
      <c r="G688" s="90" t="e">
        <f>VLOOKUP(F688,ML!C672:D1270,2,FALSE)</f>
        <v>#N/A</v>
      </c>
      <c r="H688" s="90" t="e">
        <f>VLOOKUP(F688,ML!C672:E1270,3,FALSE)</f>
        <v>#N/A</v>
      </c>
    </row>
    <row r="689" spans="1:8" x14ac:dyDescent="0.35">
      <c r="A689" s="90" t="e">
        <f>VLOOKUP(E689,'Validation List'!F690:G1085,2,FALSE)</f>
        <v>#N/A</v>
      </c>
      <c r="B689" s="90" t="e">
        <f>INDEX('NEW HIRE ROSTER'!$G:$G,MATCH(RAW!F689,'NEW HIRE ROSTER'!$A:$A,0))</f>
        <v>#N/A</v>
      </c>
      <c r="C689" s="90" t="e">
        <f>INDEX('NEW HIRE ROSTER'!$F:$F,MATCH(RAW!F689,'NEW HIRE ROSTER'!$A:$A,0))</f>
        <v>#N/A</v>
      </c>
      <c r="D689" s="90" t="e">
        <f>INDEX('Validation List'!$H:$H,MATCH(RAW!E689,'Validation List'!$F:$F,0))</f>
        <v>#N/A</v>
      </c>
      <c r="G689" s="90" t="e">
        <f>VLOOKUP(F689,ML!C673:D1271,2,FALSE)</f>
        <v>#N/A</v>
      </c>
      <c r="H689" s="90" t="e">
        <f>VLOOKUP(F689,ML!C673:E1271,3,FALSE)</f>
        <v>#N/A</v>
      </c>
    </row>
    <row r="690" spans="1:8" x14ac:dyDescent="0.35">
      <c r="A690" s="90" t="e">
        <f>VLOOKUP(E690,'Validation List'!F691:G1086,2,FALSE)</f>
        <v>#N/A</v>
      </c>
      <c r="B690" s="90" t="e">
        <f>INDEX('NEW HIRE ROSTER'!$G:$G,MATCH(RAW!F690,'NEW HIRE ROSTER'!$A:$A,0))</f>
        <v>#N/A</v>
      </c>
      <c r="C690" s="90" t="e">
        <f>INDEX('NEW HIRE ROSTER'!$F:$F,MATCH(RAW!F690,'NEW HIRE ROSTER'!$A:$A,0))</f>
        <v>#N/A</v>
      </c>
      <c r="D690" s="90" t="e">
        <f>INDEX('Validation List'!$H:$H,MATCH(RAW!E690,'Validation List'!$F:$F,0))</f>
        <v>#N/A</v>
      </c>
      <c r="G690" s="90" t="e">
        <f>VLOOKUP(F690,ML!C674:D1272,2,FALSE)</f>
        <v>#N/A</v>
      </c>
      <c r="H690" s="90" t="e">
        <f>VLOOKUP(F690,ML!C674:E1272,3,FALSE)</f>
        <v>#N/A</v>
      </c>
    </row>
    <row r="691" spans="1:8" x14ac:dyDescent="0.35">
      <c r="A691" s="90" t="e">
        <f>VLOOKUP(E691,'Validation List'!F692:G1087,2,FALSE)</f>
        <v>#N/A</v>
      </c>
      <c r="B691" s="90" t="e">
        <f>INDEX('NEW HIRE ROSTER'!$G:$G,MATCH(RAW!F691,'NEW HIRE ROSTER'!$A:$A,0))</f>
        <v>#N/A</v>
      </c>
      <c r="C691" s="90" t="e">
        <f>INDEX('NEW HIRE ROSTER'!$F:$F,MATCH(RAW!F691,'NEW HIRE ROSTER'!$A:$A,0))</f>
        <v>#N/A</v>
      </c>
      <c r="D691" s="90" t="e">
        <f>INDEX('Validation List'!$H:$H,MATCH(RAW!E691,'Validation List'!$F:$F,0))</f>
        <v>#N/A</v>
      </c>
      <c r="G691" s="90" t="e">
        <f>VLOOKUP(F691,ML!C675:D1273,2,FALSE)</f>
        <v>#N/A</v>
      </c>
      <c r="H691" s="90" t="e">
        <f>VLOOKUP(F691,ML!C675:E1273,3,FALSE)</f>
        <v>#N/A</v>
      </c>
    </row>
    <row r="692" spans="1:8" x14ac:dyDescent="0.35">
      <c r="A692" s="90" t="e">
        <f>VLOOKUP(E692,'Validation List'!F693:G1088,2,FALSE)</f>
        <v>#N/A</v>
      </c>
      <c r="B692" s="90" t="e">
        <f>INDEX('NEW HIRE ROSTER'!$G:$G,MATCH(RAW!F692,'NEW HIRE ROSTER'!$A:$A,0))</f>
        <v>#N/A</v>
      </c>
      <c r="C692" s="90" t="e">
        <f>INDEX('NEW HIRE ROSTER'!$F:$F,MATCH(RAW!F692,'NEW HIRE ROSTER'!$A:$A,0))</f>
        <v>#N/A</v>
      </c>
      <c r="D692" s="90" t="e">
        <f>INDEX('Validation List'!$H:$H,MATCH(RAW!E692,'Validation List'!$F:$F,0))</f>
        <v>#N/A</v>
      </c>
      <c r="G692" s="90" t="e">
        <f>VLOOKUP(F692,ML!C676:D1274,2,FALSE)</f>
        <v>#N/A</v>
      </c>
      <c r="H692" s="90" t="e">
        <f>VLOOKUP(F692,ML!C676:E1274,3,FALSE)</f>
        <v>#N/A</v>
      </c>
    </row>
    <row r="693" spans="1:8" x14ac:dyDescent="0.35">
      <c r="A693" s="90" t="e">
        <f>VLOOKUP(E693,'Validation List'!F694:G1089,2,FALSE)</f>
        <v>#N/A</v>
      </c>
      <c r="B693" s="90" t="e">
        <f>INDEX('NEW HIRE ROSTER'!$G:$G,MATCH(RAW!F693,'NEW HIRE ROSTER'!$A:$A,0))</f>
        <v>#N/A</v>
      </c>
      <c r="C693" s="90" t="e">
        <f>INDEX('NEW HIRE ROSTER'!$F:$F,MATCH(RAW!F693,'NEW HIRE ROSTER'!$A:$A,0))</f>
        <v>#N/A</v>
      </c>
      <c r="D693" s="90" t="e">
        <f>INDEX('Validation List'!$H:$H,MATCH(RAW!E693,'Validation List'!$F:$F,0))</f>
        <v>#N/A</v>
      </c>
      <c r="G693" s="90" t="e">
        <f>VLOOKUP(F693,ML!C677:D1275,2,FALSE)</f>
        <v>#N/A</v>
      </c>
      <c r="H693" s="90" t="e">
        <f>VLOOKUP(F693,ML!C677:E1275,3,FALSE)</f>
        <v>#N/A</v>
      </c>
    </row>
    <row r="694" spans="1:8" x14ac:dyDescent="0.35">
      <c r="A694" s="90" t="e">
        <f>VLOOKUP(E694,'Validation List'!F695:G1090,2,FALSE)</f>
        <v>#N/A</v>
      </c>
      <c r="B694" s="90" t="e">
        <f>INDEX('NEW HIRE ROSTER'!$G:$G,MATCH(RAW!F694,'NEW HIRE ROSTER'!$A:$A,0))</f>
        <v>#N/A</v>
      </c>
      <c r="C694" s="90" t="e">
        <f>INDEX('NEW HIRE ROSTER'!$F:$F,MATCH(RAW!F694,'NEW HIRE ROSTER'!$A:$A,0))</f>
        <v>#N/A</v>
      </c>
      <c r="D694" s="90" t="e">
        <f>INDEX('Validation List'!$H:$H,MATCH(RAW!E694,'Validation List'!$F:$F,0))</f>
        <v>#N/A</v>
      </c>
      <c r="G694" s="90" t="e">
        <f>VLOOKUP(F694,ML!C678:D1276,2,FALSE)</f>
        <v>#N/A</v>
      </c>
      <c r="H694" s="90" t="e">
        <f>VLOOKUP(F694,ML!C678:E1276,3,FALSE)</f>
        <v>#N/A</v>
      </c>
    </row>
    <row r="695" spans="1:8" x14ac:dyDescent="0.35">
      <c r="A695" s="90" t="e">
        <f>VLOOKUP(E695,'Validation List'!F696:G1091,2,FALSE)</f>
        <v>#N/A</v>
      </c>
      <c r="B695" s="90" t="e">
        <f>INDEX('NEW HIRE ROSTER'!$G:$G,MATCH(RAW!F695,'NEW HIRE ROSTER'!$A:$A,0))</f>
        <v>#N/A</v>
      </c>
      <c r="C695" s="90" t="e">
        <f>INDEX('NEW HIRE ROSTER'!$F:$F,MATCH(RAW!F695,'NEW HIRE ROSTER'!$A:$A,0))</f>
        <v>#N/A</v>
      </c>
      <c r="D695" s="90" t="e">
        <f>INDEX('Validation List'!$H:$H,MATCH(RAW!E695,'Validation List'!$F:$F,0))</f>
        <v>#N/A</v>
      </c>
      <c r="G695" s="90" t="e">
        <f>VLOOKUP(F695,ML!C679:D1277,2,FALSE)</f>
        <v>#N/A</v>
      </c>
      <c r="H695" s="90" t="e">
        <f>VLOOKUP(F695,ML!C679:E1277,3,FALSE)</f>
        <v>#N/A</v>
      </c>
    </row>
    <row r="696" spans="1:8" x14ac:dyDescent="0.35">
      <c r="A696" s="90" t="e">
        <f>VLOOKUP(E696,'Validation List'!F697:G1092,2,FALSE)</f>
        <v>#N/A</v>
      </c>
      <c r="B696" s="90" t="e">
        <f>INDEX('NEW HIRE ROSTER'!$G:$G,MATCH(RAW!F696,'NEW HIRE ROSTER'!$A:$A,0))</f>
        <v>#N/A</v>
      </c>
      <c r="C696" s="90" t="e">
        <f>INDEX('NEW HIRE ROSTER'!$F:$F,MATCH(RAW!F696,'NEW HIRE ROSTER'!$A:$A,0))</f>
        <v>#N/A</v>
      </c>
      <c r="D696" s="90" t="e">
        <f>INDEX('Validation List'!$H:$H,MATCH(RAW!E696,'Validation List'!$F:$F,0))</f>
        <v>#N/A</v>
      </c>
      <c r="G696" s="90" t="e">
        <f>VLOOKUP(F696,ML!C680:D1278,2,FALSE)</f>
        <v>#N/A</v>
      </c>
      <c r="H696" s="90" t="e">
        <f>VLOOKUP(F696,ML!C680:E1278,3,FALSE)</f>
        <v>#N/A</v>
      </c>
    </row>
    <row r="697" spans="1:8" x14ac:dyDescent="0.35">
      <c r="A697" s="90" t="e">
        <f>VLOOKUP(E697,'Validation List'!F698:G1093,2,FALSE)</f>
        <v>#N/A</v>
      </c>
      <c r="B697" s="90" t="e">
        <f>INDEX('NEW HIRE ROSTER'!$G:$G,MATCH(RAW!F697,'NEW HIRE ROSTER'!$A:$A,0))</f>
        <v>#N/A</v>
      </c>
      <c r="C697" s="90" t="e">
        <f>INDEX('NEW HIRE ROSTER'!$F:$F,MATCH(RAW!F697,'NEW HIRE ROSTER'!$A:$A,0))</f>
        <v>#N/A</v>
      </c>
      <c r="D697" s="90" t="e">
        <f>INDEX('Validation List'!$H:$H,MATCH(RAW!E697,'Validation List'!$F:$F,0))</f>
        <v>#N/A</v>
      </c>
      <c r="G697" s="90" t="e">
        <f>VLOOKUP(F697,ML!C681:D1279,2,FALSE)</f>
        <v>#N/A</v>
      </c>
      <c r="H697" s="90" t="e">
        <f>VLOOKUP(F697,ML!C681:E1279,3,FALSE)</f>
        <v>#N/A</v>
      </c>
    </row>
    <row r="698" spans="1:8" x14ac:dyDescent="0.35">
      <c r="A698" s="90" t="e">
        <f>VLOOKUP(E698,'Validation List'!F699:G1094,2,FALSE)</f>
        <v>#N/A</v>
      </c>
      <c r="B698" s="90" t="e">
        <f>INDEX('NEW HIRE ROSTER'!$G:$G,MATCH(RAW!F698,'NEW HIRE ROSTER'!$A:$A,0))</f>
        <v>#N/A</v>
      </c>
      <c r="C698" s="90" t="e">
        <f>INDEX('NEW HIRE ROSTER'!$F:$F,MATCH(RAW!F698,'NEW HIRE ROSTER'!$A:$A,0))</f>
        <v>#N/A</v>
      </c>
      <c r="D698" s="90" t="e">
        <f>INDEX('Validation List'!$H:$H,MATCH(RAW!E698,'Validation List'!$F:$F,0))</f>
        <v>#N/A</v>
      </c>
      <c r="G698" s="90" t="e">
        <f>VLOOKUP(F698,ML!C682:D1280,2,FALSE)</f>
        <v>#N/A</v>
      </c>
      <c r="H698" s="90" t="e">
        <f>VLOOKUP(F698,ML!C682:E1280,3,FALSE)</f>
        <v>#N/A</v>
      </c>
    </row>
    <row r="699" spans="1:8" x14ac:dyDescent="0.35">
      <c r="A699" s="90" t="e">
        <f>VLOOKUP(E699,'Validation List'!F700:G1095,2,FALSE)</f>
        <v>#N/A</v>
      </c>
      <c r="B699" s="90" t="e">
        <f>INDEX('NEW HIRE ROSTER'!$G:$G,MATCH(RAW!F699,'NEW HIRE ROSTER'!$A:$A,0))</f>
        <v>#N/A</v>
      </c>
      <c r="C699" s="90" t="e">
        <f>INDEX('NEW HIRE ROSTER'!$F:$F,MATCH(RAW!F699,'NEW HIRE ROSTER'!$A:$A,0))</f>
        <v>#N/A</v>
      </c>
      <c r="D699" s="90" t="e">
        <f>INDEX('Validation List'!$H:$H,MATCH(RAW!E699,'Validation List'!$F:$F,0))</f>
        <v>#N/A</v>
      </c>
      <c r="G699" s="90" t="e">
        <f>VLOOKUP(F699,ML!C683:D1281,2,FALSE)</f>
        <v>#N/A</v>
      </c>
      <c r="H699" s="90" t="e">
        <f>VLOOKUP(F699,ML!C683:E1281,3,FALSE)</f>
        <v>#N/A</v>
      </c>
    </row>
    <row r="700" spans="1:8" x14ac:dyDescent="0.35">
      <c r="A700" s="90" t="e">
        <f>VLOOKUP(E700,'Validation List'!F701:G1096,2,FALSE)</f>
        <v>#N/A</v>
      </c>
      <c r="B700" s="90" t="e">
        <f>INDEX('NEW HIRE ROSTER'!$G:$G,MATCH(RAW!F700,'NEW HIRE ROSTER'!$A:$A,0))</f>
        <v>#N/A</v>
      </c>
      <c r="C700" s="90" t="e">
        <f>INDEX('NEW HIRE ROSTER'!$F:$F,MATCH(RAW!F700,'NEW HIRE ROSTER'!$A:$A,0))</f>
        <v>#N/A</v>
      </c>
      <c r="D700" s="90" t="e">
        <f>INDEX('Validation List'!$H:$H,MATCH(RAW!E700,'Validation List'!$F:$F,0))</f>
        <v>#N/A</v>
      </c>
      <c r="G700" s="90" t="e">
        <f>VLOOKUP(F700,ML!C684:D1282,2,FALSE)</f>
        <v>#N/A</v>
      </c>
      <c r="H700" s="90" t="e">
        <f>VLOOKUP(F700,ML!C684:E1282,3,FALSE)</f>
        <v>#N/A</v>
      </c>
    </row>
    <row r="701" spans="1:8" x14ac:dyDescent="0.35">
      <c r="A701" s="90" t="e">
        <f>VLOOKUP(E701,'Validation List'!F702:G1097,2,FALSE)</f>
        <v>#N/A</v>
      </c>
      <c r="B701" s="90" t="e">
        <f>INDEX('NEW HIRE ROSTER'!$G:$G,MATCH(RAW!F701,'NEW HIRE ROSTER'!$A:$A,0))</f>
        <v>#N/A</v>
      </c>
      <c r="C701" s="90" t="e">
        <f>INDEX('NEW HIRE ROSTER'!$F:$F,MATCH(RAW!F701,'NEW HIRE ROSTER'!$A:$A,0))</f>
        <v>#N/A</v>
      </c>
      <c r="D701" s="90" t="e">
        <f>INDEX('Validation List'!$H:$H,MATCH(RAW!E701,'Validation List'!$F:$F,0))</f>
        <v>#N/A</v>
      </c>
      <c r="G701" s="90" t="e">
        <f>VLOOKUP(F701,ML!C685:D1283,2,FALSE)</f>
        <v>#N/A</v>
      </c>
      <c r="H701" s="90" t="e">
        <f>VLOOKUP(F701,ML!C685:E1283,3,FALSE)</f>
        <v>#N/A</v>
      </c>
    </row>
    <row r="702" spans="1:8" x14ac:dyDescent="0.35">
      <c r="A702" s="90" t="e">
        <f>VLOOKUP(E702,'Validation List'!F703:G1098,2,FALSE)</f>
        <v>#N/A</v>
      </c>
      <c r="B702" s="90" t="e">
        <f>INDEX('NEW HIRE ROSTER'!$G:$G,MATCH(RAW!F702,'NEW HIRE ROSTER'!$A:$A,0))</f>
        <v>#N/A</v>
      </c>
      <c r="C702" s="90" t="e">
        <f>INDEX('NEW HIRE ROSTER'!$F:$F,MATCH(RAW!F702,'NEW HIRE ROSTER'!$A:$A,0))</f>
        <v>#N/A</v>
      </c>
      <c r="D702" s="90" t="e">
        <f>INDEX('Validation List'!$H:$H,MATCH(RAW!E702,'Validation List'!$F:$F,0))</f>
        <v>#N/A</v>
      </c>
      <c r="G702" s="90" t="e">
        <f>VLOOKUP(F702,ML!C686:D1284,2,FALSE)</f>
        <v>#N/A</v>
      </c>
      <c r="H702" s="90" t="e">
        <f>VLOOKUP(F702,ML!C686:E1284,3,FALSE)</f>
        <v>#N/A</v>
      </c>
    </row>
    <row r="703" spans="1:8" x14ac:dyDescent="0.35">
      <c r="A703" s="90" t="e">
        <f>VLOOKUP(E703,'Validation List'!F704:G1099,2,FALSE)</f>
        <v>#N/A</v>
      </c>
      <c r="B703" s="90" t="e">
        <f>INDEX('NEW HIRE ROSTER'!$G:$G,MATCH(RAW!F703,'NEW HIRE ROSTER'!$A:$A,0))</f>
        <v>#N/A</v>
      </c>
      <c r="C703" s="90" t="e">
        <f>INDEX('NEW HIRE ROSTER'!$F:$F,MATCH(RAW!F703,'NEW HIRE ROSTER'!$A:$A,0))</f>
        <v>#N/A</v>
      </c>
      <c r="D703" s="90" t="e">
        <f>INDEX('Validation List'!$H:$H,MATCH(RAW!E703,'Validation List'!$F:$F,0))</f>
        <v>#N/A</v>
      </c>
      <c r="G703" s="90" t="e">
        <f>VLOOKUP(F703,ML!C687:D1285,2,FALSE)</f>
        <v>#N/A</v>
      </c>
      <c r="H703" s="90" t="e">
        <f>VLOOKUP(F703,ML!C687:E1285,3,FALSE)</f>
        <v>#N/A</v>
      </c>
    </row>
    <row r="704" spans="1:8" x14ac:dyDescent="0.35">
      <c r="A704" s="90" t="e">
        <f>VLOOKUP(E704,'Validation List'!F705:G1100,2,FALSE)</f>
        <v>#N/A</v>
      </c>
      <c r="B704" s="90" t="e">
        <f>INDEX('NEW HIRE ROSTER'!$G:$G,MATCH(RAW!F704,'NEW HIRE ROSTER'!$A:$A,0))</f>
        <v>#N/A</v>
      </c>
      <c r="C704" s="90" t="e">
        <f>INDEX('NEW HIRE ROSTER'!$F:$F,MATCH(RAW!F704,'NEW HIRE ROSTER'!$A:$A,0))</f>
        <v>#N/A</v>
      </c>
      <c r="D704" s="90" t="e">
        <f>INDEX('Validation List'!$H:$H,MATCH(RAW!E704,'Validation List'!$F:$F,0))</f>
        <v>#N/A</v>
      </c>
      <c r="G704" s="90" t="e">
        <f>VLOOKUP(F704,ML!C688:D1286,2,FALSE)</f>
        <v>#N/A</v>
      </c>
      <c r="H704" s="90" t="e">
        <f>VLOOKUP(F704,ML!C688:E1286,3,FALSE)</f>
        <v>#N/A</v>
      </c>
    </row>
    <row r="705" spans="1:8" x14ac:dyDescent="0.35">
      <c r="A705" s="90" t="e">
        <f>VLOOKUP(E705,'Validation List'!F706:G1101,2,FALSE)</f>
        <v>#N/A</v>
      </c>
      <c r="B705" s="90" t="e">
        <f>INDEX('NEW HIRE ROSTER'!$G:$G,MATCH(RAW!F705,'NEW HIRE ROSTER'!$A:$A,0))</f>
        <v>#N/A</v>
      </c>
      <c r="C705" s="90" t="e">
        <f>INDEX('NEW HIRE ROSTER'!$F:$F,MATCH(RAW!F705,'NEW HIRE ROSTER'!$A:$A,0))</f>
        <v>#N/A</v>
      </c>
      <c r="D705" s="90" t="e">
        <f>INDEX('Validation List'!$H:$H,MATCH(RAW!E705,'Validation List'!$F:$F,0))</f>
        <v>#N/A</v>
      </c>
      <c r="G705" s="90" t="e">
        <f>VLOOKUP(F705,ML!C689:D1287,2,FALSE)</f>
        <v>#N/A</v>
      </c>
      <c r="H705" s="90" t="e">
        <f>VLOOKUP(F705,ML!C689:E1287,3,FALSE)</f>
        <v>#N/A</v>
      </c>
    </row>
    <row r="706" spans="1:8" x14ac:dyDescent="0.35">
      <c r="A706" s="90" t="e">
        <f>VLOOKUP(E706,'Validation List'!F707:G1102,2,FALSE)</f>
        <v>#N/A</v>
      </c>
      <c r="B706" s="90" t="e">
        <f>INDEX('NEW HIRE ROSTER'!$G:$G,MATCH(RAW!F706,'NEW HIRE ROSTER'!$A:$A,0))</f>
        <v>#N/A</v>
      </c>
      <c r="C706" s="90" t="e">
        <f>INDEX('NEW HIRE ROSTER'!$F:$F,MATCH(RAW!F706,'NEW HIRE ROSTER'!$A:$A,0))</f>
        <v>#N/A</v>
      </c>
      <c r="D706" s="90" t="e">
        <f>INDEX('Validation List'!$H:$H,MATCH(RAW!E706,'Validation List'!$F:$F,0))</f>
        <v>#N/A</v>
      </c>
      <c r="G706" s="90" t="e">
        <f>VLOOKUP(F706,ML!C690:D1288,2,FALSE)</f>
        <v>#N/A</v>
      </c>
      <c r="H706" s="90" t="e">
        <f>VLOOKUP(F706,ML!C690:E1288,3,FALSE)</f>
        <v>#N/A</v>
      </c>
    </row>
    <row r="707" spans="1:8" x14ac:dyDescent="0.35">
      <c r="A707" s="90" t="e">
        <f>VLOOKUP(E707,'Validation List'!F708:G1103,2,FALSE)</f>
        <v>#N/A</v>
      </c>
      <c r="B707" s="90" t="e">
        <f>INDEX('NEW HIRE ROSTER'!$G:$G,MATCH(RAW!F707,'NEW HIRE ROSTER'!$A:$A,0))</f>
        <v>#N/A</v>
      </c>
      <c r="C707" s="90" t="e">
        <f>INDEX('NEW HIRE ROSTER'!$F:$F,MATCH(RAW!F707,'NEW HIRE ROSTER'!$A:$A,0))</f>
        <v>#N/A</v>
      </c>
      <c r="D707" s="90" t="e">
        <f>INDEX('Validation List'!$H:$H,MATCH(RAW!E707,'Validation List'!$F:$F,0))</f>
        <v>#N/A</v>
      </c>
      <c r="G707" s="90" t="e">
        <f>VLOOKUP(F707,ML!C691:D1289,2,FALSE)</f>
        <v>#N/A</v>
      </c>
      <c r="H707" s="90" t="e">
        <f>VLOOKUP(F707,ML!C691:E1289,3,FALSE)</f>
        <v>#N/A</v>
      </c>
    </row>
    <row r="708" spans="1:8" x14ac:dyDescent="0.35">
      <c r="A708" s="90" t="e">
        <f>VLOOKUP(E708,'Validation List'!F709:G1104,2,FALSE)</f>
        <v>#N/A</v>
      </c>
      <c r="B708" s="90" t="e">
        <f>INDEX('NEW HIRE ROSTER'!$G:$G,MATCH(RAW!F708,'NEW HIRE ROSTER'!$A:$A,0))</f>
        <v>#N/A</v>
      </c>
      <c r="C708" s="90" t="e">
        <f>INDEX('NEW HIRE ROSTER'!$F:$F,MATCH(RAW!F708,'NEW HIRE ROSTER'!$A:$A,0))</f>
        <v>#N/A</v>
      </c>
      <c r="D708" s="90" t="e">
        <f>INDEX('Validation List'!$H:$H,MATCH(RAW!E708,'Validation List'!$F:$F,0))</f>
        <v>#N/A</v>
      </c>
      <c r="G708" s="90" t="e">
        <f>VLOOKUP(F708,ML!C692:D1290,2,FALSE)</f>
        <v>#N/A</v>
      </c>
      <c r="H708" s="90" t="e">
        <f>VLOOKUP(F708,ML!C692:E1290,3,FALSE)</f>
        <v>#N/A</v>
      </c>
    </row>
    <row r="709" spans="1:8" x14ac:dyDescent="0.35">
      <c r="A709" s="90" t="e">
        <f>VLOOKUP(E709,'Validation List'!F710:G1105,2,FALSE)</f>
        <v>#N/A</v>
      </c>
      <c r="B709" s="90" t="e">
        <f>INDEX('NEW HIRE ROSTER'!$G:$G,MATCH(RAW!F709,'NEW HIRE ROSTER'!$A:$A,0))</f>
        <v>#N/A</v>
      </c>
      <c r="C709" s="90" t="e">
        <f>INDEX('NEW HIRE ROSTER'!$F:$F,MATCH(RAW!F709,'NEW HIRE ROSTER'!$A:$A,0))</f>
        <v>#N/A</v>
      </c>
      <c r="D709" s="90" t="e">
        <f>INDEX('Validation List'!$H:$H,MATCH(RAW!E709,'Validation List'!$F:$F,0))</f>
        <v>#N/A</v>
      </c>
      <c r="G709" s="90" t="e">
        <f>VLOOKUP(F709,ML!C693:D1291,2,FALSE)</f>
        <v>#N/A</v>
      </c>
      <c r="H709" s="90" t="e">
        <f>VLOOKUP(F709,ML!C693:E1291,3,FALSE)</f>
        <v>#N/A</v>
      </c>
    </row>
    <row r="710" spans="1:8" x14ac:dyDescent="0.35">
      <c r="A710" s="90" t="e">
        <f>VLOOKUP(E710,'Validation List'!F711:G1106,2,FALSE)</f>
        <v>#N/A</v>
      </c>
      <c r="B710" s="90" t="e">
        <f>INDEX('NEW HIRE ROSTER'!$G:$G,MATCH(RAW!F710,'NEW HIRE ROSTER'!$A:$A,0))</f>
        <v>#N/A</v>
      </c>
      <c r="C710" s="90" t="e">
        <f>INDEX('NEW HIRE ROSTER'!$F:$F,MATCH(RAW!F710,'NEW HIRE ROSTER'!$A:$A,0))</f>
        <v>#N/A</v>
      </c>
      <c r="D710" s="90" t="e">
        <f>INDEX('Validation List'!$H:$H,MATCH(RAW!E710,'Validation List'!$F:$F,0))</f>
        <v>#N/A</v>
      </c>
      <c r="G710" s="90" t="e">
        <f>VLOOKUP(F710,ML!C694:D1292,2,FALSE)</f>
        <v>#N/A</v>
      </c>
      <c r="H710" s="90" t="e">
        <f>VLOOKUP(F710,ML!C694:E1292,3,FALSE)</f>
        <v>#N/A</v>
      </c>
    </row>
    <row r="711" spans="1:8" x14ac:dyDescent="0.35">
      <c r="A711" s="90" t="e">
        <f>VLOOKUP(E711,'Validation List'!F712:G1107,2,FALSE)</f>
        <v>#N/A</v>
      </c>
      <c r="B711" s="90" t="e">
        <f>INDEX('NEW HIRE ROSTER'!$G:$G,MATCH(RAW!F711,'NEW HIRE ROSTER'!$A:$A,0))</f>
        <v>#N/A</v>
      </c>
      <c r="C711" s="90" t="e">
        <f>INDEX('NEW HIRE ROSTER'!$F:$F,MATCH(RAW!F711,'NEW HIRE ROSTER'!$A:$A,0))</f>
        <v>#N/A</v>
      </c>
      <c r="D711" s="90" t="e">
        <f>INDEX('Validation List'!$H:$H,MATCH(RAW!E711,'Validation List'!$F:$F,0))</f>
        <v>#N/A</v>
      </c>
      <c r="G711" s="90" t="e">
        <f>VLOOKUP(F711,ML!C695:D1293,2,FALSE)</f>
        <v>#N/A</v>
      </c>
      <c r="H711" s="90" t="e">
        <f>VLOOKUP(F711,ML!C695:E1293,3,FALSE)</f>
        <v>#N/A</v>
      </c>
    </row>
    <row r="712" spans="1:8" x14ac:dyDescent="0.35">
      <c r="A712" s="90" t="e">
        <f>VLOOKUP(E712,'Validation List'!F713:G1108,2,FALSE)</f>
        <v>#N/A</v>
      </c>
      <c r="B712" s="90" t="e">
        <f>INDEX('NEW HIRE ROSTER'!$G:$G,MATCH(RAW!F712,'NEW HIRE ROSTER'!$A:$A,0))</f>
        <v>#N/A</v>
      </c>
      <c r="C712" s="90" t="e">
        <f>INDEX('NEW HIRE ROSTER'!$F:$F,MATCH(RAW!F712,'NEW HIRE ROSTER'!$A:$A,0))</f>
        <v>#N/A</v>
      </c>
      <c r="D712" s="90" t="e">
        <f>INDEX('Validation List'!$H:$H,MATCH(RAW!E712,'Validation List'!$F:$F,0))</f>
        <v>#N/A</v>
      </c>
      <c r="G712" s="90" t="e">
        <f>VLOOKUP(F712,ML!C696:D1294,2,FALSE)</f>
        <v>#N/A</v>
      </c>
      <c r="H712" s="90" t="e">
        <f>VLOOKUP(F712,ML!C696:E1294,3,FALSE)</f>
        <v>#N/A</v>
      </c>
    </row>
    <row r="713" spans="1:8" x14ac:dyDescent="0.35">
      <c r="A713" s="90" t="e">
        <f>VLOOKUP(E713,'Validation List'!F714:G1109,2,FALSE)</f>
        <v>#N/A</v>
      </c>
      <c r="B713" s="90" t="e">
        <f>INDEX('NEW HIRE ROSTER'!$G:$G,MATCH(RAW!F713,'NEW HIRE ROSTER'!$A:$A,0))</f>
        <v>#N/A</v>
      </c>
      <c r="C713" s="90" t="e">
        <f>INDEX('NEW HIRE ROSTER'!$F:$F,MATCH(RAW!F713,'NEW HIRE ROSTER'!$A:$A,0))</f>
        <v>#N/A</v>
      </c>
      <c r="D713" s="90" t="e">
        <f>INDEX('Validation List'!$H:$H,MATCH(RAW!E713,'Validation List'!$F:$F,0))</f>
        <v>#N/A</v>
      </c>
      <c r="G713" s="90" t="e">
        <f>VLOOKUP(F713,ML!C697:D1295,2,FALSE)</f>
        <v>#N/A</v>
      </c>
      <c r="H713" s="90" t="e">
        <f>VLOOKUP(F713,ML!C697:E1295,3,FALSE)</f>
        <v>#N/A</v>
      </c>
    </row>
    <row r="714" spans="1:8" x14ac:dyDescent="0.35">
      <c r="A714" s="90" t="e">
        <f>VLOOKUP(E714,'Validation List'!F715:G1110,2,FALSE)</f>
        <v>#N/A</v>
      </c>
      <c r="B714" s="90" t="e">
        <f>INDEX('NEW HIRE ROSTER'!$G:$G,MATCH(RAW!F714,'NEW HIRE ROSTER'!$A:$A,0))</f>
        <v>#N/A</v>
      </c>
      <c r="C714" s="90" t="e">
        <f>INDEX('NEW HIRE ROSTER'!$F:$F,MATCH(RAW!F714,'NEW HIRE ROSTER'!$A:$A,0))</f>
        <v>#N/A</v>
      </c>
      <c r="D714" s="90" t="e">
        <f>INDEX('Validation List'!$H:$H,MATCH(RAW!E714,'Validation List'!$F:$F,0))</f>
        <v>#N/A</v>
      </c>
      <c r="G714" s="90" t="e">
        <f>VLOOKUP(F714,ML!C698:D1296,2,FALSE)</f>
        <v>#N/A</v>
      </c>
      <c r="H714" s="90" t="e">
        <f>VLOOKUP(F714,ML!C698:E1296,3,FALSE)</f>
        <v>#N/A</v>
      </c>
    </row>
    <row r="715" spans="1:8" x14ac:dyDescent="0.35">
      <c r="A715" s="90" t="e">
        <f>VLOOKUP(E715,'Validation List'!F716:G1111,2,FALSE)</f>
        <v>#N/A</v>
      </c>
      <c r="B715" s="90" t="e">
        <f>INDEX('NEW HIRE ROSTER'!$G:$G,MATCH(RAW!F715,'NEW HIRE ROSTER'!$A:$A,0))</f>
        <v>#N/A</v>
      </c>
      <c r="C715" s="90" t="e">
        <f>INDEX('NEW HIRE ROSTER'!$F:$F,MATCH(RAW!F715,'NEW HIRE ROSTER'!$A:$A,0))</f>
        <v>#N/A</v>
      </c>
      <c r="D715" s="90" t="e">
        <f>INDEX('Validation List'!$H:$H,MATCH(RAW!E715,'Validation List'!$F:$F,0))</f>
        <v>#N/A</v>
      </c>
      <c r="G715" s="90" t="e">
        <f>VLOOKUP(F715,ML!C699:D1297,2,FALSE)</f>
        <v>#N/A</v>
      </c>
      <c r="H715" s="90" t="e">
        <f>VLOOKUP(F715,ML!C699:E1297,3,FALSE)</f>
        <v>#N/A</v>
      </c>
    </row>
    <row r="716" spans="1:8" x14ac:dyDescent="0.35">
      <c r="A716" s="90" t="e">
        <f>VLOOKUP(E716,'Validation List'!F717:G1112,2,FALSE)</f>
        <v>#N/A</v>
      </c>
      <c r="B716" s="90" t="e">
        <f>INDEX('NEW HIRE ROSTER'!$G:$G,MATCH(RAW!F716,'NEW HIRE ROSTER'!$A:$A,0))</f>
        <v>#N/A</v>
      </c>
      <c r="C716" s="90" t="e">
        <f>INDEX('NEW HIRE ROSTER'!$F:$F,MATCH(RAW!F716,'NEW HIRE ROSTER'!$A:$A,0))</f>
        <v>#N/A</v>
      </c>
      <c r="D716" s="90" t="e">
        <f>INDEX('Validation List'!$H:$H,MATCH(RAW!E716,'Validation List'!$F:$F,0))</f>
        <v>#N/A</v>
      </c>
      <c r="G716" s="90" t="e">
        <f>VLOOKUP(F716,ML!C700:D1298,2,FALSE)</f>
        <v>#N/A</v>
      </c>
      <c r="H716" s="90" t="e">
        <f>VLOOKUP(F716,ML!C700:E1298,3,FALSE)</f>
        <v>#N/A</v>
      </c>
    </row>
    <row r="717" spans="1:8" x14ac:dyDescent="0.35">
      <c r="A717" s="90" t="e">
        <f>VLOOKUP(E717,'Validation List'!F718:G1113,2,FALSE)</f>
        <v>#N/A</v>
      </c>
      <c r="B717" s="90" t="e">
        <f>INDEX('NEW HIRE ROSTER'!$G:$G,MATCH(RAW!F717,'NEW HIRE ROSTER'!$A:$A,0))</f>
        <v>#N/A</v>
      </c>
      <c r="C717" s="90" t="e">
        <f>INDEX('NEW HIRE ROSTER'!$F:$F,MATCH(RAW!F717,'NEW HIRE ROSTER'!$A:$A,0))</f>
        <v>#N/A</v>
      </c>
      <c r="D717" s="90" t="e">
        <f>INDEX('Validation List'!$H:$H,MATCH(RAW!E717,'Validation List'!$F:$F,0))</f>
        <v>#N/A</v>
      </c>
      <c r="G717" s="90" t="e">
        <f>VLOOKUP(F717,ML!C701:D1299,2,FALSE)</f>
        <v>#N/A</v>
      </c>
      <c r="H717" s="90" t="e">
        <f>VLOOKUP(F717,ML!C701:E1299,3,FALSE)</f>
        <v>#N/A</v>
      </c>
    </row>
    <row r="718" spans="1:8" x14ac:dyDescent="0.35">
      <c r="A718" s="90" t="e">
        <f>VLOOKUP(E718,'Validation List'!F719:G1114,2,FALSE)</f>
        <v>#N/A</v>
      </c>
      <c r="B718" s="90" t="e">
        <f>INDEX('NEW HIRE ROSTER'!$G:$G,MATCH(RAW!F718,'NEW HIRE ROSTER'!$A:$A,0))</f>
        <v>#N/A</v>
      </c>
      <c r="C718" s="90" t="e">
        <f>INDEX('NEW HIRE ROSTER'!$F:$F,MATCH(RAW!F718,'NEW HIRE ROSTER'!$A:$A,0))</f>
        <v>#N/A</v>
      </c>
      <c r="D718" s="90" t="e">
        <f>INDEX('Validation List'!$H:$H,MATCH(RAW!E718,'Validation List'!$F:$F,0))</f>
        <v>#N/A</v>
      </c>
      <c r="G718" s="90" t="e">
        <f>VLOOKUP(F718,ML!C702:D1300,2,FALSE)</f>
        <v>#N/A</v>
      </c>
      <c r="H718" s="90" t="e">
        <f>VLOOKUP(F718,ML!C702:E1300,3,FALSE)</f>
        <v>#N/A</v>
      </c>
    </row>
    <row r="719" spans="1:8" x14ac:dyDescent="0.35">
      <c r="A719" s="90" t="e">
        <f>VLOOKUP(E719,'Validation List'!F720:G1115,2,FALSE)</f>
        <v>#N/A</v>
      </c>
      <c r="B719" s="90" t="e">
        <f>INDEX('NEW HIRE ROSTER'!$G:$G,MATCH(RAW!F719,'NEW HIRE ROSTER'!$A:$A,0))</f>
        <v>#N/A</v>
      </c>
      <c r="C719" s="90" t="e">
        <f>INDEX('NEW HIRE ROSTER'!$F:$F,MATCH(RAW!F719,'NEW HIRE ROSTER'!$A:$A,0))</f>
        <v>#N/A</v>
      </c>
      <c r="D719" s="90" t="e">
        <f>INDEX('Validation List'!$H:$H,MATCH(RAW!E719,'Validation List'!$F:$F,0))</f>
        <v>#N/A</v>
      </c>
      <c r="G719" s="90" t="e">
        <f>VLOOKUP(F719,ML!C703:D1301,2,FALSE)</f>
        <v>#N/A</v>
      </c>
      <c r="H719" s="90" t="e">
        <f>VLOOKUP(F719,ML!C703:E1301,3,FALSE)</f>
        <v>#N/A</v>
      </c>
    </row>
    <row r="720" spans="1:8" x14ac:dyDescent="0.35">
      <c r="A720" s="90" t="e">
        <f>VLOOKUP(E720,'Validation List'!F721:G1116,2,FALSE)</f>
        <v>#N/A</v>
      </c>
      <c r="B720" s="90" t="e">
        <f>INDEX('NEW HIRE ROSTER'!$G:$G,MATCH(RAW!F720,'NEW HIRE ROSTER'!$A:$A,0))</f>
        <v>#N/A</v>
      </c>
      <c r="C720" s="90" t="e">
        <f>INDEX('NEW HIRE ROSTER'!$F:$F,MATCH(RAW!F720,'NEW HIRE ROSTER'!$A:$A,0))</f>
        <v>#N/A</v>
      </c>
      <c r="D720" s="90" t="e">
        <f>INDEX('Validation List'!$H:$H,MATCH(RAW!E720,'Validation List'!$F:$F,0))</f>
        <v>#N/A</v>
      </c>
      <c r="G720" s="90" t="e">
        <f>VLOOKUP(F720,ML!C704:D1302,2,FALSE)</f>
        <v>#N/A</v>
      </c>
      <c r="H720" s="90" t="e">
        <f>VLOOKUP(F720,ML!C704:E1302,3,FALSE)</f>
        <v>#N/A</v>
      </c>
    </row>
    <row r="721" spans="1:8" x14ac:dyDescent="0.35">
      <c r="A721" s="90" t="e">
        <f>VLOOKUP(E721,'Validation List'!F722:G1117,2,FALSE)</f>
        <v>#N/A</v>
      </c>
      <c r="B721" s="90" t="e">
        <f>INDEX('NEW HIRE ROSTER'!$G:$G,MATCH(RAW!F721,'NEW HIRE ROSTER'!$A:$A,0))</f>
        <v>#N/A</v>
      </c>
      <c r="C721" s="90" t="e">
        <f>INDEX('NEW HIRE ROSTER'!$F:$F,MATCH(RAW!F721,'NEW HIRE ROSTER'!$A:$A,0))</f>
        <v>#N/A</v>
      </c>
      <c r="D721" s="90" t="e">
        <f>INDEX('Validation List'!$H:$H,MATCH(RAW!E721,'Validation List'!$F:$F,0))</f>
        <v>#N/A</v>
      </c>
      <c r="G721" s="90" t="e">
        <f>VLOOKUP(F721,ML!C705:D1303,2,FALSE)</f>
        <v>#N/A</v>
      </c>
      <c r="H721" s="90" t="e">
        <f>VLOOKUP(F721,ML!C705:E1303,3,FALSE)</f>
        <v>#N/A</v>
      </c>
    </row>
    <row r="722" spans="1:8" x14ac:dyDescent="0.35">
      <c r="A722" s="90" t="e">
        <f>VLOOKUP(E722,'Validation List'!F723:G1118,2,FALSE)</f>
        <v>#N/A</v>
      </c>
      <c r="B722" s="90" t="e">
        <f>INDEX('NEW HIRE ROSTER'!$G:$G,MATCH(RAW!F722,'NEW HIRE ROSTER'!$A:$A,0))</f>
        <v>#N/A</v>
      </c>
      <c r="C722" s="90" t="e">
        <f>INDEX('NEW HIRE ROSTER'!$F:$F,MATCH(RAW!F722,'NEW HIRE ROSTER'!$A:$A,0))</f>
        <v>#N/A</v>
      </c>
      <c r="D722" s="90" t="e">
        <f>INDEX('Validation List'!$H:$H,MATCH(RAW!E722,'Validation List'!$F:$F,0))</f>
        <v>#N/A</v>
      </c>
      <c r="G722" s="90" t="e">
        <f>VLOOKUP(F722,ML!C706:D1304,2,FALSE)</f>
        <v>#N/A</v>
      </c>
      <c r="H722" s="90" t="e">
        <f>VLOOKUP(F722,ML!C706:E1304,3,FALSE)</f>
        <v>#N/A</v>
      </c>
    </row>
    <row r="723" spans="1:8" x14ac:dyDescent="0.35">
      <c r="A723" s="90" t="e">
        <f>VLOOKUP(E723,'Validation List'!F724:G1119,2,FALSE)</f>
        <v>#N/A</v>
      </c>
      <c r="B723" s="90" t="e">
        <f>INDEX('NEW HIRE ROSTER'!$G:$G,MATCH(RAW!F723,'NEW HIRE ROSTER'!$A:$A,0))</f>
        <v>#N/A</v>
      </c>
      <c r="C723" s="90" t="e">
        <f>INDEX('NEW HIRE ROSTER'!$F:$F,MATCH(RAW!F723,'NEW HIRE ROSTER'!$A:$A,0))</f>
        <v>#N/A</v>
      </c>
      <c r="D723" s="90" t="e">
        <f>INDEX('Validation List'!$H:$H,MATCH(RAW!E723,'Validation List'!$F:$F,0))</f>
        <v>#N/A</v>
      </c>
      <c r="G723" s="90" t="e">
        <f>VLOOKUP(F723,ML!C707:D1305,2,FALSE)</f>
        <v>#N/A</v>
      </c>
      <c r="H723" s="90" t="e">
        <f>VLOOKUP(F723,ML!C707:E1305,3,FALSE)</f>
        <v>#N/A</v>
      </c>
    </row>
    <row r="724" spans="1:8" x14ac:dyDescent="0.35">
      <c r="A724" s="90" t="e">
        <f>VLOOKUP(E724,'Validation List'!F725:G1120,2,FALSE)</f>
        <v>#N/A</v>
      </c>
      <c r="B724" s="90" t="e">
        <f>INDEX('NEW HIRE ROSTER'!$G:$G,MATCH(RAW!F724,'NEW HIRE ROSTER'!$A:$A,0))</f>
        <v>#N/A</v>
      </c>
      <c r="C724" s="90" t="e">
        <f>INDEX('NEW HIRE ROSTER'!$F:$F,MATCH(RAW!F724,'NEW HIRE ROSTER'!$A:$A,0))</f>
        <v>#N/A</v>
      </c>
      <c r="D724" s="90" t="e">
        <f>INDEX('Validation List'!$H:$H,MATCH(RAW!E724,'Validation List'!$F:$F,0))</f>
        <v>#N/A</v>
      </c>
      <c r="G724" s="90" t="e">
        <f>VLOOKUP(F724,ML!C708:D1306,2,FALSE)</f>
        <v>#N/A</v>
      </c>
      <c r="H724" s="90" t="e">
        <f>VLOOKUP(F724,ML!C708:E1306,3,FALSE)</f>
        <v>#N/A</v>
      </c>
    </row>
    <row r="725" spans="1:8" x14ac:dyDescent="0.35">
      <c r="A725" s="90" t="e">
        <f>VLOOKUP(E725,'Validation List'!F726:G1121,2,FALSE)</f>
        <v>#N/A</v>
      </c>
      <c r="B725" s="90" t="e">
        <f>INDEX('NEW HIRE ROSTER'!$G:$G,MATCH(RAW!F725,'NEW HIRE ROSTER'!$A:$A,0))</f>
        <v>#N/A</v>
      </c>
      <c r="C725" s="90" t="e">
        <f>INDEX('NEW HIRE ROSTER'!$F:$F,MATCH(RAW!F725,'NEW HIRE ROSTER'!$A:$A,0))</f>
        <v>#N/A</v>
      </c>
      <c r="D725" s="90" t="e">
        <f>INDEX('Validation List'!$H:$H,MATCH(RAW!E725,'Validation List'!$F:$F,0))</f>
        <v>#N/A</v>
      </c>
      <c r="G725" s="90" t="e">
        <f>VLOOKUP(F725,ML!C709:D1307,2,FALSE)</f>
        <v>#N/A</v>
      </c>
      <c r="H725" s="90" t="e">
        <f>VLOOKUP(F725,ML!C709:E1307,3,FALSE)</f>
        <v>#N/A</v>
      </c>
    </row>
    <row r="726" spans="1:8" x14ac:dyDescent="0.35">
      <c r="A726" s="90" t="e">
        <f>VLOOKUP(E726,'Validation List'!F727:G1122,2,FALSE)</f>
        <v>#N/A</v>
      </c>
      <c r="B726" s="90" t="e">
        <f>INDEX('NEW HIRE ROSTER'!$G:$G,MATCH(RAW!F726,'NEW HIRE ROSTER'!$A:$A,0))</f>
        <v>#N/A</v>
      </c>
      <c r="C726" s="90" t="e">
        <f>INDEX('NEW HIRE ROSTER'!$F:$F,MATCH(RAW!F726,'NEW HIRE ROSTER'!$A:$A,0))</f>
        <v>#N/A</v>
      </c>
      <c r="D726" s="90" t="e">
        <f>INDEX('Validation List'!$H:$H,MATCH(RAW!E726,'Validation List'!$F:$F,0))</f>
        <v>#N/A</v>
      </c>
      <c r="G726" s="90" t="e">
        <f>VLOOKUP(F726,ML!C710:D1308,2,FALSE)</f>
        <v>#N/A</v>
      </c>
      <c r="H726" s="90" t="e">
        <f>VLOOKUP(F726,ML!C710:E1308,3,FALSE)</f>
        <v>#N/A</v>
      </c>
    </row>
    <row r="727" spans="1:8" x14ac:dyDescent="0.35">
      <c r="A727" s="90" t="e">
        <f>VLOOKUP(E727,'Validation List'!F728:G1123,2,FALSE)</f>
        <v>#N/A</v>
      </c>
      <c r="B727" s="90" t="e">
        <f>INDEX('NEW HIRE ROSTER'!$G:$G,MATCH(RAW!F727,'NEW HIRE ROSTER'!$A:$A,0))</f>
        <v>#N/A</v>
      </c>
      <c r="C727" s="90" t="e">
        <f>INDEX('NEW HIRE ROSTER'!$F:$F,MATCH(RAW!F727,'NEW HIRE ROSTER'!$A:$A,0))</f>
        <v>#N/A</v>
      </c>
      <c r="D727" s="90" t="e">
        <f>INDEX('Validation List'!$H:$H,MATCH(RAW!E727,'Validation List'!$F:$F,0))</f>
        <v>#N/A</v>
      </c>
      <c r="G727" s="90" t="e">
        <f>VLOOKUP(F727,ML!C711:D1309,2,FALSE)</f>
        <v>#N/A</v>
      </c>
      <c r="H727" s="90" t="e">
        <f>VLOOKUP(F727,ML!C711:E1309,3,FALSE)</f>
        <v>#N/A</v>
      </c>
    </row>
    <row r="728" spans="1:8" x14ac:dyDescent="0.35">
      <c r="A728" s="90" t="e">
        <f>VLOOKUP(E728,'Validation List'!F729:G1124,2,FALSE)</f>
        <v>#N/A</v>
      </c>
      <c r="B728" s="90" t="e">
        <f>INDEX('NEW HIRE ROSTER'!$G:$G,MATCH(RAW!F728,'NEW HIRE ROSTER'!$A:$A,0))</f>
        <v>#N/A</v>
      </c>
      <c r="C728" s="90" t="e">
        <f>INDEX('NEW HIRE ROSTER'!$F:$F,MATCH(RAW!F728,'NEW HIRE ROSTER'!$A:$A,0))</f>
        <v>#N/A</v>
      </c>
      <c r="D728" s="90" t="e">
        <f>INDEX('Validation List'!$H:$H,MATCH(RAW!E728,'Validation List'!$F:$F,0))</f>
        <v>#N/A</v>
      </c>
      <c r="G728" s="90" t="e">
        <f>VLOOKUP(F728,ML!C712:D1310,2,FALSE)</f>
        <v>#N/A</v>
      </c>
      <c r="H728" s="90" t="e">
        <f>VLOOKUP(F728,ML!C712:E1310,3,FALSE)</f>
        <v>#N/A</v>
      </c>
    </row>
    <row r="729" spans="1:8" x14ac:dyDescent="0.35">
      <c r="A729" s="90" t="e">
        <f>VLOOKUP(E729,'Validation List'!F730:G1125,2,FALSE)</f>
        <v>#N/A</v>
      </c>
      <c r="B729" s="90" t="e">
        <f>INDEX('NEW HIRE ROSTER'!$G:$G,MATCH(RAW!F729,'NEW HIRE ROSTER'!$A:$A,0))</f>
        <v>#N/A</v>
      </c>
      <c r="C729" s="90" t="e">
        <f>INDEX('NEW HIRE ROSTER'!$F:$F,MATCH(RAW!F729,'NEW HIRE ROSTER'!$A:$A,0))</f>
        <v>#N/A</v>
      </c>
      <c r="D729" s="90" t="e">
        <f>INDEX('Validation List'!$H:$H,MATCH(RAW!E729,'Validation List'!$F:$F,0))</f>
        <v>#N/A</v>
      </c>
      <c r="G729" s="90" t="e">
        <f>VLOOKUP(F729,ML!C713:D1311,2,FALSE)</f>
        <v>#N/A</v>
      </c>
      <c r="H729" s="90" t="e">
        <f>VLOOKUP(F729,ML!C713:E1311,3,FALSE)</f>
        <v>#N/A</v>
      </c>
    </row>
    <row r="730" spans="1:8" x14ac:dyDescent="0.35">
      <c r="A730" s="90" t="e">
        <f>VLOOKUP(E730,'Validation List'!F731:G1126,2,FALSE)</f>
        <v>#N/A</v>
      </c>
      <c r="B730" s="90" t="e">
        <f>INDEX('NEW HIRE ROSTER'!$G:$G,MATCH(RAW!F730,'NEW HIRE ROSTER'!$A:$A,0))</f>
        <v>#N/A</v>
      </c>
      <c r="C730" s="90" t="e">
        <f>INDEX('NEW HIRE ROSTER'!$F:$F,MATCH(RAW!F730,'NEW HIRE ROSTER'!$A:$A,0))</f>
        <v>#N/A</v>
      </c>
      <c r="D730" s="90" t="e">
        <f>INDEX('Validation List'!$H:$H,MATCH(RAW!E730,'Validation List'!$F:$F,0))</f>
        <v>#N/A</v>
      </c>
      <c r="G730" s="90" t="e">
        <f>VLOOKUP(F730,ML!C714:D1312,2,FALSE)</f>
        <v>#N/A</v>
      </c>
      <c r="H730" s="90" t="e">
        <f>VLOOKUP(F730,ML!C714:E1312,3,FALSE)</f>
        <v>#N/A</v>
      </c>
    </row>
    <row r="731" spans="1:8" x14ac:dyDescent="0.35">
      <c r="A731" s="90" t="e">
        <f>VLOOKUP(E731,'Validation List'!F732:G1127,2,FALSE)</f>
        <v>#N/A</v>
      </c>
      <c r="B731" s="90" t="e">
        <f>INDEX('NEW HIRE ROSTER'!$G:$G,MATCH(RAW!F731,'NEW HIRE ROSTER'!$A:$A,0))</f>
        <v>#N/A</v>
      </c>
      <c r="C731" s="90" t="e">
        <f>INDEX('NEW HIRE ROSTER'!$F:$F,MATCH(RAW!F731,'NEW HIRE ROSTER'!$A:$A,0))</f>
        <v>#N/A</v>
      </c>
      <c r="D731" s="90" t="e">
        <f>INDEX('Validation List'!$H:$H,MATCH(RAW!E731,'Validation List'!$F:$F,0))</f>
        <v>#N/A</v>
      </c>
      <c r="G731" s="90" t="e">
        <f>VLOOKUP(F731,ML!C715:D1313,2,FALSE)</f>
        <v>#N/A</v>
      </c>
      <c r="H731" s="90" t="e">
        <f>VLOOKUP(F731,ML!C715:E1313,3,FALSE)</f>
        <v>#N/A</v>
      </c>
    </row>
    <row r="732" spans="1:8" x14ac:dyDescent="0.35">
      <c r="A732" s="90" t="e">
        <f>VLOOKUP(E732,'Validation List'!F733:G1128,2,FALSE)</f>
        <v>#N/A</v>
      </c>
      <c r="B732" s="90" t="e">
        <f>INDEX('NEW HIRE ROSTER'!$G:$G,MATCH(RAW!F732,'NEW HIRE ROSTER'!$A:$A,0))</f>
        <v>#N/A</v>
      </c>
      <c r="C732" s="90" t="e">
        <f>INDEX('NEW HIRE ROSTER'!$F:$F,MATCH(RAW!F732,'NEW HIRE ROSTER'!$A:$A,0))</f>
        <v>#N/A</v>
      </c>
      <c r="D732" s="90" t="e">
        <f>INDEX('Validation List'!$H:$H,MATCH(RAW!E732,'Validation List'!$F:$F,0))</f>
        <v>#N/A</v>
      </c>
      <c r="G732" s="90" t="e">
        <f>VLOOKUP(F732,ML!C716:D1314,2,FALSE)</f>
        <v>#N/A</v>
      </c>
      <c r="H732" s="90" t="e">
        <f>VLOOKUP(F732,ML!C716:E1314,3,FALSE)</f>
        <v>#N/A</v>
      </c>
    </row>
    <row r="733" spans="1:8" x14ac:dyDescent="0.35">
      <c r="A733" s="90" t="e">
        <f>VLOOKUP(E733,'Validation List'!F734:G1129,2,FALSE)</f>
        <v>#N/A</v>
      </c>
      <c r="B733" s="90" t="e">
        <f>INDEX('NEW HIRE ROSTER'!$G:$G,MATCH(RAW!F733,'NEW HIRE ROSTER'!$A:$A,0))</f>
        <v>#N/A</v>
      </c>
      <c r="C733" s="90" t="e">
        <f>INDEX('NEW HIRE ROSTER'!$F:$F,MATCH(RAW!F733,'NEW HIRE ROSTER'!$A:$A,0))</f>
        <v>#N/A</v>
      </c>
      <c r="D733" s="90" t="e">
        <f>INDEX('Validation List'!$H:$H,MATCH(RAW!E733,'Validation List'!$F:$F,0))</f>
        <v>#N/A</v>
      </c>
      <c r="G733" s="90" t="e">
        <f>VLOOKUP(F733,ML!C717:D1315,2,FALSE)</f>
        <v>#N/A</v>
      </c>
      <c r="H733" s="90" t="e">
        <f>VLOOKUP(F733,ML!C717:E1315,3,FALSE)</f>
        <v>#N/A</v>
      </c>
    </row>
    <row r="734" spans="1:8" x14ac:dyDescent="0.35">
      <c r="A734" s="90" t="e">
        <f>VLOOKUP(E734,'Validation List'!F735:G1130,2,FALSE)</f>
        <v>#N/A</v>
      </c>
      <c r="B734" s="90" t="e">
        <f>INDEX('NEW HIRE ROSTER'!$G:$G,MATCH(RAW!F734,'NEW HIRE ROSTER'!$A:$A,0))</f>
        <v>#N/A</v>
      </c>
      <c r="C734" s="90" t="e">
        <f>INDEX('NEW HIRE ROSTER'!$F:$F,MATCH(RAW!F734,'NEW HIRE ROSTER'!$A:$A,0))</f>
        <v>#N/A</v>
      </c>
      <c r="D734" s="90" t="e">
        <f>INDEX('Validation List'!$H:$H,MATCH(RAW!E734,'Validation List'!$F:$F,0))</f>
        <v>#N/A</v>
      </c>
      <c r="G734" s="90" t="e">
        <f>VLOOKUP(F734,ML!C718:D1316,2,FALSE)</f>
        <v>#N/A</v>
      </c>
      <c r="H734" s="90" t="e">
        <f>VLOOKUP(F734,ML!C718:E1316,3,FALSE)</f>
        <v>#N/A</v>
      </c>
    </row>
    <row r="735" spans="1:8" x14ac:dyDescent="0.35">
      <c r="A735" s="90" t="e">
        <f>VLOOKUP(E735,'Validation List'!F736:G1131,2,FALSE)</f>
        <v>#N/A</v>
      </c>
      <c r="B735" s="90" t="e">
        <f>INDEX('NEW HIRE ROSTER'!$G:$G,MATCH(RAW!F735,'NEW HIRE ROSTER'!$A:$A,0))</f>
        <v>#N/A</v>
      </c>
      <c r="C735" s="90" t="e">
        <f>INDEX('NEW HIRE ROSTER'!$F:$F,MATCH(RAW!F735,'NEW HIRE ROSTER'!$A:$A,0))</f>
        <v>#N/A</v>
      </c>
      <c r="D735" s="90" t="e">
        <f>INDEX('Validation List'!$H:$H,MATCH(RAW!E735,'Validation List'!$F:$F,0))</f>
        <v>#N/A</v>
      </c>
      <c r="G735" s="90" t="e">
        <f>VLOOKUP(F735,ML!C719:D1317,2,FALSE)</f>
        <v>#N/A</v>
      </c>
      <c r="H735" s="90" t="e">
        <f>VLOOKUP(F735,ML!C719:E1317,3,FALSE)</f>
        <v>#N/A</v>
      </c>
    </row>
    <row r="736" spans="1:8" x14ac:dyDescent="0.35">
      <c r="A736" s="90" t="e">
        <f>VLOOKUP(E736,'Validation List'!F737:G1132,2,FALSE)</f>
        <v>#N/A</v>
      </c>
      <c r="B736" s="90" t="e">
        <f>INDEX('NEW HIRE ROSTER'!$G:$G,MATCH(RAW!F736,'NEW HIRE ROSTER'!$A:$A,0))</f>
        <v>#N/A</v>
      </c>
      <c r="C736" s="90" t="e">
        <f>INDEX('NEW HIRE ROSTER'!$F:$F,MATCH(RAW!F736,'NEW HIRE ROSTER'!$A:$A,0))</f>
        <v>#N/A</v>
      </c>
      <c r="D736" s="90" t="e">
        <f>INDEX('Validation List'!$H:$H,MATCH(RAW!E736,'Validation List'!$F:$F,0))</f>
        <v>#N/A</v>
      </c>
      <c r="G736" s="90" t="e">
        <f>VLOOKUP(F736,ML!C720:D1318,2,FALSE)</f>
        <v>#N/A</v>
      </c>
      <c r="H736" s="90" t="e">
        <f>VLOOKUP(F736,ML!C720:E1318,3,FALSE)</f>
        <v>#N/A</v>
      </c>
    </row>
    <row r="737" spans="1:8" x14ac:dyDescent="0.35">
      <c r="A737" s="90" t="e">
        <f>VLOOKUP(E737,'Validation List'!F738:G1133,2,FALSE)</f>
        <v>#N/A</v>
      </c>
      <c r="B737" s="90" t="e">
        <f>INDEX('NEW HIRE ROSTER'!$G:$G,MATCH(RAW!F737,'NEW HIRE ROSTER'!$A:$A,0))</f>
        <v>#N/A</v>
      </c>
      <c r="C737" s="90" t="e">
        <f>INDEX('NEW HIRE ROSTER'!$F:$F,MATCH(RAW!F737,'NEW HIRE ROSTER'!$A:$A,0))</f>
        <v>#N/A</v>
      </c>
      <c r="D737" s="90" t="e">
        <f>INDEX('Validation List'!$H:$H,MATCH(RAW!E737,'Validation List'!$F:$F,0))</f>
        <v>#N/A</v>
      </c>
      <c r="G737" s="90" t="e">
        <f>VLOOKUP(F737,ML!C721:D1319,2,FALSE)</f>
        <v>#N/A</v>
      </c>
      <c r="H737" s="90" t="e">
        <f>VLOOKUP(F737,ML!C721:E1319,3,FALSE)</f>
        <v>#N/A</v>
      </c>
    </row>
    <row r="738" spans="1:8" x14ac:dyDescent="0.35">
      <c r="A738" s="90" t="e">
        <f>VLOOKUP(E738,'Validation List'!F739:G1134,2,FALSE)</f>
        <v>#N/A</v>
      </c>
      <c r="B738" s="90" t="e">
        <f>INDEX('NEW HIRE ROSTER'!$G:$G,MATCH(RAW!F738,'NEW HIRE ROSTER'!$A:$A,0))</f>
        <v>#N/A</v>
      </c>
      <c r="C738" s="90" t="e">
        <f>INDEX('NEW HIRE ROSTER'!$F:$F,MATCH(RAW!F738,'NEW HIRE ROSTER'!$A:$A,0))</f>
        <v>#N/A</v>
      </c>
      <c r="D738" s="90" t="e">
        <f>INDEX('Validation List'!$H:$H,MATCH(RAW!E738,'Validation List'!$F:$F,0))</f>
        <v>#N/A</v>
      </c>
      <c r="G738" s="90" t="e">
        <f>VLOOKUP(F738,ML!C722:D1320,2,FALSE)</f>
        <v>#N/A</v>
      </c>
      <c r="H738" s="90" t="e">
        <f>VLOOKUP(F738,ML!C722:E1320,3,FALSE)</f>
        <v>#N/A</v>
      </c>
    </row>
    <row r="739" spans="1:8" x14ac:dyDescent="0.35">
      <c r="A739" s="90" t="e">
        <f>VLOOKUP(E739,'Validation List'!F740:G1135,2,FALSE)</f>
        <v>#N/A</v>
      </c>
      <c r="B739" s="90" t="e">
        <f>INDEX('NEW HIRE ROSTER'!$G:$G,MATCH(RAW!F739,'NEW HIRE ROSTER'!$A:$A,0))</f>
        <v>#N/A</v>
      </c>
      <c r="C739" s="90" t="e">
        <f>INDEX('NEW HIRE ROSTER'!$F:$F,MATCH(RAW!F739,'NEW HIRE ROSTER'!$A:$A,0))</f>
        <v>#N/A</v>
      </c>
      <c r="D739" s="90" t="e">
        <f>INDEX('Validation List'!$H:$H,MATCH(RAW!E739,'Validation List'!$F:$F,0))</f>
        <v>#N/A</v>
      </c>
      <c r="G739" s="90" t="e">
        <f>VLOOKUP(F739,ML!C723:D1321,2,FALSE)</f>
        <v>#N/A</v>
      </c>
      <c r="H739" s="90" t="e">
        <f>VLOOKUP(F739,ML!C723:E1321,3,FALSE)</f>
        <v>#N/A</v>
      </c>
    </row>
    <row r="740" spans="1:8" x14ac:dyDescent="0.35">
      <c r="A740" s="90" t="e">
        <f>VLOOKUP(E740,'Validation List'!F741:G1136,2,FALSE)</f>
        <v>#N/A</v>
      </c>
      <c r="B740" s="90" t="e">
        <f>INDEX('NEW HIRE ROSTER'!$G:$G,MATCH(RAW!F740,'NEW HIRE ROSTER'!$A:$A,0))</f>
        <v>#N/A</v>
      </c>
      <c r="C740" s="90" t="e">
        <f>INDEX('NEW HIRE ROSTER'!$F:$F,MATCH(RAW!F740,'NEW HIRE ROSTER'!$A:$A,0))</f>
        <v>#N/A</v>
      </c>
      <c r="D740" s="90" t="e">
        <f>INDEX('Validation List'!$H:$H,MATCH(RAW!E740,'Validation List'!$F:$F,0))</f>
        <v>#N/A</v>
      </c>
      <c r="G740" s="90" t="e">
        <f>VLOOKUP(F740,ML!C724:D1322,2,FALSE)</f>
        <v>#N/A</v>
      </c>
      <c r="H740" s="90" t="e">
        <f>VLOOKUP(F740,ML!C724:E1322,3,FALSE)</f>
        <v>#N/A</v>
      </c>
    </row>
    <row r="741" spans="1:8" x14ac:dyDescent="0.35">
      <c r="A741" s="90" t="e">
        <f>VLOOKUP(E741,'Validation List'!F742:G1137,2,FALSE)</f>
        <v>#N/A</v>
      </c>
      <c r="B741" s="90" t="e">
        <f>INDEX('NEW HIRE ROSTER'!$G:$G,MATCH(RAW!F741,'NEW HIRE ROSTER'!$A:$A,0))</f>
        <v>#N/A</v>
      </c>
      <c r="C741" s="90" t="e">
        <f>INDEX('NEW HIRE ROSTER'!$F:$F,MATCH(RAW!F741,'NEW HIRE ROSTER'!$A:$A,0))</f>
        <v>#N/A</v>
      </c>
      <c r="D741" s="90" t="e">
        <f>INDEX('Validation List'!$H:$H,MATCH(RAW!E741,'Validation List'!$F:$F,0))</f>
        <v>#N/A</v>
      </c>
      <c r="G741" s="90" t="e">
        <f>VLOOKUP(F741,ML!C725:D1323,2,FALSE)</f>
        <v>#N/A</v>
      </c>
      <c r="H741" s="90" t="e">
        <f>VLOOKUP(F741,ML!C725:E1323,3,FALSE)</f>
        <v>#N/A</v>
      </c>
    </row>
    <row r="742" spans="1:8" x14ac:dyDescent="0.35">
      <c r="A742" s="90" t="e">
        <f>VLOOKUP(E742,'Validation List'!F743:G1138,2,FALSE)</f>
        <v>#N/A</v>
      </c>
      <c r="B742" s="90" t="e">
        <f>INDEX('NEW HIRE ROSTER'!$G:$G,MATCH(RAW!F742,'NEW HIRE ROSTER'!$A:$A,0))</f>
        <v>#N/A</v>
      </c>
      <c r="C742" s="90" t="e">
        <f>INDEX('NEW HIRE ROSTER'!$F:$F,MATCH(RAW!F742,'NEW HIRE ROSTER'!$A:$A,0))</f>
        <v>#N/A</v>
      </c>
      <c r="D742" s="90" t="e">
        <f>INDEX('Validation List'!$H:$H,MATCH(RAW!E742,'Validation List'!$F:$F,0))</f>
        <v>#N/A</v>
      </c>
      <c r="G742" s="90" t="e">
        <f>VLOOKUP(F742,ML!C726:D1324,2,FALSE)</f>
        <v>#N/A</v>
      </c>
      <c r="H742" s="90" t="e">
        <f>VLOOKUP(F742,ML!C726:E1324,3,FALSE)</f>
        <v>#N/A</v>
      </c>
    </row>
    <row r="743" spans="1:8" x14ac:dyDescent="0.35">
      <c r="A743" s="90" t="e">
        <f>VLOOKUP(E743,'Validation List'!F744:G1139,2,FALSE)</f>
        <v>#N/A</v>
      </c>
      <c r="B743" s="90" t="e">
        <f>INDEX('NEW HIRE ROSTER'!$G:$G,MATCH(RAW!F743,'NEW HIRE ROSTER'!$A:$A,0))</f>
        <v>#N/A</v>
      </c>
      <c r="C743" s="90" t="e">
        <f>INDEX('NEW HIRE ROSTER'!$F:$F,MATCH(RAW!F743,'NEW HIRE ROSTER'!$A:$A,0))</f>
        <v>#N/A</v>
      </c>
      <c r="D743" s="90" t="e">
        <f>INDEX('Validation List'!$H:$H,MATCH(RAW!E743,'Validation List'!$F:$F,0))</f>
        <v>#N/A</v>
      </c>
      <c r="G743" s="90" t="e">
        <f>VLOOKUP(F743,ML!C727:D1325,2,FALSE)</f>
        <v>#N/A</v>
      </c>
      <c r="H743" s="90" t="e">
        <f>VLOOKUP(F743,ML!C727:E1325,3,FALSE)</f>
        <v>#N/A</v>
      </c>
    </row>
    <row r="744" spans="1:8" x14ac:dyDescent="0.35">
      <c r="A744" s="90" t="e">
        <f>VLOOKUP(E744,'Validation List'!F745:G1140,2,FALSE)</f>
        <v>#N/A</v>
      </c>
      <c r="B744" s="90" t="e">
        <f>INDEX('NEW HIRE ROSTER'!$G:$G,MATCH(RAW!F744,'NEW HIRE ROSTER'!$A:$A,0))</f>
        <v>#N/A</v>
      </c>
      <c r="C744" s="90" t="e">
        <f>INDEX('NEW HIRE ROSTER'!$F:$F,MATCH(RAW!F744,'NEW HIRE ROSTER'!$A:$A,0))</f>
        <v>#N/A</v>
      </c>
      <c r="D744" s="90" t="e">
        <f>INDEX('Validation List'!$H:$H,MATCH(RAW!E744,'Validation List'!$F:$F,0))</f>
        <v>#N/A</v>
      </c>
      <c r="G744" s="90" t="e">
        <f>VLOOKUP(F744,ML!C728:D1326,2,FALSE)</f>
        <v>#N/A</v>
      </c>
      <c r="H744" s="90" t="e">
        <f>VLOOKUP(F744,ML!C728:E1326,3,FALSE)</f>
        <v>#N/A</v>
      </c>
    </row>
    <row r="745" spans="1:8" x14ac:dyDescent="0.35">
      <c r="A745" s="90" t="e">
        <f>VLOOKUP(E745,'Validation List'!F746:G1141,2,FALSE)</f>
        <v>#N/A</v>
      </c>
      <c r="B745" s="90" t="e">
        <f>INDEX('NEW HIRE ROSTER'!$G:$G,MATCH(RAW!F745,'NEW HIRE ROSTER'!$A:$A,0))</f>
        <v>#N/A</v>
      </c>
      <c r="C745" s="90" t="e">
        <f>INDEX('NEW HIRE ROSTER'!$F:$F,MATCH(RAW!F745,'NEW HIRE ROSTER'!$A:$A,0))</f>
        <v>#N/A</v>
      </c>
      <c r="D745" s="90" t="e">
        <f>INDEX('Validation List'!$H:$H,MATCH(RAW!E745,'Validation List'!$F:$F,0))</f>
        <v>#N/A</v>
      </c>
      <c r="G745" s="90" t="e">
        <f>VLOOKUP(F745,ML!C729:D1327,2,FALSE)</f>
        <v>#N/A</v>
      </c>
      <c r="H745" s="90" t="e">
        <f>VLOOKUP(F745,ML!C729:E1327,3,FALSE)</f>
        <v>#N/A</v>
      </c>
    </row>
    <row r="746" spans="1:8" x14ac:dyDescent="0.35">
      <c r="A746" s="90" t="e">
        <f>VLOOKUP(E746,'Validation List'!F747:G1142,2,FALSE)</f>
        <v>#N/A</v>
      </c>
      <c r="B746" s="90" t="e">
        <f>INDEX('NEW HIRE ROSTER'!$G:$G,MATCH(RAW!F746,'NEW HIRE ROSTER'!$A:$A,0))</f>
        <v>#N/A</v>
      </c>
      <c r="C746" s="90" t="e">
        <f>INDEX('NEW HIRE ROSTER'!$F:$F,MATCH(RAW!F746,'NEW HIRE ROSTER'!$A:$A,0))</f>
        <v>#N/A</v>
      </c>
      <c r="D746" s="90" t="e">
        <f>INDEX('Validation List'!$H:$H,MATCH(RAW!E746,'Validation List'!$F:$F,0))</f>
        <v>#N/A</v>
      </c>
      <c r="G746" s="90" t="e">
        <f>VLOOKUP(F746,ML!C730:D1328,2,FALSE)</f>
        <v>#N/A</v>
      </c>
      <c r="H746" s="90" t="e">
        <f>VLOOKUP(F746,ML!C730:E1328,3,FALSE)</f>
        <v>#N/A</v>
      </c>
    </row>
    <row r="747" spans="1:8" x14ac:dyDescent="0.35">
      <c r="A747" s="90" t="e">
        <f>VLOOKUP(E747,'Validation List'!F748:G1143,2,FALSE)</f>
        <v>#N/A</v>
      </c>
      <c r="B747" s="90" t="e">
        <f>INDEX('NEW HIRE ROSTER'!$G:$G,MATCH(RAW!F747,'NEW HIRE ROSTER'!$A:$A,0))</f>
        <v>#N/A</v>
      </c>
      <c r="C747" s="90" t="e">
        <f>INDEX('NEW HIRE ROSTER'!$F:$F,MATCH(RAW!F747,'NEW HIRE ROSTER'!$A:$A,0))</f>
        <v>#N/A</v>
      </c>
      <c r="D747" s="90" t="e">
        <f>INDEX('Validation List'!$H:$H,MATCH(RAW!E747,'Validation List'!$F:$F,0))</f>
        <v>#N/A</v>
      </c>
      <c r="G747" s="90" t="e">
        <f>VLOOKUP(F747,ML!C731:D1329,2,FALSE)</f>
        <v>#N/A</v>
      </c>
      <c r="H747" s="90" t="e">
        <f>VLOOKUP(F747,ML!C731:E1329,3,FALSE)</f>
        <v>#N/A</v>
      </c>
    </row>
    <row r="748" spans="1:8" x14ac:dyDescent="0.35">
      <c r="A748" s="90" t="e">
        <f>VLOOKUP(E748,'Validation List'!F749:G1144,2,FALSE)</f>
        <v>#N/A</v>
      </c>
      <c r="B748" s="90" t="e">
        <f>INDEX('NEW HIRE ROSTER'!$G:$G,MATCH(RAW!F748,'NEW HIRE ROSTER'!$A:$A,0))</f>
        <v>#N/A</v>
      </c>
      <c r="C748" s="90" t="e">
        <f>INDEX('NEW HIRE ROSTER'!$F:$F,MATCH(RAW!F748,'NEW HIRE ROSTER'!$A:$A,0))</f>
        <v>#N/A</v>
      </c>
      <c r="D748" s="90" t="e">
        <f>INDEX('Validation List'!$H:$H,MATCH(RAW!E748,'Validation List'!$F:$F,0))</f>
        <v>#N/A</v>
      </c>
      <c r="G748" s="90" t="e">
        <f>VLOOKUP(F748,ML!C732:D1330,2,FALSE)</f>
        <v>#N/A</v>
      </c>
      <c r="H748" s="90" t="e">
        <f>VLOOKUP(F748,ML!C732:E1330,3,FALSE)</f>
        <v>#N/A</v>
      </c>
    </row>
    <row r="749" spans="1:8" x14ac:dyDescent="0.35">
      <c r="A749" s="90" t="e">
        <f>VLOOKUP(E749,'Validation List'!F750:G1145,2,FALSE)</f>
        <v>#N/A</v>
      </c>
      <c r="B749" s="90" t="e">
        <f>INDEX('NEW HIRE ROSTER'!$G:$G,MATCH(RAW!F749,'NEW HIRE ROSTER'!$A:$A,0))</f>
        <v>#N/A</v>
      </c>
      <c r="C749" s="90" t="e">
        <f>INDEX('NEW HIRE ROSTER'!$F:$F,MATCH(RAW!F749,'NEW HIRE ROSTER'!$A:$A,0))</f>
        <v>#N/A</v>
      </c>
      <c r="D749" s="90" t="e">
        <f>INDEX('Validation List'!$H:$H,MATCH(RAW!E749,'Validation List'!$F:$F,0))</f>
        <v>#N/A</v>
      </c>
      <c r="G749" s="90" t="e">
        <f>VLOOKUP(F749,ML!C733:D1331,2,FALSE)</f>
        <v>#N/A</v>
      </c>
      <c r="H749" s="90" t="e">
        <f>VLOOKUP(F749,ML!C733:E1331,3,FALSE)</f>
        <v>#N/A</v>
      </c>
    </row>
    <row r="750" spans="1:8" x14ac:dyDescent="0.35">
      <c r="A750" s="90" t="e">
        <f>VLOOKUP(E750,'Validation List'!F751:G1146,2,FALSE)</f>
        <v>#N/A</v>
      </c>
      <c r="B750" s="90" t="e">
        <f>INDEX('NEW HIRE ROSTER'!$G:$G,MATCH(RAW!F750,'NEW HIRE ROSTER'!$A:$A,0))</f>
        <v>#N/A</v>
      </c>
      <c r="C750" s="90" t="e">
        <f>INDEX('NEW HIRE ROSTER'!$F:$F,MATCH(RAW!F750,'NEW HIRE ROSTER'!$A:$A,0))</f>
        <v>#N/A</v>
      </c>
      <c r="D750" s="90" t="e">
        <f>INDEX('Validation List'!$H:$H,MATCH(RAW!E750,'Validation List'!$F:$F,0))</f>
        <v>#N/A</v>
      </c>
      <c r="G750" s="90" t="e">
        <f>VLOOKUP(F750,ML!C734:D1332,2,FALSE)</f>
        <v>#N/A</v>
      </c>
      <c r="H750" s="90" t="e">
        <f>VLOOKUP(F750,ML!C734:E1332,3,FALSE)</f>
        <v>#N/A</v>
      </c>
    </row>
    <row r="751" spans="1:8" x14ac:dyDescent="0.35">
      <c r="A751" s="90" t="e">
        <f>VLOOKUP(E751,'Validation List'!F752:G1147,2,FALSE)</f>
        <v>#N/A</v>
      </c>
      <c r="B751" s="90" t="e">
        <f>INDEX('NEW HIRE ROSTER'!$G:$G,MATCH(RAW!F751,'NEW HIRE ROSTER'!$A:$A,0))</f>
        <v>#N/A</v>
      </c>
      <c r="C751" s="90" t="e">
        <f>INDEX('NEW HIRE ROSTER'!$F:$F,MATCH(RAW!F751,'NEW HIRE ROSTER'!$A:$A,0))</f>
        <v>#N/A</v>
      </c>
      <c r="D751" s="90" t="e">
        <f>INDEX('Validation List'!$H:$H,MATCH(RAW!E751,'Validation List'!$F:$F,0))</f>
        <v>#N/A</v>
      </c>
      <c r="G751" s="90" t="e">
        <f>VLOOKUP(F751,ML!C735:D1333,2,FALSE)</f>
        <v>#N/A</v>
      </c>
      <c r="H751" s="90" t="e">
        <f>VLOOKUP(F751,ML!C735:E1333,3,FALSE)</f>
        <v>#N/A</v>
      </c>
    </row>
    <row r="752" spans="1:8" x14ac:dyDescent="0.35">
      <c r="A752" s="90" t="e">
        <f>VLOOKUP(E752,'Validation List'!F753:G1148,2,FALSE)</f>
        <v>#N/A</v>
      </c>
      <c r="B752" s="90" t="e">
        <f>INDEX('NEW HIRE ROSTER'!$G:$G,MATCH(RAW!F752,'NEW HIRE ROSTER'!$A:$A,0))</f>
        <v>#N/A</v>
      </c>
      <c r="C752" s="90" t="e">
        <f>INDEX('NEW HIRE ROSTER'!$F:$F,MATCH(RAW!F752,'NEW HIRE ROSTER'!$A:$A,0))</f>
        <v>#N/A</v>
      </c>
      <c r="D752" s="90" t="e">
        <f>INDEX('Validation List'!$H:$H,MATCH(RAW!E752,'Validation List'!$F:$F,0))</f>
        <v>#N/A</v>
      </c>
      <c r="G752" s="90" t="e">
        <f>VLOOKUP(F752,ML!C736:D1334,2,FALSE)</f>
        <v>#N/A</v>
      </c>
      <c r="H752" s="90" t="e">
        <f>VLOOKUP(F752,ML!C736:E1334,3,FALSE)</f>
        <v>#N/A</v>
      </c>
    </row>
    <row r="753" spans="1:8" x14ac:dyDescent="0.35">
      <c r="A753" s="90" t="e">
        <f>VLOOKUP(E753,'Validation List'!F754:G1149,2,FALSE)</f>
        <v>#N/A</v>
      </c>
      <c r="B753" s="90" t="e">
        <f>INDEX('NEW HIRE ROSTER'!$G:$G,MATCH(RAW!F753,'NEW HIRE ROSTER'!$A:$A,0))</f>
        <v>#N/A</v>
      </c>
      <c r="C753" s="90" t="e">
        <f>INDEX('NEW HIRE ROSTER'!$F:$F,MATCH(RAW!F753,'NEW HIRE ROSTER'!$A:$A,0))</f>
        <v>#N/A</v>
      </c>
      <c r="D753" s="90" t="e">
        <f>INDEX('Validation List'!$H:$H,MATCH(RAW!E753,'Validation List'!$F:$F,0))</f>
        <v>#N/A</v>
      </c>
      <c r="G753" s="90" t="e">
        <f>VLOOKUP(F753,ML!C737:D1335,2,FALSE)</f>
        <v>#N/A</v>
      </c>
      <c r="H753" s="90" t="e">
        <f>VLOOKUP(F753,ML!C737:E1335,3,FALSE)</f>
        <v>#N/A</v>
      </c>
    </row>
    <row r="754" spans="1:8" x14ac:dyDescent="0.35">
      <c r="A754" s="90" t="e">
        <f>VLOOKUP(E754,'Validation List'!F755:G1150,2,FALSE)</f>
        <v>#N/A</v>
      </c>
      <c r="B754" s="90" t="e">
        <f>INDEX('NEW HIRE ROSTER'!$G:$G,MATCH(RAW!F754,'NEW HIRE ROSTER'!$A:$A,0))</f>
        <v>#N/A</v>
      </c>
      <c r="C754" s="90" t="e">
        <f>INDEX('NEW HIRE ROSTER'!$F:$F,MATCH(RAW!F754,'NEW HIRE ROSTER'!$A:$A,0))</f>
        <v>#N/A</v>
      </c>
      <c r="D754" s="90" t="e">
        <f>INDEX('Validation List'!$H:$H,MATCH(RAW!E754,'Validation List'!$F:$F,0))</f>
        <v>#N/A</v>
      </c>
      <c r="G754" s="90" t="e">
        <f>VLOOKUP(F754,ML!C738:D1336,2,FALSE)</f>
        <v>#N/A</v>
      </c>
      <c r="H754" s="90" t="e">
        <f>VLOOKUP(F754,ML!C738:E1336,3,FALSE)</f>
        <v>#N/A</v>
      </c>
    </row>
    <row r="755" spans="1:8" x14ac:dyDescent="0.35">
      <c r="A755" s="90" t="e">
        <f>VLOOKUP(E755,'Validation List'!F756:G1151,2,FALSE)</f>
        <v>#N/A</v>
      </c>
      <c r="B755" s="90" t="e">
        <f>INDEX('NEW HIRE ROSTER'!$G:$G,MATCH(RAW!F755,'NEW HIRE ROSTER'!$A:$A,0))</f>
        <v>#N/A</v>
      </c>
      <c r="C755" s="90" t="e">
        <f>INDEX('NEW HIRE ROSTER'!$F:$F,MATCH(RAW!F755,'NEW HIRE ROSTER'!$A:$A,0))</f>
        <v>#N/A</v>
      </c>
      <c r="D755" s="90" t="e">
        <f>INDEX('Validation List'!$H:$H,MATCH(RAW!E755,'Validation List'!$F:$F,0))</f>
        <v>#N/A</v>
      </c>
      <c r="G755" s="90" t="e">
        <f>VLOOKUP(F755,ML!C739:D1337,2,FALSE)</f>
        <v>#N/A</v>
      </c>
      <c r="H755" s="90" t="e">
        <f>VLOOKUP(F755,ML!C739:E1337,3,FALSE)</f>
        <v>#N/A</v>
      </c>
    </row>
    <row r="756" spans="1:8" x14ac:dyDescent="0.35">
      <c r="A756" s="90" t="e">
        <f>VLOOKUP(E756,'Validation List'!F757:G1152,2,FALSE)</f>
        <v>#N/A</v>
      </c>
      <c r="B756" s="90" t="e">
        <f>INDEX('NEW HIRE ROSTER'!$G:$G,MATCH(RAW!F756,'NEW HIRE ROSTER'!$A:$A,0))</f>
        <v>#N/A</v>
      </c>
      <c r="C756" s="90" t="e">
        <f>INDEX('NEW HIRE ROSTER'!$F:$F,MATCH(RAW!F756,'NEW HIRE ROSTER'!$A:$A,0))</f>
        <v>#N/A</v>
      </c>
      <c r="D756" s="90" t="e">
        <f>INDEX('Validation List'!$H:$H,MATCH(RAW!E756,'Validation List'!$F:$F,0))</f>
        <v>#N/A</v>
      </c>
      <c r="G756" s="90" t="e">
        <f>VLOOKUP(F756,ML!C740:D1338,2,FALSE)</f>
        <v>#N/A</v>
      </c>
      <c r="H756" s="90" t="e">
        <f>VLOOKUP(F756,ML!C740:E1338,3,FALSE)</f>
        <v>#N/A</v>
      </c>
    </row>
    <row r="757" spans="1:8" x14ac:dyDescent="0.35">
      <c r="A757" s="90" t="e">
        <f>VLOOKUP(E757,'Validation List'!F758:G1153,2,FALSE)</f>
        <v>#N/A</v>
      </c>
      <c r="B757" s="90" t="e">
        <f>INDEX('NEW HIRE ROSTER'!$G:$G,MATCH(RAW!F757,'NEW HIRE ROSTER'!$A:$A,0))</f>
        <v>#N/A</v>
      </c>
      <c r="C757" s="90" t="e">
        <f>INDEX('NEW HIRE ROSTER'!$F:$F,MATCH(RAW!F757,'NEW HIRE ROSTER'!$A:$A,0))</f>
        <v>#N/A</v>
      </c>
      <c r="D757" s="90" t="e">
        <f>INDEX('Validation List'!$H:$H,MATCH(RAW!E757,'Validation List'!$F:$F,0))</f>
        <v>#N/A</v>
      </c>
      <c r="G757" s="90" t="e">
        <f>VLOOKUP(F757,ML!C741:D1339,2,FALSE)</f>
        <v>#N/A</v>
      </c>
      <c r="H757" s="90" t="e">
        <f>VLOOKUP(F757,ML!C741:E1339,3,FALSE)</f>
        <v>#N/A</v>
      </c>
    </row>
    <row r="758" spans="1:8" x14ac:dyDescent="0.35">
      <c r="A758" s="90" t="e">
        <f>VLOOKUP(E758,'Validation List'!F759:G1154,2,FALSE)</f>
        <v>#N/A</v>
      </c>
      <c r="B758" s="90" t="e">
        <f>INDEX('NEW HIRE ROSTER'!$G:$G,MATCH(RAW!F758,'NEW HIRE ROSTER'!$A:$A,0))</f>
        <v>#N/A</v>
      </c>
      <c r="C758" s="90" t="e">
        <f>INDEX('NEW HIRE ROSTER'!$F:$F,MATCH(RAW!F758,'NEW HIRE ROSTER'!$A:$A,0))</f>
        <v>#N/A</v>
      </c>
      <c r="D758" s="90" t="e">
        <f>INDEX('Validation List'!$H:$H,MATCH(RAW!E758,'Validation List'!$F:$F,0))</f>
        <v>#N/A</v>
      </c>
      <c r="G758" s="90" t="e">
        <f>VLOOKUP(F758,ML!C742:D1340,2,FALSE)</f>
        <v>#N/A</v>
      </c>
      <c r="H758" s="90" t="e">
        <f>VLOOKUP(F758,ML!C742:E1340,3,FALSE)</f>
        <v>#N/A</v>
      </c>
    </row>
    <row r="759" spans="1:8" x14ac:dyDescent="0.35">
      <c r="A759" s="90" t="e">
        <f>VLOOKUP(E759,'Validation List'!F760:G1155,2,FALSE)</f>
        <v>#N/A</v>
      </c>
      <c r="B759" s="90" t="e">
        <f>INDEX('NEW HIRE ROSTER'!$G:$G,MATCH(RAW!F759,'NEW HIRE ROSTER'!$A:$A,0))</f>
        <v>#N/A</v>
      </c>
      <c r="C759" s="90" t="e">
        <f>INDEX('NEW HIRE ROSTER'!$F:$F,MATCH(RAW!F759,'NEW HIRE ROSTER'!$A:$A,0))</f>
        <v>#N/A</v>
      </c>
      <c r="D759" s="90" t="e">
        <f>INDEX('Validation List'!$H:$H,MATCH(RAW!E759,'Validation List'!$F:$F,0))</f>
        <v>#N/A</v>
      </c>
      <c r="G759" s="90" t="e">
        <f>VLOOKUP(F759,ML!C743:D1341,2,FALSE)</f>
        <v>#N/A</v>
      </c>
      <c r="H759" s="90" t="e">
        <f>VLOOKUP(F759,ML!C743:E1341,3,FALSE)</f>
        <v>#N/A</v>
      </c>
    </row>
    <row r="760" spans="1:8" x14ac:dyDescent="0.35">
      <c r="A760" s="90" t="e">
        <f>VLOOKUP(E760,'Validation List'!F761:G1156,2,FALSE)</f>
        <v>#N/A</v>
      </c>
      <c r="B760" s="90" t="e">
        <f>INDEX('NEW HIRE ROSTER'!$G:$G,MATCH(RAW!F760,'NEW HIRE ROSTER'!$A:$A,0))</f>
        <v>#N/A</v>
      </c>
      <c r="C760" s="90" t="e">
        <f>INDEX('NEW HIRE ROSTER'!$F:$F,MATCH(RAW!F760,'NEW HIRE ROSTER'!$A:$A,0))</f>
        <v>#N/A</v>
      </c>
      <c r="D760" s="90" t="e">
        <f>INDEX('Validation List'!$H:$H,MATCH(RAW!E760,'Validation List'!$F:$F,0))</f>
        <v>#N/A</v>
      </c>
      <c r="G760" s="90" t="e">
        <f>VLOOKUP(F760,ML!C744:D1342,2,FALSE)</f>
        <v>#N/A</v>
      </c>
      <c r="H760" s="90" t="e">
        <f>VLOOKUP(F760,ML!C744:E1342,3,FALSE)</f>
        <v>#N/A</v>
      </c>
    </row>
    <row r="761" spans="1:8" x14ac:dyDescent="0.35">
      <c r="A761" s="90" t="e">
        <f>VLOOKUP(E761,'Validation List'!F762:G1157,2,FALSE)</f>
        <v>#N/A</v>
      </c>
      <c r="B761" s="90" t="e">
        <f>INDEX('NEW HIRE ROSTER'!$G:$G,MATCH(RAW!F761,'NEW HIRE ROSTER'!$A:$A,0))</f>
        <v>#N/A</v>
      </c>
      <c r="C761" s="90" t="e">
        <f>INDEX('NEW HIRE ROSTER'!$F:$F,MATCH(RAW!F761,'NEW HIRE ROSTER'!$A:$A,0))</f>
        <v>#N/A</v>
      </c>
      <c r="D761" s="90" t="e">
        <f>INDEX('Validation List'!$H:$H,MATCH(RAW!E761,'Validation List'!$F:$F,0))</f>
        <v>#N/A</v>
      </c>
      <c r="G761" s="90" t="e">
        <f>VLOOKUP(F761,ML!C745:D1343,2,FALSE)</f>
        <v>#N/A</v>
      </c>
      <c r="H761" s="90" t="e">
        <f>VLOOKUP(F761,ML!C745:E1343,3,FALSE)</f>
        <v>#N/A</v>
      </c>
    </row>
    <row r="762" spans="1:8" x14ac:dyDescent="0.35">
      <c r="A762" s="90" t="e">
        <f>VLOOKUP(E762,'Validation List'!F763:G1158,2,FALSE)</f>
        <v>#N/A</v>
      </c>
      <c r="B762" s="90" t="e">
        <f>INDEX('NEW HIRE ROSTER'!$G:$G,MATCH(RAW!F762,'NEW HIRE ROSTER'!$A:$A,0))</f>
        <v>#N/A</v>
      </c>
      <c r="C762" s="90" t="e">
        <f>INDEX('NEW HIRE ROSTER'!$F:$F,MATCH(RAW!F762,'NEW HIRE ROSTER'!$A:$A,0))</f>
        <v>#N/A</v>
      </c>
      <c r="D762" s="90" t="e">
        <f>INDEX('Validation List'!$H:$H,MATCH(RAW!E762,'Validation List'!$F:$F,0))</f>
        <v>#N/A</v>
      </c>
      <c r="G762" s="90" t="e">
        <f>VLOOKUP(F762,ML!C746:D1344,2,FALSE)</f>
        <v>#N/A</v>
      </c>
      <c r="H762" s="90" t="e">
        <f>VLOOKUP(F762,ML!C746:E1344,3,FALSE)</f>
        <v>#N/A</v>
      </c>
    </row>
    <row r="763" spans="1:8" x14ac:dyDescent="0.35">
      <c r="A763" s="90" t="e">
        <f>VLOOKUP(E763,'Validation List'!F764:G1159,2,FALSE)</f>
        <v>#N/A</v>
      </c>
      <c r="B763" s="90" t="e">
        <f>INDEX('NEW HIRE ROSTER'!$G:$G,MATCH(RAW!F763,'NEW HIRE ROSTER'!$A:$A,0))</f>
        <v>#N/A</v>
      </c>
      <c r="C763" s="90" t="e">
        <f>INDEX('NEW HIRE ROSTER'!$F:$F,MATCH(RAW!F763,'NEW HIRE ROSTER'!$A:$A,0))</f>
        <v>#N/A</v>
      </c>
      <c r="D763" s="90" t="e">
        <f>INDEX('Validation List'!$H:$H,MATCH(RAW!E763,'Validation List'!$F:$F,0))</f>
        <v>#N/A</v>
      </c>
      <c r="G763" s="90" t="e">
        <f>VLOOKUP(F763,ML!C747:D1345,2,FALSE)</f>
        <v>#N/A</v>
      </c>
      <c r="H763" s="90" t="e">
        <f>VLOOKUP(F763,ML!C747:E1345,3,FALSE)</f>
        <v>#N/A</v>
      </c>
    </row>
    <row r="764" spans="1:8" x14ac:dyDescent="0.35">
      <c r="A764" s="90" t="e">
        <f>VLOOKUP(E764,'Validation List'!F765:G1160,2,FALSE)</f>
        <v>#N/A</v>
      </c>
      <c r="B764" s="90" t="e">
        <f>INDEX('NEW HIRE ROSTER'!$G:$G,MATCH(RAW!F764,'NEW HIRE ROSTER'!$A:$A,0))</f>
        <v>#N/A</v>
      </c>
      <c r="C764" s="90" t="e">
        <f>INDEX('NEW HIRE ROSTER'!$F:$F,MATCH(RAW!F764,'NEW HIRE ROSTER'!$A:$A,0))</f>
        <v>#N/A</v>
      </c>
      <c r="D764" s="90" t="e">
        <f>INDEX('Validation List'!$H:$H,MATCH(RAW!E764,'Validation List'!$F:$F,0))</f>
        <v>#N/A</v>
      </c>
      <c r="G764" s="90" t="e">
        <f>VLOOKUP(F764,ML!C748:D1346,2,FALSE)</f>
        <v>#N/A</v>
      </c>
      <c r="H764" s="90" t="e">
        <f>VLOOKUP(F764,ML!C748:E1346,3,FALSE)</f>
        <v>#N/A</v>
      </c>
    </row>
    <row r="765" spans="1:8" x14ac:dyDescent="0.35">
      <c r="A765" s="90" t="e">
        <f>VLOOKUP(E765,'Validation List'!F766:G1161,2,FALSE)</f>
        <v>#N/A</v>
      </c>
      <c r="B765" s="90" t="e">
        <f>INDEX('NEW HIRE ROSTER'!$G:$G,MATCH(RAW!F765,'NEW HIRE ROSTER'!$A:$A,0))</f>
        <v>#N/A</v>
      </c>
      <c r="C765" s="90" t="e">
        <f>INDEX('NEW HIRE ROSTER'!$F:$F,MATCH(RAW!F765,'NEW HIRE ROSTER'!$A:$A,0))</f>
        <v>#N/A</v>
      </c>
      <c r="D765" s="90" t="e">
        <f>INDEX('Validation List'!$H:$H,MATCH(RAW!E765,'Validation List'!$F:$F,0))</f>
        <v>#N/A</v>
      </c>
      <c r="G765" s="90" t="e">
        <f>VLOOKUP(F765,ML!C749:D1347,2,FALSE)</f>
        <v>#N/A</v>
      </c>
      <c r="H765" s="90" t="e">
        <f>VLOOKUP(F765,ML!C749:E1347,3,FALSE)</f>
        <v>#N/A</v>
      </c>
    </row>
    <row r="766" spans="1:8" x14ac:dyDescent="0.35">
      <c r="A766" s="90" t="e">
        <f>VLOOKUP(E766,'Validation List'!F767:G1162,2,FALSE)</f>
        <v>#N/A</v>
      </c>
      <c r="B766" s="90" t="e">
        <f>INDEX('NEW HIRE ROSTER'!$G:$G,MATCH(RAW!F766,'NEW HIRE ROSTER'!$A:$A,0))</f>
        <v>#N/A</v>
      </c>
      <c r="C766" s="90" t="e">
        <f>INDEX('NEW HIRE ROSTER'!$F:$F,MATCH(RAW!F766,'NEW HIRE ROSTER'!$A:$A,0))</f>
        <v>#N/A</v>
      </c>
      <c r="D766" s="90" t="e">
        <f>INDEX('Validation List'!$H:$H,MATCH(RAW!E766,'Validation List'!$F:$F,0))</f>
        <v>#N/A</v>
      </c>
      <c r="G766" s="90" t="e">
        <f>VLOOKUP(F766,ML!C750:D1348,2,FALSE)</f>
        <v>#N/A</v>
      </c>
      <c r="H766" s="90" t="e">
        <f>VLOOKUP(F766,ML!C750:E1348,3,FALSE)</f>
        <v>#N/A</v>
      </c>
    </row>
    <row r="767" spans="1:8" x14ac:dyDescent="0.35">
      <c r="A767" s="90" t="e">
        <f>VLOOKUP(E767,'Validation List'!F768:G1163,2,FALSE)</f>
        <v>#N/A</v>
      </c>
      <c r="B767" s="90" t="e">
        <f>INDEX('NEW HIRE ROSTER'!$G:$G,MATCH(RAW!F767,'NEW HIRE ROSTER'!$A:$A,0))</f>
        <v>#N/A</v>
      </c>
      <c r="C767" s="90" t="e">
        <f>INDEX('NEW HIRE ROSTER'!$F:$F,MATCH(RAW!F767,'NEW HIRE ROSTER'!$A:$A,0))</f>
        <v>#N/A</v>
      </c>
      <c r="D767" s="90" t="e">
        <f>INDEX('Validation List'!$H:$H,MATCH(RAW!E767,'Validation List'!$F:$F,0))</f>
        <v>#N/A</v>
      </c>
      <c r="G767" s="90" t="e">
        <f>VLOOKUP(F767,ML!C751:D1349,2,FALSE)</f>
        <v>#N/A</v>
      </c>
      <c r="H767" s="90" t="e">
        <f>VLOOKUP(F767,ML!C751:E1349,3,FALSE)</f>
        <v>#N/A</v>
      </c>
    </row>
    <row r="768" spans="1:8" x14ac:dyDescent="0.35">
      <c r="A768" s="90" t="e">
        <f>VLOOKUP(E768,'Validation List'!F769:G1164,2,FALSE)</f>
        <v>#N/A</v>
      </c>
      <c r="B768" s="90" t="e">
        <f>INDEX('NEW HIRE ROSTER'!$G:$G,MATCH(RAW!F768,'NEW HIRE ROSTER'!$A:$A,0))</f>
        <v>#N/A</v>
      </c>
      <c r="C768" s="90" t="e">
        <f>INDEX('NEW HIRE ROSTER'!$F:$F,MATCH(RAW!F768,'NEW HIRE ROSTER'!$A:$A,0))</f>
        <v>#N/A</v>
      </c>
      <c r="D768" s="90" t="e">
        <f>INDEX('Validation List'!$H:$H,MATCH(RAW!E768,'Validation List'!$F:$F,0))</f>
        <v>#N/A</v>
      </c>
      <c r="G768" s="90" t="e">
        <f>VLOOKUP(F768,ML!C752:D1350,2,FALSE)</f>
        <v>#N/A</v>
      </c>
      <c r="H768" s="90" t="e">
        <f>VLOOKUP(F768,ML!C752:E1350,3,FALSE)</f>
        <v>#N/A</v>
      </c>
    </row>
    <row r="769" spans="1:8" x14ac:dyDescent="0.35">
      <c r="A769" s="90" t="e">
        <f>VLOOKUP(E769,'Validation List'!F770:G1165,2,FALSE)</f>
        <v>#N/A</v>
      </c>
      <c r="B769" s="90" t="e">
        <f>INDEX('NEW HIRE ROSTER'!$G:$G,MATCH(RAW!F769,'NEW HIRE ROSTER'!$A:$A,0))</f>
        <v>#N/A</v>
      </c>
      <c r="C769" s="90" t="e">
        <f>INDEX('NEW HIRE ROSTER'!$F:$F,MATCH(RAW!F769,'NEW HIRE ROSTER'!$A:$A,0))</f>
        <v>#N/A</v>
      </c>
      <c r="D769" s="90" t="e">
        <f>INDEX('Validation List'!$H:$H,MATCH(RAW!E769,'Validation List'!$F:$F,0))</f>
        <v>#N/A</v>
      </c>
      <c r="G769" s="90" t="e">
        <f>VLOOKUP(F769,ML!C753:D1351,2,FALSE)</f>
        <v>#N/A</v>
      </c>
      <c r="H769" s="90" t="e">
        <f>VLOOKUP(F769,ML!C753:E1351,3,FALSE)</f>
        <v>#N/A</v>
      </c>
    </row>
    <row r="770" spans="1:8" x14ac:dyDescent="0.35">
      <c r="A770" s="90" t="e">
        <f>VLOOKUP(E770,'Validation List'!F771:G1166,2,FALSE)</f>
        <v>#N/A</v>
      </c>
      <c r="B770" s="90" t="e">
        <f>INDEX('NEW HIRE ROSTER'!$G:$G,MATCH(RAW!F770,'NEW HIRE ROSTER'!$A:$A,0))</f>
        <v>#N/A</v>
      </c>
      <c r="C770" s="90" t="e">
        <f>INDEX('NEW HIRE ROSTER'!$F:$F,MATCH(RAW!F770,'NEW HIRE ROSTER'!$A:$A,0))</f>
        <v>#N/A</v>
      </c>
      <c r="D770" s="90" t="e">
        <f>INDEX('Validation List'!$H:$H,MATCH(RAW!E770,'Validation List'!$F:$F,0))</f>
        <v>#N/A</v>
      </c>
      <c r="G770" s="90" t="e">
        <f>VLOOKUP(F770,ML!C754:D1352,2,FALSE)</f>
        <v>#N/A</v>
      </c>
      <c r="H770" s="90" t="e">
        <f>VLOOKUP(F770,ML!C754:E1352,3,FALSE)</f>
        <v>#N/A</v>
      </c>
    </row>
    <row r="771" spans="1:8" x14ac:dyDescent="0.35">
      <c r="A771" s="90" t="e">
        <f>VLOOKUP(E771,'Validation List'!F772:G1167,2,FALSE)</f>
        <v>#N/A</v>
      </c>
      <c r="B771" s="90" t="e">
        <f>INDEX('NEW HIRE ROSTER'!$G:$G,MATCH(RAW!F771,'NEW HIRE ROSTER'!$A:$A,0))</f>
        <v>#N/A</v>
      </c>
      <c r="C771" s="90" t="e">
        <f>INDEX('NEW HIRE ROSTER'!$F:$F,MATCH(RAW!F771,'NEW HIRE ROSTER'!$A:$A,0))</f>
        <v>#N/A</v>
      </c>
      <c r="D771" s="90" t="e">
        <f>INDEX('Validation List'!$H:$H,MATCH(RAW!E771,'Validation List'!$F:$F,0))</f>
        <v>#N/A</v>
      </c>
      <c r="G771" s="90" t="e">
        <f>VLOOKUP(F771,ML!C755:D1353,2,FALSE)</f>
        <v>#N/A</v>
      </c>
      <c r="H771" s="90" t="e">
        <f>VLOOKUP(F771,ML!C755:E1353,3,FALSE)</f>
        <v>#N/A</v>
      </c>
    </row>
    <row r="772" spans="1:8" x14ac:dyDescent="0.35">
      <c r="A772" s="90" t="e">
        <f>VLOOKUP(E772,'Validation List'!F773:G1168,2,FALSE)</f>
        <v>#N/A</v>
      </c>
      <c r="B772" s="90" t="e">
        <f>INDEX('NEW HIRE ROSTER'!$G:$G,MATCH(RAW!F772,'NEW HIRE ROSTER'!$A:$A,0))</f>
        <v>#N/A</v>
      </c>
      <c r="C772" s="90" t="e">
        <f>INDEX('NEW HIRE ROSTER'!$F:$F,MATCH(RAW!F772,'NEW HIRE ROSTER'!$A:$A,0))</f>
        <v>#N/A</v>
      </c>
      <c r="D772" s="90" t="e">
        <f>INDEX('Validation List'!$H:$H,MATCH(RAW!E772,'Validation List'!$F:$F,0))</f>
        <v>#N/A</v>
      </c>
      <c r="G772" s="90" t="e">
        <f>VLOOKUP(F772,ML!C756:D1354,2,FALSE)</f>
        <v>#N/A</v>
      </c>
      <c r="H772" s="90" t="e">
        <f>VLOOKUP(F772,ML!C756:E1354,3,FALSE)</f>
        <v>#N/A</v>
      </c>
    </row>
    <row r="773" spans="1:8" x14ac:dyDescent="0.35">
      <c r="A773" s="90" t="e">
        <f>VLOOKUP(E773,'Validation List'!F774:G1169,2,FALSE)</f>
        <v>#N/A</v>
      </c>
      <c r="B773" s="90" t="e">
        <f>INDEX('NEW HIRE ROSTER'!$G:$G,MATCH(RAW!F773,'NEW HIRE ROSTER'!$A:$A,0))</f>
        <v>#N/A</v>
      </c>
      <c r="C773" s="90" t="e">
        <f>INDEX('NEW HIRE ROSTER'!$F:$F,MATCH(RAW!F773,'NEW HIRE ROSTER'!$A:$A,0))</f>
        <v>#N/A</v>
      </c>
      <c r="D773" s="90" t="e">
        <f>INDEX('Validation List'!$H:$H,MATCH(RAW!E773,'Validation List'!$F:$F,0))</f>
        <v>#N/A</v>
      </c>
      <c r="G773" s="90" t="e">
        <f>VLOOKUP(F773,ML!C757:D1355,2,FALSE)</f>
        <v>#N/A</v>
      </c>
      <c r="H773" s="90" t="e">
        <f>VLOOKUP(F773,ML!C757:E1355,3,FALSE)</f>
        <v>#N/A</v>
      </c>
    </row>
    <row r="774" spans="1:8" x14ac:dyDescent="0.35">
      <c r="A774" s="90" t="e">
        <f>VLOOKUP(E774,'Validation List'!F775:G1170,2,FALSE)</f>
        <v>#N/A</v>
      </c>
      <c r="B774" s="90" t="e">
        <f>INDEX('NEW HIRE ROSTER'!$G:$G,MATCH(RAW!F774,'NEW HIRE ROSTER'!$A:$A,0))</f>
        <v>#N/A</v>
      </c>
      <c r="C774" s="90" t="e">
        <f>INDEX('NEW HIRE ROSTER'!$F:$F,MATCH(RAW!F774,'NEW HIRE ROSTER'!$A:$A,0))</f>
        <v>#N/A</v>
      </c>
      <c r="D774" s="90" t="e">
        <f>INDEX('Validation List'!$H:$H,MATCH(RAW!E774,'Validation List'!$F:$F,0))</f>
        <v>#N/A</v>
      </c>
      <c r="G774" s="90" t="e">
        <f>VLOOKUP(F774,ML!C758:D1356,2,FALSE)</f>
        <v>#N/A</v>
      </c>
      <c r="H774" s="90" t="e">
        <f>VLOOKUP(F774,ML!C758:E1356,3,FALSE)</f>
        <v>#N/A</v>
      </c>
    </row>
    <row r="775" spans="1:8" x14ac:dyDescent="0.35">
      <c r="A775" s="90" t="e">
        <f>VLOOKUP(E775,'Validation List'!F776:G1171,2,FALSE)</f>
        <v>#N/A</v>
      </c>
      <c r="B775" s="90" t="e">
        <f>INDEX('NEW HIRE ROSTER'!$G:$G,MATCH(RAW!F775,'NEW HIRE ROSTER'!$A:$A,0))</f>
        <v>#N/A</v>
      </c>
      <c r="C775" s="90" t="e">
        <f>INDEX('NEW HIRE ROSTER'!$F:$F,MATCH(RAW!F775,'NEW HIRE ROSTER'!$A:$A,0))</f>
        <v>#N/A</v>
      </c>
      <c r="D775" s="90" t="e">
        <f>INDEX('Validation List'!$H:$H,MATCH(RAW!E775,'Validation List'!$F:$F,0))</f>
        <v>#N/A</v>
      </c>
      <c r="G775" s="90" t="e">
        <f>VLOOKUP(F775,ML!C759:D1357,2,FALSE)</f>
        <v>#N/A</v>
      </c>
      <c r="H775" s="90" t="e">
        <f>VLOOKUP(F775,ML!C759:E1357,3,FALSE)</f>
        <v>#N/A</v>
      </c>
    </row>
    <row r="776" spans="1:8" x14ac:dyDescent="0.35">
      <c r="A776" s="90" t="e">
        <f>VLOOKUP(E776,'Validation List'!F777:G1172,2,FALSE)</f>
        <v>#N/A</v>
      </c>
      <c r="B776" s="90" t="e">
        <f>INDEX('NEW HIRE ROSTER'!$G:$G,MATCH(RAW!F776,'NEW HIRE ROSTER'!$A:$A,0))</f>
        <v>#N/A</v>
      </c>
      <c r="C776" s="90" t="e">
        <f>INDEX('NEW HIRE ROSTER'!$F:$F,MATCH(RAW!F776,'NEW HIRE ROSTER'!$A:$A,0))</f>
        <v>#N/A</v>
      </c>
      <c r="D776" s="90" t="e">
        <f>INDEX('Validation List'!$H:$H,MATCH(RAW!E776,'Validation List'!$F:$F,0))</f>
        <v>#N/A</v>
      </c>
      <c r="G776" s="90" t="e">
        <f>VLOOKUP(F776,ML!C760:D1358,2,FALSE)</f>
        <v>#N/A</v>
      </c>
      <c r="H776" s="90" t="e">
        <f>VLOOKUP(F776,ML!C760:E1358,3,FALSE)</f>
        <v>#N/A</v>
      </c>
    </row>
    <row r="777" spans="1:8" x14ac:dyDescent="0.35">
      <c r="A777" s="90" t="e">
        <f>VLOOKUP(E777,'Validation List'!F778:G1173,2,FALSE)</f>
        <v>#N/A</v>
      </c>
      <c r="B777" s="90" t="e">
        <f>INDEX('NEW HIRE ROSTER'!$G:$G,MATCH(RAW!F777,'NEW HIRE ROSTER'!$A:$A,0))</f>
        <v>#N/A</v>
      </c>
      <c r="C777" s="90" t="e">
        <f>INDEX('NEW HIRE ROSTER'!$F:$F,MATCH(RAW!F777,'NEW HIRE ROSTER'!$A:$A,0))</f>
        <v>#N/A</v>
      </c>
      <c r="D777" s="90" t="e">
        <f>INDEX('Validation List'!$H:$H,MATCH(RAW!E777,'Validation List'!$F:$F,0))</f>
        <v>#N/A</v>
      </c>
      <c r="G777" s="90" t="e">
        <f>VLOOKUP(F777,ML!C761:D1359,2,FALSE)</f>
        <v>#N/A</v>
      </c>
      <c r="H777" s="90" t="e">
        <f>VLOOKUP(F777,ML!C761:E1359,3,FALSE)</f>
        <v>#N/A</v>
      </c>
    </row>
    <row r="778" spans="1:8" x14ac:dyDescent="0.35">
      <c r="A778" s="90" t="e">
        <f>VLOOKUP(E778,'Validation List'!F779:G1174,2,FALSE)</f>
        <v>#N/A</v>
      </c>
      <c r="B778" s="90" t="e">
        <f>INDEX('NEW HIRE ROSTER'!$G:$G,MATCH(RAW!F778,'NEW HIRE ROSTER'!$A:$A,0))</f>
        <v>#N/A</v>
      </c>
      <c r="C778" s="90" t="e">
        <f>INDEX('NEW HIRE ROSTER'!$F:$F,MATCH(RAW!F778,'NEW HIRE ROSTER'!$A:$A,0))</f>
        <v>#N/A</v>
      </c>
      <c r="D778" s="90" t="e">
        <f>INDEX('Validation List'!$H:$H,MATCH(RAW!E778,'Validation List'!$F:$F,0))</f>
        <v>#N/A</v>
      </c>
      <c r="G778" s="90" t="e">
        <f>VLOOKUP(F778,ML!C762:D1360,2,FALSE)</f>
        <v>#N/A</v>
      </c>
      <c r="H778" s="90" t="e">
        <f>VLOOKUP(F778,ML!C762:E1360,3,FALSE)</f>
        <v>#N/A</v>
      </c>
    </row>
    <row r="779" spans="1:8" x14ac:dyDescent="0.35">
      <c r="A779" s="90" t="e">
        <f>VLOOKUP(E779,'Validation List'!F780:G1175,2,FALSE)</f>
        <v>#N/A</v>
      </c>
      <c r="B779" s="90" t="e">
        <f>INDEX('NEW HIRE ROSTER'!$G:$G,MATCH(RAW!F779,'NEW HIRE ROSTER'!$A:$A,0))</f>
        <v>#N/A</v>
      </c>
      <c r="C779" s="90" t="e">
        <f>INDEX('NEW HIRE ROSTER'!$F:$F,MATCH(RAW!F779,'NEW HIRE ROSTER'!$A:$A,0))</f>
        <v>#N/A</v>
      </c>
      <c r="D779" s="90" t="e">
        <f>INDEX('Validation List'!$H:$H,MATCH(RAW!E779,'Validation List'!$F:$F,0))</f>
        <v>#N/A</v>
      </c>
      <c r="G779" s="90" t="e">
        <f>VLOOKUP(F779,ML!C763:D1361,2,FALSE)</f>
        <v>#N/A</v>
      </c>
      <c r="H779" s="90" t="e">
        <f>VLOOKUP(F779,ML!C763:E1361,3,FALSE)</f>
        <v>#N/A</v>
      </c>
    </row>
    <row r="780" spans="1:8" x14ac:dyDescent="0.35">
      <c r="A780" s="90" t="e">
        <f>VLOOKUP(E780,'Validation List'!F781:G1176,2,FALSE)</f>
        <v>#N/A</v>
      </c>
      <c r="B780" s="90" t="e">
        <f>INDEX('NEW HIRE ROSTER'!$G:$G,MATCH(RAW!F780,'NEW HIRE ROSTER'!$A:$A,0))</f>
        <v>#N/A</v>
      </c>
      <c r="C780" s="90" t="e">
        <f>INDEX('NEW HIRE ROSTER'!$F:$F,MATCH(RAW!F780,'NEW HIRE ROSTER'!$A:$A,0))</f>
        <v>#N/A</v>
      </c>
      <c r="D780" s="90" t="e">
        <f>INDEX('Validation List'!$H:$H,MATCH(RAW!E780,'Validation List'!$F:$F,0))</f>
        <v>#N/A</v>
      </c>
      <c r="G780" s="90" t="e">
        <f>VLOOKUP(F780,ML!C764:D1362,2,FALSE)</f>
        <v>#N/A</v>
      </c>
      <c r="H780" s="90" t="e">
        <f>VLOOKUP(F780,ML!C764:E1362,3,FALSE)</f>
        <v>#N/A</v>
      </c>
    </row>
    <row r="781" spans="1:8" x14ac:dyDescent="0.35">
      <c r="A781" s="90" t="e">
        <f>VLOOKUP(E781,'Validation List'!F782:G1177,2,FALSE)</f>
        <v>#N/A</v>
      </c>
      <c r="B781" s="90" t="e">
        <f>INDEX('NEW HIRE ROSTER'!$G:$G,MATCH(RAW!F781,'NEW HIRE ROSTER'!$A:$A,0))</f>
        <v>#N/A</v>
      </c>
      <c r="C781" s="90" t="e">
        <f>INDEX('NEW HIRE ROSTER'!$F:$F,MATCH(RAW!F781,'NEW HIRE ROSTER'!$A:$A,0))</f>
        <v>#N/A</v>
      </c>
      <c r="D781" s="90" t="e">
        <f>INDEX('Validation List'!$H:$H,MATCH(RAW!E781,'Validation List'!$F:$F,0))</f>
        <v>#N/A</v>
      </c>
      <c r="G781" s="90" t="e">
        <f>VLOOKUP(F781,ML!C765:D1363,2,FALSE)</f>
        <v>#N/A</v>
      </c>
      <c r="H781" s="90" t="e">
        <f>VLOOKUP(F781,ML!C765:E1363,3,FALSE)</f>
        <v>#N/A</v>
      </c>
    </row>
    <row r="782" spans="1:8" x14ac:dyDescent="0.35">
      <c r="A782" s="90" t="e">
        <f>VLOOKUP(E782,'Validation List'!F783:G1178,2,FALSE)</f>
        <v>#N/A</v>
      </c>
      <c r="B782" s="90" t="e">
        <f>INDEX('NEW HIRE ROSTER'!$G:$G,MATCH(RAW!F782,'NEW HIRE ROSTER'!$A:$A,0))</f>
        <v>#N/A</v>
      </c>
      <c r="C782" s="90" t="e">
        <f>INDEX('NEW HIRE ROSTER'!$F:$F,MATCH(RAW!F782,'NEW HIRE ROSTER'!$A:$A,0))</f>
        <v>#N/A</v>
      </c>
      <c r="D782" s="90" t="e">
        <f>INDEX('Validation List'!$H:$H,MATCH(RAW!E782,'Validation List'!$F:$F,0))</f>
        <v>#N/A</v>
      </c>
      <c r="G782" s="90" t="e">
        <f>VLOOKUP(F782,ML!C766:D1364,2,FALSE)</f>
        <v>#N/A</v>
      </c>
      <c r="H782" s="90" t="e">
        <f>VLOOKUP(F782,ML!C766:E1364,3,FALSE)</f>
        <v>#N/A</v>
      </c>
    </row>
    <row r="783" spans="1:8" x14ac:dyDescent="0.35">
      <c r="A783" s="90" t="e">
        <f>VLOOKUP(E783,'Validation List'!F784:G1179,2,FALSE)</f>
        <v>#N/A</v>
      </c>
      <c r="B783" s="90" t="e">
        <f>INDEX('NEW HIRE ROSTER'!$G:$G,MATCH(RAW!F783,'NEW HIRE ROSTER'!$A:$A,0))</f>
        <v>#N/A</v>
      </c>
      <c r="C783" s="90" t="e">
        <f>INDEX('NEW HIRE ROSTER'!$F:$F,MATCH(RAW!F783,'NEW HIRE ROSTER'!$A:$A,0))</f>
        <v>#N/A</v>
      </c>
      <c r="D783" s="90" t="e">
        <f>INDEX('Validation List'!$H:$H,MATCH(RAW!E783,'Validation List'!$F:$F,0))</f>
        <v>#N/A</v>
      </c>
      <c r="G783" s="90" t="e">
        <f>VLOOKUP(F783,ML!C767:D1365,2,FALSE)</f>
        <v>#N/A</v>
      </c>
      <c r="H783" s="90" t="e">
        <f>VLOOKUP(F783,ML!C767:E1365,3,FALSE)</f>
        <v>#N/A</v>
      </c>
    </row>
    <row r="784" spans="1:8" x14ac:dyDescent="0.35">
      <c r="A784" s="90" t="e">
        <f>VLOOKUP(E784,'Validation List'!F785:G1180,2,FALSE)</f>
        <v>#N/A</v>
      </c>
      <c r="B784" s="90" t="e">
        <f>INDEX('NEW HIRE ROSTER'!$G:$G,MATCH(RAW!F784,'NEW HIRE ROSTER'!$A:$A,0))</f>
        <v>#N/A</v>
      </c>
      <c r="C784" s="90" t="e">
        <f>INDEX('NEW HIRE ROSTER'!$F:$F,MATCH(RAW!F784,'NEW HIRE ROSTER'!$A:$A,0))</f>
        <v>#N/A</v>
      </c>
      <c r="D784" s="90" t="e">
        <f>INDEX('Validation List'!$H:$H,MATCH(RAW!E784,'Validation List'!$F:$F,0))</f>
        <v>#N/A</v>
      </c>
      <c r="G784" s="90" t="e">
        <f>VLOOKUP(F784,ML!C768:D1366,2,FALSE)</f>
        <v>#N/A</v>
      </c>
      <c r="H784" s="90" t="e">
        <f>VLOOKUP(F784,ML!C768:E1366,3,FALSE)</f>
        <v>#N/A</v>
      </c>
    </row>
    <row r="785" spans="1:8" x14ac:dyDescent="0.35">
      <c r="A785" s="90" t="e">
        <f>VLOOKUP(E785,'Validation List'!F786:G1181,2,FALSE)</f>
        <v>#N/A</v>
      </c>
      <c r="B785" s="90" t="e">
        <f>INDEX('NEW HIRE ROSTER'!$G:$G,MATCH(RAW!F785,'NEW HIRE ROSTER'!$A:$A,0))</f>
        <v>#N/A</v>
      </c>
      <c r="C785" s="90" t="e">
        <f>INDEX('NEW HIRE ROSTER'!$F:$F,MATCH(RAW!F785,'NEW HIRE ROSTER'!$A:$A,0))</f>
        <v>#N/A</v>
      </c>
      <c r="D785" s="90" t="e">
        <f>INDEX('Validation List'!$H:$H,MATCH(RAW!E785,'Validation List'!$F:$F,0))</f>
        <v>#N/A</v>
      </c>
      <c r="G785" s="90" t="e">
        <f>VLOOKUP(F785,ML!C769:D1367,2,FALSE)</f>
        <v>#N/A</v>
      </c>
      <c r="H785" s="90" t="e">
        <f>VLOOKUP(F785,ML!C769:E1367,3,FALSE)</f>
        <v>#N/A</v>
      </c>
    </row>
    <row r="786" spans="1:8" x14ac:dyDescent="0.35">
      <c r="A786" s="90" t="e">
        <f>VLOOKUP(E786,'Validation List'!F787:G1182,2,FALSE)</f>
        <v>#N/A</v>
      </c>
      <c r="B786" s="90" t="e">
        <f>INDEX('NEW HIRE ROSTER'!$G:$G,MATCH(RAW!F786,'NEW HIRE ROSTER'!$A:$A,0))</f>
        <v>#N/A</v>
      </c>
      <c r="C786" s="90" t="e">
        <f>INDEX('NEW HIRE ROSTER'!$F:$F,MATCH(RAW!F786,'NEW HIRE ROSTER'!$A:$A,0))</f>
        <v>#N/A</v>
      </c>
      <c r="D786" s="90" t="e">
        <f>INDEX('Validation List'!$H:$H,MATCH(RAW!E786,'Validation List'!$F:$F,0))</f>
        <v>#N/A</v>
      </c>
      <c r="G786" s="90" t="e">
        <f>VLOOKUP(F786,ML!C770:D1368,2,FALSE)</f>
        <v>#N/A</v>
      </c>
      <c r="H786" s="90" t="e">
        <f>VLOOKUP(F786,ML!C770:E1368,3,FALSE)</f>
        <v>#N/A</v>
      </c>
    </row>
    <row r="787" spans="1:8" x14ac:dyDescent="0.35">
      <c r="A787" s="90" t="e">
        <f>VLOOKUP(E787,'Validation List'!F788:G1183,2,FALSE)</f>
        <v>#N/A</v>
      </c>
      <c r="B787" s="90" t="e">
        <f>INDEX('NEW HIRE ROSTER'!$G:$G,MATCH(RAW!F787,'NEW HIRE ROSTER'!$A:$A,0))</f>
        <v>#N/A</v>
      </c>
      <c r="C787" s="90" t="e">
        <f>INDEX('NEW HIRE ROSTER'!$F:$F,MATCH(RAW!F787,'NEW HIRE ROSTER'!$A:$A,0))</f>
        <v>#N/A</v>
      </c>
      <c r="D787" s="90" t="e">
        <f>INDEX('Validation List'!$H:$H,MATCH(RAW!E787,'Validation List'!$F:$F,0))</f>
        <v>#N/A</v>
      </c>
      <c r="G787" s="90" t="e">
        <f>VLOOKUP(F787,ML!C771:D1369,2,FALSE)</f>
        <v>#N/A</v>
      </c>
      <c r="H787" s="90" t="e">
        <f>VLOOKUP(F787,ML!C771:E1369,3,FALSE)</f>
        <v>#N/A</v>
      </c>
    </row>
    <row r="788" spans="1:8" x14ac:dyDescent="0.35">
      <c r="A788" s="90" t="e">
        <f>VLOOKUP(E788,'Validation List'!F789:G1184,2,FALSE)</f>
        <v>#N/A</v>
      </c>
      <c r="B788" s="90" t="e">
        <f>INDEX('NEW HIRE ROSTER'!$G:$G,MATCH(RAW!F788,'NEW HIRE ROSTER'!$A:$A,0))</f>
        <v>#N/A</v>
      </c>
      <c r="C788" s="90" t="e">
        <f>INDEX('NEW HIRE ROSTER'!$F:$F,MATCH(RAW!F788,'NEW HIRE ROSTER'!$A:$A,0))</f>
        <v>#N/A</v>
      </c>
      <c r="D788" s="90" t="e">
        <f>INDEX('Validation List'!$H:$H,MATCH(RAW!E788,'Validation List'!$F:$F,0))</f>
        <v>#N/A</v>
      </c>
      <c r="G788" s="90" t="e">
        <f>VLOOKUP(F788,ML!C772:D1370,2,FALSE)</f>
        <v>#N/A</v>
      </c>
      <c r="H788" s="90" t="e">
        <f>VLOOKUP(F788,ML!C772:E1370,3,FALSE)</f>
        <v>#N/A</v>
      </c>
    </row>
    <row r="789" spans="1:8" x14ac:dyDescent="0.35">
      <c r="A789" s="90" t="e">
        <f>VLOOKUP(E789,'Validation List'!F790:G1185,2,FALSE)</f>
        <v>#N/A</v>
      </c>
      <c r="B789" s="90" t="e">
        <f>INDEX('NEW HIRE ROSTER'!$G:$G,MATCH(RAW!F789,'NEW HIRE ROSTER'!$A:$A,0))</f>
        <v>#N/A</v>
      </c>
      <c r="C789" s="90" t="e">
        <f>INDEX('NEW HIRE ROSTER'!$F:$F,MATCH(RAW!F789,'NEW HIRE ROSTER'!$A:$A,0))</f>
        <v>#N/A</v>
      </c>
      <c r="D789" s="90" t="e">
        <f>INDEX('Validation List'!$H:$H,MATCH(RAW!E789,'Validation List'!$F:$F,0))</f>
        <v>#N/A</v>
      </c>
      <c r="G789" s="90" t="e">
        <f>VLOOKUP(F789,ML!C773:D1371,2,FALSE)</f>
        <v>#N/A</v>
      </c>
      <c r="H789" s="90" t="e">
        <f>VLOOKUP(F789,ML!C773:E1371,3,FALSE)</f>
        <v>#N/A</v>
      </c>
    </row>
    <row r="790" spans="1:8" x14ac:dyDescent="0.35">
      <c r="A790" s="90" t="e">
        <f>VLOOKUP(E790,'Validation List'!F791:G1186,2,FALSE)</f>
        <v>#N/A</v>
      </c>
      <c r="B790" s="90" t="e">
        <f>INDEX('NEW HIRE ROSTER'!$G:$G,MATCH(RAW!F790,'NEW HIRE ROSTER'!$A:$A,0))</f>
        <v>#N/A</v>
      </c>
      <c r="C790" s="90" t="e">
        <f>INDEX('NEW HIRE ROSTER'!$F:$F,MATCH(RAW!F790,'NEW HIRE ROSTER'!$A:$A,0))</f>
        <v>#N/A</v>
      </c>
      <c r="D790" s="90" t="e">
        <f>INDEX('Validation List'!$H:$H,MATCH(RAW!E790,'Validation List'!$F:$F,0))</f>
        <v>#N/A</v>
      </c>
      <c r="G790" s="90" t="e">
        <f>VLOOKUP(F790,ML!C774:D1372,2,FALSE)</f>
        <v>#N/A</v>
      </c>
      <c r="H790" s="90" t="e">
        <f>VLOOKUP(F790,ML!C774:E1372,3,FALSE)</f>
        <v>#N/A</v>
      </c>
    </row>
    <row r="791" spans="1:8" x14ac:dyDescent="0.35">
      <c r="A791" s="90" t="e">
        <f>VLOOKUP(E791,'Validation List'!F792:G1187,2,FALSE)</f>
        <v>#N/A</v>
      </c>
      <c r="B791" s="90" t="e">
        <f>INDEX('NEW HIRE ROSTER'!$G:$G,MATCH(RAW!F791,'NEW HIRE ROSTER'!$A:$A,0))</f>
        <v>#N/A</v>
      </c>
      <c r="C791" s="90" t="e">
        <f>INDEX('NEW HIRE ROSTER'!$F:$F,MATCH(RAW!F791,'NEW HIRE ROSTER'!$A:$A,0))</f>
        <v>#N/A</v>
      </c>
      <c r="D791" s="90" t="e">
        <f>INDEX('Validation List'!$H:$H,MATCH(RAW!E791,'Validation List'!$F:$F,0))</f>
        <v>#N/A</v>
      </c>
      <c r="G791" s="90" t="e">
        <f>VLOOKUP(F791,ML!C775:D1373,2,FALSE)</f>
        <v>#N/A</v>
      </c>
      <c r="H791" s="90" t="e">
        <f>VLOOKUP(F791,ML!C775:E1373,3,FALSE)</f>
        <v>#N/A</v>
      </c>
    </row>
    <row r="792" spans="1:8" x14ac:dyDescent="0.35">
      <c r="A792" s="90" t="e">
        <f>VLOOKUP(E792,'Validation List'!F793:G1188,2,FALSE)</f>
        <v>#N/A</v>
      </c>
      <c r="B792" s="90" t="e">
        <f>INDEX('NEW HIRE ROSTER'!$G:$G,MATCH(RAW!F792,'NEW HIRE ROSTER'!$A:$A,0))</f>
        <v>#N/A</v>
      </c>
      <c r="C792" s="90" t="e">
        <f>INDEX('NEW HIRE ROSTER'!$F:$F,MATCH(RAW!F792,'NEW HIRE ROSTER'!$A:$A,0))</f>
        <v>#N/A</v>
      </c>
      <c r="D792" s="90" t="e">
        <f>INDEX('Validation List'!$H:$H,MATCH(RAW!E792,'Validation List'!$F:$F,0))</f>
        <v>#N/A</v>
      </c>
      <c r="G792" s="90" t="e">
        <f>VLOOKUP(F792,ML!C776:D1374,2,FALSE)</f>
        <v>#N/A</v>
      </c>
      <c r="H792" s="90" t="e">
        <f>VLOOKUP(F792,ML!C776:E1374,3,FALSE)</f>
        <v>#N/A</v>
      </c>
    </row>
    <row r="793" spans="1:8" x14ac:dyDescent="0.35">
      <c r="A793" s="90" t="e">
        <f>VLOOKUP(E793,'Validation List'!F794:G1189,2,FALSE)</f>
        <v>#N/A</v>
      </c>
      <c r="B793" s="90" t="e">
        <f>INDEX('NEW HIRE ROSTER'!$G:$G,MATCH(RAW!F793,'NEW HIRE ROSTER'!$A:$A,0))</f>
        <v>#N/A</v>
      </c>
      <c r="C793" s="90" t="e">
        <f>INDEX('NEW HIRE ROSTER'!$F:$F,MATCH(RAW!F793,'NEW HIRE ROSTER'!$A:$A,0))</f>
        <v>#N/A</v>
      </c>
      <c r="D793" s="90" t="e">
        <f>INDEX('Validation List'!$H:$H,MATCH(RAW!E793,'Validation List'!$F:$F,0))</f>
        <v>#N/A</v>
      </c>
      <c r="G793" s="90" t="e">
        <f>VLOOKUP(F793,ML!C777:D1375,2,FALSE)</f>
        <v>#N/A</v>
      </c>
      <c r="H793" s="90" t="e">
        <f>VLOOKUP(F793,ML!C777:E1375,3,FALSE)</f>
        <v>#N/A</v>
      </c>
    </row>
    <row r="794" spans="1:8" x14ac:dyDescent="0.35">
      <c r="A794" s="90" t="e">
        <f>VLOOKUP(E794,'Validation List'!F795:G1190,2,FALSE)</f>
        <v>#N/A</v>
      </c>
      <c r="B794" s="90" t="e">
        <f>INDEX('NEW HIRE ROSTER'!$G:$G,MATCH(RAW!F794,'NEW HIRE ROSTER'!$A:$A,0))</f>
        <v>#N/A</v>
      </c>
      <c r="C794" s="90" t="e">
        <f>INDEX('NEW HIRE ROSTER'!$F:$F,MATCH(RAW!F794,'NEW HIRE ROSTER'!$A:$A,0))</f>
        <v>#N/A</v>
      </c>
      <c r="D794" s="90" t="e">
        <f>INDEX('Validation List'!$H:$H,MATCH(RAW!E794,'Validation List'!$F:$F,0))</f>
        <v>#N/A</v>
      </c>
      <c r="G794" s="90" t="e">
        <f>VLOOKUP(F794,ML!C778:D1376,2,FALSE)</f>
        <v>#N/A</v>
      </c>
      <c r="H794" s="90" t="e">
        <f>VLOOKUP(F794,ML!C778:E1376,3,FALSE)</f>
        <v>#N/A</v>
      </c>
    </row>
    <row r="795" spans="1:8" x14ac:dyDescent="0.35">
      <c r="A795" s="90" t="e">
        <f>VLOOKUP(E795,'Validation List'!F796:G1191,2,FALSE)</f>
        <v>#N/A</v>
      </c>
      <c r="B795" s="90" t="e">
        <f>INDEX('NEW HIRE ROSTER'!$G:$G,MATCH(RAW!F795,'NEW HIRE ROSTER'!$A:$A,0))</f>
        <v>#N/A</v>
      </c>
      <c r="C795" s="90" t="e">
        <f>INDEX('NEW HIRE ROSTER'!$F:$F,MATCH(RAW!F795,'NEW HIRE ROSTER'!$A:$A,0))</f>
        <v>#N/A</v>
      </c>
      <c r="D795" s="90" t="e">
        <f>INDEX('Validation List'!$H:$H,MATCH(RAW!E795,'Validation List'!$F:$F,0))</f>
        <v>#N/A</v>
      </c>
      <c r="G795" s="90" t="e">
        <f>VLOOKUP(F795,ML!C779:D1377,2,FALSE)</f>
        <v>#N/A</v>
      </c>
      <c r="H795" s="90" t="e">
        <f>VLOOKUP(F795,ML!C779:E1377,3,FALSE)</f>
        <v>#N/A</v>
      </c>
    </row>
    <row r="796" spans="1:8" x14ac:dyDescent="0.35">
      <c r="A796" s="90" t="e">
        <f>VLOOKUP(E796,'Validation List'!F797:G1192,2,FALSE)</f>
        <v>#N/A</v>
      </c>
      <c r="B796" s="90" t="e">
        <f>INDEX('NEW HIRE ROSTER'!$G:$G,MATCH(RAW!F796,'NEW HIRE ROSTER'!$A:$A,0))</f>
        <v>#N/A</v>
      </c>
      <c r="C796" s="90" t="e">
        <f>INDEX('NEW HIRE ROSTER'!$F:$F,MATCH(RAW!F796,'NEW HIRE ROSTER'!$A:$A,0))</f>
        <v>#N/A</v>
      </c>
      <c r="D796" s="90" t="e">
        <f>INDEX('Validation List'!$H:$H,MATCH(RAW!E796,'Validation List'!$F:$F,0))</f>
        <v>#N/A</v>
      </c>
      <c r="G796" s="90" t="e">
        <f>VLOOKUP(F796,ML!C780:D1378,2,FALSE)</f>
        <v>#N/A</v>
      </c>
      <c r="H796" s="90" t="e">
        <f>VLOOKUP(F796,ML!C780:E1378,3,FALSE)</f>
        <v>#N/A</v>
      </c>
    </row>
    <row r="797" spans="1:8" x14ac:dyDescent="0.35">
      <c r="A797" s="90" t="e">
        <f>VLOOKUP(E797,'Validation List'!F798:G1193,2,FALSE)</f>
        <v>#N/A</v>
      </c>
      <c r="B797" s="90" t="e">
        <f>INDEX('NEW HIRE ROSTER'!$G:$G,MATCH(RAW!F797,'NEW HIRE ROSTER'!$A:$A,0))</f>
        <v>#N/A</v>
      </c>
      <c r="C797" s="90" t="e">
        <f>INDEX('NEW HIRE ROSTER'!$F:$F,MATCH(RAW!F797,'NEW HIRE ROSTER'!$A:$A,0))</f>
        <v>#N/A</v>
      </c>
      <c r="D797" s="90" t="e">
        <f>INDEX('Validation List'!$H:$H,MATCH(RAW!E797,'Validation List'!$F:$F,0))</f>
        <v>#N/A</v>
      </c>
      <c r="G797" s="90" t="e">
        <f>VLOOKUP(F797,ML!C781:D1379,2,FALSE)</f>
        <v>#N/A</v>
      </c>
      <c r="H797" s="90" t="e">
        <f>VLOOKUP(F797,ML!C781:E1379,3,FALSE)</f>
        <v>#N/A</v>
      </c>
    </row>
    <row r="798" spans="1:8" x14ac:dyDescent="0.35">
      <c r="A798" s="90" t="e">
        <f>VLOOKUP(E798,'Validation List'!F799:G1194,2,FALSE)</f>
        <v>#N/A</v>
      </c>
      <c r="B798" s="90" t="e">
        <f>INDEX('NEW HIRE ROSTER'!$G:$G,MATCH(RAW!F798,'NEW HIRE ROSTER'!$A:$A,0))</f>
        <v>#N/A</v>
      </c>
      <c r="C798" s="90" t="e">
        <f>INDEX('NEW HIRE ROSTER'!$F:$F,MATCH(RAW!F798,'NEW HIRE ROSTER'!$A:$A,0))</f>
        <v>#N/A</v>
      </c>
      <c r="D798" s="90" t="e">
        <f>INDEX('Validation List'!$H:$H,MATCH(RAW!E798,'Validation List'!$F:$F,0))</f>
        <v>#N/A</v>
      </c>
      <c r="G798" s="90" t="e">
        <f>VLOOKUP(F798,ML!C782:D1380,2,FALSE)</f>
        <v>#N/A</v>
      </c>
      <c r="H798" s="90" t="e">
        <f>VLOOKUP(F798,ML!C782:E1380,3,FALSE)</f>
        <v>#N/A</v>
      </c>
    </row>
    <row r="799" spans="1:8" x14ac:dyDescent="0.35">
      <c r="A799" s="90" t="e">
        <f>VLOOKUP(E799,'Validation List'!F800:G1195,2,FALSE)</f>
        <v>#N/A</v>
      </c>
      <c r="B799" s="90" t="e">
        <f>INDEX('NEW HIRE ROSTER'!$G:$G,MATCH(RAW!F799,'NEW HIRE ROSTER'!$A:$A,0))</f>
        <v>#N/A</v>
      </c>
      <c r="C799" s="90" t="e">
        <f>INDEX('NEW HIRE ROSTER'!$F:$F,MATCH(RAW!F799,'NEW HIRE ROSTER'!$A:$A,0))</f>
        <v>#N/A</v>
      </c>
      <c r="D799" s="90" t="e">
        <f>INDEX('Validation List'!$H:$H,MATCH(RAW!E799,'Validation List'!$F:$F,0))</f>
        <v>#N/A</v>
      </c>
      <c r="G799" s="90" t="e">
        <f>VLOOKUP(F799,ML!C783:D1381,2,FALSE)</f>
        <v>#N/A</v>
      </c>
      <c r="H799" s="90" t="e">
        <f>VLOOKUP(F799,ML!C783:E1381,3,FALSE)</f>
        <v>#N/A</v>
      </c>
    </row>
    <row r="800" spans="1:8" x14ac:dyDescent="0.35">
      <c r="A800" s="90" t="e">
        <f>VLOOKUP(E800,'Validation List'!F801:G1196,2,FALSE)</f>
        <v>#N/A</v>
      </c>
      <c r="B800" s="90" t="e">
        <f>INDEX('NEW HIRE ROSTER'!$G:$G,MATCH(RAW!F800,'NEW HIRE ROSTER'!$A:$A,0))</f>
        <v>#N/A</v>
      </c>
      <c r="C800" s="90" t="e">
        <f>INDEX('NEW HIRE ROSTER'!$F:$F,MATCH(RAW!F800,'NEW HIRE ROSTER'!$A:$A,0))</f>
        <v>#N/A</v>
      </c>
      <c r="D800" s="90" t="e">
        <f>INDEX('Validation List'!$H:$H,MATCH(RAW!E800,'Validation List'!$F:$F,0))</f>
        <v>#N/A</v>
      </c>
      <c r="G800" s="90" t="e">
        <f>VLOOKUP(F800,ML!C784:D1382,2,FALSE)</f>
        <v>#N/A</v>
      </c>
      <c r="H800" s="90" t="e">
        <f>VLOOKUP(F800,ML!C784:E1382,3,FALSE)</f>
        <v>#N/A</v>
      </c>
    </row>
    <row r="801" spans="1:8" x14ac:dyDescent="0.35">
      <c r="A801" s="90" t="e">
        <f>VLOOKUP(E801,'Validation List'!F802:G1197,2,FALSE)</f>
        <v>#N/A</v>
      </c>
      <c r="B801" s="90" t="e">
        <f>INDEX('NEW HIRE ROSTER'!$G:$G,MATCH(RAW!F801,'NEW HIRE ROSTER'!$A:$A,0))</f>
        <v>#N/A</v>
      </c>
      <c r="C801" s="90" t="e">
        <f>INDEX('NEW HIRE ROSTER'!$F:$F,MATCH(RAW!F801,'NEW HIRE ROSTER'!$A:$A,0))</f>
        <v>#N/A</v>
      </c>
      <c r="D801" s="90" t="e">
        <f>INDEX('Validation List'!$H:$H,MATCH(RAW!E801,'Validation List'!$F:$F,0))</f>
        <v>#N/A</v>
      </c>
      <c r="G801" s="90" t="e">
        <f>VLOOKUP(F801,ML!C785:D1383,2,FALSE)</f>
        <v>#N/A</v>
      </c>
      <c r="H801" s="90" t="e">
        <f>VLOOKUP(F801,ML!C785:E1383,3,FALSE)</f>
        <v>#N/A</v>
      </c>
    </row>
    <row r="802" spans="1:8" x14ac:dyDescent="0.35">
      <c r="A802" s="90" t="e">
        <f>VLOOKUP(E802,'Validation List'!F803:G1198,2,FALSE)</f>
        <v>#N/A</v>
      </c>
      <c r="B802" s="90" t="e">
        <f>INDEX('NEW HIRE ROSTER'!$G:$G,MATCH(RAW!F802,'NEW HIRE ROSTER'!$A:$A,0))</f>
        <v>#N/A</v>
      </c>
      <c r="C802" s="90" t="e">
        <f>INDEX('NEW HIRE ROSTER'!$F:$F,MATCH(RAW!F802,'NEW HIRE ROSTER'!$A:$A,0))</f>
        <v>#N/A</v>
      </c>
      <c r="D802" s="90" t="e">
        <f>INDEX('Validation List'!$H:$H,MATCH(RAW!E802,'Validation List'!$F:$F,0))</f>
        <v>#N/A</v>
      </c>
      <c r="G802" s="90" t="e">
        <f>VLOOKUP(F802,ML!C786:D1384,2,FALSE)</f>
        <v>#N/A</v>
      </c>
      <c r="H802" s="90" t="e">
        <f>VLOOKUP(F802,ML!C786:E1384,3,FALSE)</f>
        <v>#N/A</v>
      </c>
    </row>
    <row r="803" spans="1:8" x14ac:dyDescent="0.35">
      <c r="A803" s="90" t="e">
        <f>VLOOKUP(E803,'Validation List'!F804:G1199,2,FALSE)</f>
        <v>#N/A</v>
      </c>
      <c r="B803" s="90" t="e">
        <f>INDEX('NEW HIRE ROSTER'!$G:$G,MATCH(RAW!F803,'NEW HIRE ROSTER'!$A:$A,0))</f>
        <v>#N/A</v>
      </c>
      <c r="C803" s="90" t="e">
        <f>INDEX('NEW HIRE ROSTER'!$F:$F,MATCH(RAW!F803,'NEW HIRE ROSTER'!$A:$A,0))</f>
        <v>#N/A</v>
      </c>
      <c r="D803" s="90" t="e">
        <f>INDEX('Validation List'!$H:$H,MATCH(RAW!E803,'Validation List'!$F:$F,0))</f>
        <v>#N/A</v>
      </c>
      <c r="G803" s="90" t="e">
        <f>VLOOKUP(F803,ML!C787:D1385,2,FALSE)</f>
        <v>#N/A</v>
      </c>
      <c r="H803" s="90" t="e">
        <f>VLOOKUP(F803,ML!C787:E1385,3,FALSE)</f>
        <v>#N/A</v>
      </c>
    </row>
    <row r="804" spans="1:8" x14ac:dyDescent="0.35">
      <c r="A804" s="90" t="e">
        <f>VLOOKUP(E804,'Validation List'!F805:G1200,2,FALSE)</f>
        <v>#N/A</v>
      </c>
      <c r="B804" s="90" t="e">
        <f>INDEX('NEW HIRE ROSTER'!$G:$G,MATCH(RAW!F804,'NEW HIRE ROSTER'!$A:$A,0))</f>
        <v>#N/A</v>
      </c>
      <c r="C804" s="90" t="e">
        <f>INDEX('NEW HIRE ROSTER'!$F:$F,MATCH(RAW!F804,'NEW HIRE ROSTER'!$A:$A,0))</f>
        <v>#N/A</v>
      </c>
      <c r="D804" s="90" t="e">
        <f>INDEX('Validation List'!$H:$H,MATCH(RAW!E804,'Validation List'!$F:$F,0))</f>
        <v>#N/A</v>
      </c>
      <c r="G804" s="90" t="e">
        <f>VLOOKUP(F804,ML!C788:D1386,2,FALSE)</f>
        <v>#N/A</v>
      </c>
      <c r="H804" s="90" t="e">
        <f>VLOOKUP(F804,ML!C788:E1386,3,FALSE)</f>
        <v>#N/A</v>
      </c>
    </row>
    <row r="805" spans="1:8" x14ac:dyDescent="0.35">
      <c r="A805" s="90" t="e">
        <f>VLOOKUP(E805,'Validation List'!F806:G1201,2,FALSE)</f>
        <v>#N/A</v>
      </c>
      <c r="B805" s="90" t="e">
        <f>INDEX('NEW HIRE ROSTER'!$G:$G,MATCH(RAW!F805,'NEW HIRE ROSTER'!$A:$A,0))</f>
        <v>#N/A</v>
      </c>
      <c r="C805" s="90" t="e">
        <f>INDEX('NEW HIRE ROSTER'!$F:$F,MATCH(RAW!F805,'NEW HIRE ROSTER'!$A:$A,0))</f>
        <v>#N/A</v>
      </c>
      <c r="D805" s="90" t="e">
        <f>INDEX('Validation List'!$H:$H,MATCH(RAW!E805,'Validation List'!$F:$F,0))</f>
        <v>#N/A</v>
      </c>
      <c r="G805" s="90" t="e">
        <f>VLOOKUP(F805,ML!C789:D1387,2,FALSE)</f>
        <v>#N/A</v>
      </c>
      <c r="H805" s="90" t="e">
        <f>VLOOKUP(F805,ML!C789:E1387,3,FALSE)</f>
        <v>#N/A</v>
      </c>
    </row>
    <row r="806" spans="1:8" x14ac:dyDescent="0.35">
      <c r="A806" s="90" t="e">
        <f>VLOOKUP(E806,'Validation List'!F807:G1202,2,FALSE)</f>
        <v>#N/A</v>
      </c>
      <c r="B806" s="90" t="e">
        <f>INDEX('NEW HIRE ROSTER'!$G:$G,MATCH(RAW!F806,'NEW HIRE ROSTER'!$A:$A,0))</f>
        <v>#N/A</v>
      </c>
      <c r="C806" s="90" t="e">
        <f>INDEX('NEW HIRE ROSTER'!$F:$F,MATCH(RAW!F806,'NEW HIRE ROSTER'!$A:$A,0))</f>
        <v>#N/A</v>
      </c>
      <c r="D806" s="90" t="e">
        <f>INDEX('Validation List'!$H:$H,MATCH(RAW!E806,'Validation List'!$F:$F,0))</f>
        <v>#N/A</v>
      </c>
      <c r="G806" s="90" t="e">
        <f>VLOOKUP(F806,ML!C790:D1388,2,FALSE)</f>
        <v>#N/A</v>
      </c>
      <c r="H806" s="90" t="e">
        <f>VLOOKUP(F806,ML!C790:E1388,3,FALSE)</f>
        <v>#N/A</v>
      </c>
    </row>
    <row r="807" spans="1:8" x14ac:dyDescent="0.35">
      <c r="A807" s="90" t="e">
        <f>VLOOKUP(E807,'Validation List'!F808:G1203,2,FALSE)</f>
        <v>#N/A</v>
      </c>
      <c r="B807" s="90" t="e">
        <f>INDEX('NEW HIRE ROSTER'!$G:$G,MATCH(RAW!F807,'NEW HIRE ROSTER'!$A:$A,0))</f>
        <v>#N/A</v>
      </c>
      <c r="C807" s="90" t="e">
        <f>INDEX('NEW HIRE ROSTER'!$F:$F,MATCH(RAW!F807,'NEW HIRE ROSTER'!$A:$A,0))</f>
        <v>#N/A</v>
      </c>
      <c r="D807" s="90" t="e">
        <f>INDEX('Validation List'!$H:$H,MATCH(RAW!E807,'Validation List'!$F:$F,0))</f>
        <v>#N/A</v>
      </c>
      <c r="G807" s="90" t="e">
        <f>VLOOKUP(F807,ML!C791:D1389,2,FALSE)</f>
        <v>#N/A</v>
      </c>
      <c r="H807" s="90" t="e">
        <f>VLOOKUP(F807,ML!C791:E1389,3,FALSE)</f>
        <v>#N/A</v>
      </c>
    </row>
    <row r="808" spans="1:8" x14ac:dyDescent="0.35">
      <c r="A808" s="90" t="e">
        <f>VLOOKUP(E808,'Validation List'!F809:G1204,2,FALSE)</f>
        <v>#N/A</v>
      </c>
      <c r="B808" s="90" t="e">
        <f>INDEX('NEW HIRE ROSTER'!$G:$G,MATCH(RAW!F808,'NEW HIRE ROSTER'!$A:$A,0))</f>
        <v>#N/A</v>
      </c>
      <c r="C808" s="90" t="e">
        <f>INDEX('NEW HIRE ROSTER'!$F:$F,MATCH(RAW!F808,'NEW HIRE ROSTER'!$A:$A,0))</f>
        <v>#N/A</v>
      </c>
      <c r="D808" s="90" t="e">
        <f>INDEX('Validation List'!$H:$H,MATCH(RAW!E808,'Validation List'!$F:$F,0))</f>
        <v>#N/A</v>
      </c>
      <c r="G808" s="90" t="e">
        <f>VLOOKUP(F808,ML!C792:D1390,2,FALSE)</f>
        <v>#N/A</v>
      </c>
      <c r="H808" s="90" t="e">
        <f>VLOOKUP(F808,ML!C792:E1390,3,FALSE)</f>
        <v>#N/A</v>
      </c>
    </row>
    <row r="809" spans="1:8" x14ac:dyDescent="0.35">
      <c r="A809" s="90" t="e">
        <f>VLOOKUP(E809,'Validation List'!F810:G1205,2,FALSE)</f>
        <v>#N/A</v>
      </c>
      <c r="B809" s="90" t="e">
        <f>INDEX('NEW HIRE ROSTER'!$G:$G,MATCH(RAW!F809,'NEW HIRE ROSTER'!$A:$A,0))</f>
        <v>#N/A</v>
      </c>
      <c r="C809" s="90" t="e">
        <f>INDEX('NEW HIRE ROSTER'!$F:$F,MATCH(RAW!F809,'NEW HIRE ROSTER'!$A:$A,0))</f>
        <v>#N/A</v>
      </c>
      <c r="D809" s="90" t="e">
        <f>INDEX('Validation List'!$H:$H,MATCH(RAW!E809,'Validation List'!$F:$F,0))</f>
        <v>#N/A</v>
      </c>
      <c r="G809" s="90" t="e">
        <f>VLOOKUP(F809,ML!C793:D1391,2,FALSE)</f>
        <v>#N/A</v>
      </c>
      <c r="H809" s="90" t="e">
        <f>VLOOKUP(F809,ML!C793:E1391,3,FALSE)</f>
        <v>#N/A</v>
      </c>
    </row>
    <row r="810" spans="1:8" x14ac:dyDescent="0.35">
      <c r="A810" s="90" t="e">
        <f>VLOOKUP(E810,'Validation List'!F811:G1206,2,FALSE)</f>
        <v>#N/A</v>
      </c>
      <c r="B810" s="90" t="e">
        <f>INDEX('NEW HIRE ROSTER'!$G:$G,MATCH(RAW!F810,'NEW HIRE ROSTER'!$A:$A,0))</f>
        <v>#N/A</v>
      </c>
      <c r="C810" s="90" t="e">
        <f>INDEX('NEW HIRE ROSTER'!$F:$F,MATCH(RAW!F810,'NEW HIRE ROSTER'!$A:$A,0))</f>
        <v>#N/A</v>
      </c>
      <c r="D810" s="90" t="e">
        <f>INDEX('Validation List'!$H:$H,MATCH(RAW!E810,'Validation List'!$F:$F,0))</f>
        <v>#N/A</v>
      </c>
      <c r="G810" s="90" t="e">
        <f>VLOOKUP(F810,ML!C794:D1392,2,FALSE)</f>
        <v>#N/A</v>
      </c>
      <c r="H810" s="90" t="e">
        <f>VLOOKUP(F810,ML!C794:E1392,3,FALSE)</f>
        <v>#N/A</v>
      </c>
    </row>
    <row r="811" spans="1:8" x14ac:dyDescent="0.35">
      <c r="A811" s="90" t="e">
        <f>VLOOKUP(E811,'Validation List'!F812:G1207,2,FALSE)</f>
        <v>#N/A</v>
      </c>
      <c r="B811" s="90" t="e">
        <f>INDEX('NEW HIRE ROSTER'!$G:$G,MATCH(RAW!F811,'NEW HIRE ROSTER'!$A:$A,0))</f>
        <v>#N/A</v>
      </c>
      <c r="C811" s="90" t="e">
        <f>INDEX('NEW HIRE ROSTER'!$F:$F,MATCH(RAW!F811,'NEW HIRE ROSTER'!$A:$A,0))</f>
        <v>#N/A</v>
      </c>
      <c r="D811" s="90" t="e">
        <f>INDEX('Validation List'!$H:$H,MATCH(RAW!E811,'Validation List'!$F:$F,0))</f>
        <v>#N/A</v>
      </c>
      <c r="G811" s="90" t="e">
        <f>VLOOKUP(F811,ML!C795:D1393,2,FALSE)</f>
        <v>#N/A</v>
      </c>
      <c r="H811" s="90" t="e">
        <f>VLOOKUP(F811,ML!C795:E1393,3,FALSE)</f>
        <v>#N/A</v>
      </c>
    </row>
    <row r="812" spans="1:8" x14ac:dyDescent="0.35">
      <c r="A812" s="90" t="e">
        <f>VLOOKUP(E812,'Validation List'!F813:G1208,2,FALSE)</f>
        <v>#N/A</v>
      </c>
      <c r="B812" s="90" t="e">
        <f>INDEX('NEW HIRE ROSTER'!$G:$G,MATCH(RAW!F812,'NEW HIRE ROSTER'!$A:$A,0))</f>
        <v>#N/A</v>
      </c>
      <c r="C812" s="90" t="e">
        <f>INDEX('NEW HIRE ROSTER'!$F:$F,MATCH(RAW!F812,'NEW HIRE ROSTER'!$A:$A,0))</f>
        <v>#N/A</v>
      </c>
      <c r="D812" s="90" t="e">
        <f>INDEX('Validation List'!$H:$H,MATCH(RAW!E812,'Validation List'!$F:$F,0))</f>
        <v>#N/A</v>
      </c>
      <c r="G812" s="90" t="e">
        <f>VLOOKUP(F812,ML!C796:D1394,2,FALSE)</f>
        <v>#N/A</v>
      </c>
      <c r="H812" s="90" t="e">
        <f>VLOOKUP(F812,ML!C796:E1394,3,FALSE)</f>
        <v>#N/A</v>
      </c>
    </row>
    <row r="813" spans="1:8" x14ac:dyDescent="0.35">
      <c r="A813" s="90" t="e">
        <f>VLOOKUP(E813,'Validation List'!F814:G1209,2,FALSE)</f>
        <v>#N/A</v>
      </c>
      <c r="B813" s="90" t="e">
        <f>INDEX('NEW HIRE ROSTER'!$G:$G,MATCH(RAW!F813,'NEW HIRE ROSTER'!$A:$A,0))</f>
        <v>#N/A</v>
      </c>
      <c r="C813" s="90" t="e">
        <f>INDEX('NEW HIRE ROSTER'!$F:$F,MATCH(RAW!F813,'NEW HIRE ROSTER'!$A:$A,0))</f>
        <v>#N/A</v>
      </c>
      <c r="D813" s="90" t="e">
        <f>INDEX('Validation List'!$H:$H,MATCH(RAW!E813,'Validation List'!$F:$F,0))</f>
        <v>#N/A</v>
      </c>
      <c r="G813" s="90" t="e">
        <f>VLOOKUP(F813,ML!C797:D1395,2,FALSE)</f>
        <v>#N/A</v>
      </c>
      <c r="H813" s="90" t="e">
        <f>VLOOKUP(F813,ML!C797:E1395,3,FALSE)</f>
        <v>#N/A</v>
      </c>
    </row>
    <row r="814" spans="1:8" x14ac:dyDescent="0.35">
      <c r="A814" s="90" t="e">
        <f>VLOOKUP(E814,'Validation List'!F815:G1210,2,FALSE)</f>
        <v>#N/A</v>
      </c>
      <c r="B814" s="90" t="e">
        <f>INDEX('NEW HIRE ROSTER'!$G:$G,MATCH(RAW!F814,'NEW HIRE ROSTER'!$A:$A,0))</f>
        <v>#N/A</v>
      </c>
      <c r="C814" s="90" t="e">
        <f>INDEX('NEW HIRE ROSTER'!$F:$F,MATCH(RAW!F814,'NEW HIRE ROSTER'!$A:$A,0))</f>
        <v>#N/A</v>
      </c>
      <c r="D814" s="90" t="e">
        <f>INDEX('Validation List'!$H:$H,MATCH(RAW!E814,'Validation List'!$F:$F,0))</f>
        <v>#N/A</v>
      </c>
      <c r="G814" s="90" t="e">
        <f>VLOOKUP(F814,ML!C798:D1396,2,FALSE)</f>
        <v>#N/A</v>
      </c>
      <c r="H814" s="90" t="e">
        <f>VLOOKUP(F814,ML!C798:E1396,3,FALSE)</f>
        <v>#N/A</v>
      </c>
    </row>
    <row r="815" spans="1:8" x14ac:dyDescent="0.35">
      <c r="A815" s="90" t="e">
        <f>VLOOKUP(E815,'Validation List'!F816:G1211,2,FALSE)</f>
        <v>#N/A</v>
      </c>
      <c r="B815" s="90" t="e">
        <f>INDEX('NEW HIRE ROSTER'!$G:$G,MATCH(RAW!F815,'NEW HIRE ROSTER'!$A:$A,0))</f>
        <v>#N/A</v>
      </c>
      <c r="C815" s="90" t="e">
        <f>INDEX('NEW HIRE ROSTER'!$F:$F,MATCH(RAW!F815,'NEW HIRE ROSTER'!$A:$A,0))</f>
        <v>#N/A</v>
      </c>
      <c r="D815" s="90" t="e">
        <f>INDEX('Validation List'!$H:$H,MATCH(RAW!E815,'Validation List'!$F:$F,0))</f>
        <v>#N/A</v>
      </c>
      <c r="G815" s="90" t="e">
        <f>VLOOKUP(F815,ML!C799:D1397,2,FALSE)</f>
        <v>#N/A</v>
      </c>
      <c r="H815" s="90" t="e">
        <f>VLOOKUP(F815,ML!C799:E1397,3,FALSE)</f>
        <v>#N/A</v>
      </c>
    </row>
    <row r="816" spans="1:8" x14ac:dyDescent="0.35">
      <c r="A816" s="90" t="e">
        <f>VLOOKUP(E816,'Validation List'!F817:G1212,2,FALSE)</f>
        <v>#N/A</v>
      </c>
      <c r="B816" s="90" t="e">
        <f>INDEX('NEW HIRE ROSTER'!$G:$G,MATCH(RAW!F816,'NEW HIRE ROSTER'!$A:$A,0))</f>
        <v>#N/A</v>
      </c>
      <c r="C816" s="90" t="e">
        <f>INDEX('NEW HIRE ROSTER'!$F:$F,MATCH(RAW!F816,'NEW HIRE ROSTER'!$A:$A,0))</f>
        <v>#N/A</v>
      </c>
      <c r="D816" s="90" t="e">
        <f>INDEX('Validation List'!$H:$H,MATCH(RAW!E816,'Validation List'!$F:$F,0))</f>
        <v>#N/A</v>
      </c>
      <c r="G816" s="90" t="e">
        <f>VLOOKUP(F816,ML!C800:D1398,2,FALSE)</f>
        <v>#N/A</v>
      </c>
      <c r="H816" s="90" t="e">
        <f>VLOOKUP(F816,ML!C800:E1398,3,FALSE)</f>
        <v>#N/A</v>
      </c>
    </row>
    <row r="817" spans="1:8" x14ac:dyDescent="0.35">
      <c r="A817" s="90" t="e">
        <f>VLOOKUP(E817,'Validation List'!F818:G1213,2,FALSE)</f>
        <v>#N/A</v>
      </c>
      <c r="B817" s="90" t="e">
        <f>INDEX('NEW HIRE ROSTER'!$G:$G,MATCH(RAW!F817,'NEW HIRE ROSTER'!$A:$A,0))</f>
        <v>#N/A</v>
      </c>
      <c r="C817" s="90" t="e">
        <f>INDEX('NEW HIRE ROSTER'!$F:$F,MATCH(RAW!F817,'NEW HIRE ROSTER'!$A:$A,0))</f>
        <v>#N/A</v>
      </c>
      <c r="D817" s="90" t="e">
        <f>INDEX('Validation List'!$H:$H,MATCH(RAW!E817,'Validation List'!$F:$F,0))</f>
        <v>#N/A</v>
      </c>
      <c r="G817" s="90" t="e">
        <f>VLOOKUP(F817,ML!C801:D1399,2,FALSE)</f>
        <v>#N/A</v>
      </c>
      <c r="H817" s="90" t="e">
        <f>VLOOKUP(F817,ML!C801:E1399,3,FALSE)</f>
        <v>#N/A</v>
      </c>
    </row>
    <row r="818" spans="1:8" x14ac:dyDescent="0.35">
      <c r="A818" s="90" t="e">
        <f>VLOOKUP(E818,'Validation List'!F819:G1214,2,FALSE)</f>
        <v>#N/A</v>
      </c>
      <c r="B818" s="90" t="e">
        <f>INDEX('NEW HIRE ROSTER'!$G:$G,MATCH(RAW!F818,'NEW HIRE ROSTER'!$A:$A,0))</f>
        <v>#N/A</v>
      </c>
      <c r="C818" s="90" t="e">
        <f>INDEX('NEW HIRE ROSTER'!$F:$F,MATCH(RAW!F818,'NEW HIRE ROSTER'!$A:$A,0))</f>
        <v>#N/A</v>
      </c>
      <c r="D818" s="90" t="e">
        <f>INDEX('Validation List'!$H:$H,MATCH(RAW!E818,'Validation List'!$F:$F,0))</f>
        <v>#N/A</v>
      </c>
      <c r="G818" s="90" t="e">
        <f>VLOOKUP(F818,ML!C802:D1400,2,FALSE)</f>
        <v>#N/A</v>
      </c>
      <c r="H818" s="90" t="e">
        <f>VLOOKUP(F818,ML!C802:E1400,3,FALSE)</f>
        <v>#N/A</v>
      </c>
    </row>
    <row r="819" spans="1:8" x14ac:dyDescent="0.35">
      <c r="A819" s="90" t="e">
        <f>VLOOKUP(E819,'Validation List'!F820:G1215,2,FALSE)</f>
        <v>#N/A</v>
      </c>
      <c r="B819" s="90" t="e">
        <f>INDEX('NEW HIRE ROSTER'!$G:$G,MATCH(RAW!F819,'NEW HIRE ROSTER'!$A:$A,0))</f>
        <v>#N/A</v>
      </c>
      <c r="C819" s="90" t="e">
        <f>INDEX('NEW HIRE ROSTER'!$F:$F,MATCH(RAW!F819,'NEW HIRE ROSTER'!$A:$A,0))</f>
        <v>#N/A</v>
      </c>
      <c r="D819" s="90" t="e">
        <f>INDEX('Validation List'!$H:$H,MATCH(RAW!E819,'Validation List'!$F:$F,0))</f>
        <v>#N/A</v>
      </c>
      <c r="G819" s="90" t="e">
        <f>VLOOKUP(F819,ML!C803:D1401,2,FALSE)</f>
        <v>#N/A</v>
      </c>
      <c r="H819" s="90" t="e">
        <f>VLOOKUP(F819,ML!C803:E1401,3,FALSE)</f>
        <v>#N/A</v>
      </c>
    </row>
    <row r="820" spans="1:8" x14ac:dyDescent="0.35">
      <c r="A820" s="90" t="e">
        <f>VLOOKUP(E820,'Validation List'!F821:G1216,2,FALSE)</f>
        <v>#N/A</v>
      </c>
      <c r="B820" s="90" t="e">
        <f>INDEX('NEW HIRE ROSTER'!$G:$G,MATCH(RAW!F820,'NEW HIRE ROSTER'!$A:$A,0))</f>
        <v>#N/A</v>
      </c>
      <c r="C820" s="90" t="e">
        <f>INDEX('NEW HIRE ROSTER'!$F:$F,MATCH(RAW!F820,'NEW HIRE ROSTER'!$A:$A,0))</f>
        <v>#N/A</v>
      </c>
      <c r="D820" s="90" t="e">
        <f>INDEX('Validation List'!$H:$H,MATCH(RAW!E820,'Validation List'!$F:$F,0))</f>
        <v>#N/A</v>
      </c>
      <c r="G820" s="90" t="e">
        <f>VLOOKUP(F820,ML!C804:D1402,2,FALSE)</f>
        <v>#N/A</v>
      </c>
      <c r="H820" s="90" t="e">
        <f>VLOOKUP(F820,ML!C804:E1402,3,FALSE)</f>
        <v>#N/A</v>
      </c>
    </row>
    <row r="821" spans="1:8" x14ac:dyDescent="0.35">
      <c r="A821" s="90" t="e">
        <f>VLOOKUP(E821,'Validation List'!F822:G1217,2,FALSE)</f>
        <v>#N/A</v>
      </c>
      <c r="B821" s="90" t="e">
        <f>INDEX('NEW HIRE ROSTER'!$G:$G,MATCH(RAW!F821,'NEW HIRE ROSTER'!$A:$A,0))</f>
        <v>#N/A</v>
      </c>
      <c r="C821" s="90" t="e">
        <f>INDEX('NEW HIRE ROSTER'!$F:$F,MATCH(RAW!F821,'NEW HIRE ROSTER'!$A:$A,0))</f>
        <v>#N/A</v>
      </c>
      <c r="D821" s="90" t="e">
        <f>INDEX('Validation List'!$H:$H,MATCH(RAW!E821,'Validation List'!$F:$F,0))</f>
        <v>#N/A</v>
      </c>
      <c r="G821" s="90" t="e">
        <f>VLOOKUP(F821,ML!C805:D1403,2,FALSE)</f>
        <v>#N/A</v>
      </c>
      <c r="H821" s="90" t="e">
        <f>VLOOKUP(F821,ML!C805:E1403,3,FALSE)</f>
        <v>#N/A</v>
      </c>
    </row>
    <row r="822" spans="1:8" x14ac:dyDescent="0.35">
      <c r="A822" s="90" t="e">
        <f>VLOOKUP(E822,'Validation List'!F823:G1218,2,FALSE)</f>
        <v>#N/A</v>
      </c>
      <c r="B822" s="90" t="e">
        <f>INDEX('NEW HIRE ROSTER'!$G:$G,MATCH(RAW!F822,'NEW HIRE ROSTER'!$A:$A,0))</f>
        <v>#N/A</v>
      </c>
      <c r="C822" s="90" t="e">
        <f>INDEX('NEW HIRE ROSTER'!$F:$F,MATCH(RAW!F822,'NEW HIRE ROSTER'!$A:$A,0))</f>
        <v>#N/A</v>
      </c>
      <c r="D822" s="90" t="e">
        <f>INDEX('Validation List'!$H:$H,MATCH(RAW!E822,'Validation List'!$F:$F,0))</f>
        <v>#N/A</v>
      </c>
      <c r="G822" s="90" t="e">
        <f>VLOOKUP(F822,ML!C806:D1404,2,FALSE)</f>
        <v>#N/A</v>
      </c>
      <c r="H822" s="90" t="e">
        <f>VLOOKUP(F822,ML!C806:E1404,3,FALSE)</f>
        <v>#N/A</v>
      </c>
    </row>
    <row r="823" spans="1:8" x14ac:dyDescent="0.35">
      <c r="A823" s="90" t="e">
        <f>VLOOKUP(E823,'Validation List'!F824:G1219,2,FALSE)</f>
        <v>#N/A</v>
      </c>
      <c r="B823" s="90" t="e">
        <f>INDEX('NEW HIRE ROSTER'!$G:$G,MATCH(RAW!F823,'NEW HIRE ROSTER'!$A:$A,0))</f>
        <v>#N/A</v>
      </c>
      <c r="C823" s="90" t="e">
        <f>INDEX('NEW HIRE ROSTER'!$F:$F,MATCH(RAW!F823,'NEW HIRE ROSTER'!$A:$A,0))</f>
        <v>#N/A</v>
      </c>
      <c r="D823" s="90" t="e">
        <f>INDEX('Validation List'!$H:$H,MATCH(RAW!E823,'Validation List'!$F:$F,0))</f>
        <v>#N/A</v>
      </c>
      <c r="G823" s="90" t="e">
        <f>VLOOKUP(F823,ML!C807:D1405,2,FALSE)</f>
        <v>#N/A</v>
      </c>
      <c r="H823" s="90" t="e">
        <f>VLOOKUP(F823,ML!C807:E1405,3,FALSE)</f>
        <v>#N/A</v>
      </c>
    </row>
    <row r="824" spans="1:8" x14ac:dyDescent="0.35">
      <c r="A824" s="90" t="e">
        <f>VLOOKUP(E824,'Validation List'!F825:G1220,2,FALSE)</f>
        <v>#N/A</v>
      </c>
      <c r="B824" s="90" t="e">
        <f>INDEX('NEW HIRE ROSTER'!$G:$G,MATCH(RAW!F824,'NEW HIRE ROSTER'!$A:$A,0))</f>
        <v>#N/A</v>
      </c>
      <c r="C824" s="90" t="e">
        <f>INDEX('NEW HIRE ROSTER'!$F:$F,MATCH(RAW!F824,'NEW HIRE ROSTER'!$A:$A,0))</f>
        <v>#N/A</v>
      </c>
      <c r="D824" s="90" t="e">
        <f>INDEX('Validation List'!$H:$H,MATCH(RAW!E824,'Validation List'!$F:$F,0))</f>
        <v>#N/A</v>
      </c>
      <c r="G824" s="90" t="e">
        <f>VLOOKUP(F824,ML!C808:D1406,2,FALSE)</f>
        <v>#N/A</v>
      </c>
      <c r="H824" s="90" t="e">
        <f>VLOOKUP(F824,ML!C808:E1406,3,FALSE)</f>
        <v>#N/A</v>
      </c>
    </row>
    <row r="825" spans="1:8" x14ac:dyDescent="0.35">
      <c r="A825" s="90" t="e">
        <f>VLOOKUP(E825,'Validation List'!F826:G1221,2,FALSE)</f>
        <v>#N/A</v>
      </c>
      <c r="B825" s="90" t="e">
        <f>INDEX('NEW HIRE ROSTER'!$G:$G,MATCH(RAW!F825,'NEW HIRE ROSTER'!$A:$A,0))</f>
        <v>#N/A</v>
      </c>
      <c r="C825" s="90" t="e">
        <f>INDEX('NEW HIRE ROSTER'!$F:$F,MATCH(RAW!F825,'NEW HIRE ROSTER'!$A:$A,0))</f>
        <v>#N/A</v>
      </c>
      <c r="D825" s="90" t="e">
        <f>INDEX('Validation List'!$H:$H,MATCH(RAW!E825,'Validation List'!$F:$F,0))</f>
        <v>#N/A</v>
      </c>
      <c r="G825" s="90" t="e">
        <f>VLOOKUP(F825,ML!C809:D1407,2,FALSE)</f>
        <v>#N/A</v>
      </c>
      <c r="H825" s="90" t="e">
        <f>VLOOKUP(F825,ML!C809:E1407,3,FALSE)</f>
        <v>#N/A</v>
      </c>
    </row>
    <row r="826" spans="1:8" x14ac:dyDescent="0.35">
      <c r="A826" s="90" t="e">
        <f>VLOOKUP(E826,'Validation List'!F827:G1222,2,FALSE)</f>
        <v>#N/A</v>
      </c>
      <c r="B826" s="90" t="e">
        <f>INDEX('NEW HIRE ROSTER'!$G:$G,MATCH(RAW!F826,'NEW HIRE ROSTER'!$A:$A,0))</f>
        <v>#N/A</v>
      </c>
      <c r="C826" s="90" t="e">
        <f>INDEX('NEW HIRE ROSTER'!$F:$F,MATCH(RAW!F826,'NEW HIRE ROSTER'!$A:$A,0))</f>
        <v>#N/A</v>
      </c>
      <c r="D826" s="90" t="e">
        <f>INDEX('Validation List'!$H:$H,MATCH(RAW!E826,'Validation List'!$F:$F,0))</f>
        <v>#N/A</v>
      </c>
      <c r="G826" s="90" t="e">
        <f>VLOOKUP(F826,ML!C810:D1408,2,FALSE)</f>
        <v>#N/A</v>
      </c>
      <c r="H826" s="90" t="e">
        <f>VLOOKUP(F826,ML!C810:E1408,3,FALSE)</f>
        <v>#N/A</v>
      </c>
    </row>
    <row r="827" spans="1:8" x14ac:dyDescent="0.35">
      <c r="A827" s="90" t="e">
        <f>VLOOKUP(E827,'Validation List'!F828:G1223,2,FALSE)</f>
        <v>#N/A</v>
      </c>
      <c r="B827" s="90" t="e">
        <f>INDEX('NEW HIRE ROSTER'!$G:$G,MATCH(RAW!F827,'NEW HIRE ROSTER'!$A:$A,0))</f>
        <v>#N/A</v>
      </c>
      <c r="C827" s="90" t="e">
        <f>INDEX('NEW HIRE ROSTER'!$F:$F,MATCH(RAW!F827,'NEW HIRE ROSTER'!$A:$A,0))</f>
        <v>#N/A</v>
      </c>
      <c r="D827" s="90" t="e">
        <f>INDEX('Validation List'!$H:$H,MATCH(RAW!E827,'Validation List'!$F:$F,0))</f>
        <v>#N/A</v>
      </c>
      <c r="G827" s="90" t="e">
        <f>VLOOKUP(F827,ML!C811:D1409,2,FALSE)</f>
        <v>#N/A</v>
      </c>
      <c r="H827" s="90" t="e">
        <f>VLOOKUP(F827,ML!C811:E1409,3,FALSE)</f>
        <v>#N/A</v>
      </c>
    </row>
    <row r="828" spans="1:8" x14ac:dyDescent="0.35">
      <c r="A828" s="90" t="e">
        <f>VLOOKUP(E828,'Validation List'!F829:G1224,2,FALSE)</f>
        <v>#N/A</v>
      </c>
      <c r="B828" s="90" t="e">
        <f>INDEX('NEW HIRE ROSTER'!$G:$G,MATCH(RAW!F828,'NEW HIRE ROSTER'!$A:$A,0))</f>
        <v>#N/A</v>
      </c>
      <c r="C828" s="90" t="e">
        <f>INDEX('NEW HIRE ROSTER'!$F:$F,MATCH(RAW!F828,'NEW HIRE ROSTER'!$A:$A,0))</f>
        <v>#N/A</v>
      </c>
      <c r="D828" s="90" t="e">
        <f>INDEX('Validation List'!$H:$H,MATCH(RAW!E828,'Validation List'!$F:$F,0))</f>
        <v>#N/A</v>
      </c>
      <c r="G828" s="90" t="e">
        <f>VLOOKUP(F828,ML!C812:D1410,2,FALSE)</f>
        <v>#N/A</v>
      </c>
      <c r="H828" s="90" t="e">
        <f>VLOOKUP(F828,ML!C812:E1410,3,FALSE)</f>
        <v>#N/A</v>
      </c>
    </row>
    <row r="829" spans="1:8" x14ac:dyDescent="0.35">
      <c r="A829" s="90" t="e">
        <f>VLOOKUP(E829,'Validation List'!F830:G1225,2,FALSE)</f>
        <v>#N/A</v>
      </c>
      <c r="B829" s="90" t="e">
        <f>INDEX('NEW HIRE ROSTER'!$G:$G,MATCH(RAW!F829,'NEW HIRE ROSTER'!$A:$A,0))</f>
        <v>#N/A</v>
      </c>
      <c r="C829" s="90" t="e">
        <f>INDEX('NEW HIRE ROSTER'!$F:$F,MATCH(RAW!F829,'NEW HIRE ROSTER'!$A:$A,0))</f>
        <v>#N/A</v>
      </c>
      <c r="D829" s="90" t="e">
        <f>INDEX('Validation List'!$H:$H,MATCH(RAW!E829,'Validation List'!$F:$F,0))</f>
        <v>#N/A</v>
      </c>
      <c r="G829" s="90" t="e">
        <f>VLOOKUP(F829,ML!C813:D1411,2,FALSE)</f>
        <v>#N/A</v>
      </c>
      <c r="H829" s="90" t="e">
        <f>VLOOKUP(F829,ML!C813:E1411,3,FALSE)</f>
        <v>#N/A</v>
      </c>
    </row>
    <row r="830" spans="1:8" x14ac:dyDescent="0.35">
      <c r="A830" s="90" t="e">
        <f>VLOOKUP(E830,'Validation List'!F831:G1226,2,FALSE)</f>
        <v>#N/A</v>
      </c>
      <c r="B830" s="90" t="e">
        <f>INDEX('NEW HIRE ROSTER'!$G:$G,MATCH(RAW!F830,'NEW HIRE ROSTER'!$A:$A,0))</f>
        <v>#N/A</v>
      </c>
      <c r="C830" s="90" t="e">
        <f>INDEX('NEW HIRE ROSTER'!$F:$F,MATCH(RAW!F830,'NEW HIRE ROSTER'!$A:$A,0))</f>
        <v>#N/A</v>
      </c>
      <c r="D830" s="90" t="e">
        <f>INDEX('Validation List'!$H:$H,MATCH(RAW!E830,'Validation List'!$F:$F,0))</f>
        <v>#N/A</v>
      </c>
      <c r="G830" s="90" t="e">
        <f>VLOOKUP(F830,ML!C814:D1412,2,FALSE)</f>
        <v>#N/A</v>
      </c>
      <c r="H830" s="90" t="e">
        <f>VLOOKUP(F830,ML!C814:E1412,3,FALSE)</f>
        <v>#N/A</v>
      </c>
    </row>
    <row r="831" spans="1:8" x14ac:dyDescent="0.35">
      <c r="A831" s="90" t="e">
        <f>VLOOKUP(E831,'Validation List'!F832:G1227,2,FALSE)</f>
        <v>#N/A</v>
      </c>
      <c r="B831" s="90" t="e">
        <f>INDEX('NEW HIRE ROSTER'!$G:$G,MATCH(RAW!F831,'NEW HIRE ROSTER'!$A:$A,0))</f>
        <v>#N/A</v>
      </c>
      <c r="C831" s="90" t="e">
        <f>INDEX('NEW HIRE ROSTER'!$F:$F,MATCH(RAW!F831,'NEW HIRE ROSTER'!$A:$A,0))</f>
        <v>#N/A</v>
      </c>
      <c r="D831" s="90" t="e">
        <f>INDEX('Validation List'!$H:$H,MATCH(RAW!E831,'Validation List'!$F:$F,0))</f>
        <v>#N/A</v>
      </c>
      <c r="G831" s="90" t="e">
        <f>VLOOKUP(F831,ML!C815:D1413,2,FALSE)</f>
        <v>#N/A</v>
      </c>
      <c r="H831" s="90" t="e">
        <f>VLOOKUP(F831,ML!C815:E1413,3,FALSE)</f>
        <v>#N/A</v>
      </c>
    </row>
    <row r="832" spans="1:8" x14ac:dyDescent="0.35">
      <c r="A832" s="90" t="e">
        <f>VLOOKUP(E832,'Validation List'!F833:G1228,2,FALSE)</f>
        <v>#N/A</v>
      </c>
      <c r="B832" s="90" t="e">
        <f>INDEX('NEW HIRE ROSTER'!$G:$G,MATCH(RAW!F832,'NEW HIRE ROSTER'!$A:$A,0))</f>
        <v>#N/A</v>
      </c>
      <c r="C832" s="90" t="e">
        <f>INDEX('NEW HIRE ROSTER'!$F:$F,MATCH(RAW!F832,'NEW HIRE ROSTER'!$A:$A,0))</f>
        <v>#N/A</v>
      </c>
      <c r="D832" s="90" t="e">
        <f>INDEX('Validation List'!$H:$H,MATCH(RAW!E832,'Validation List'!$F:$F,0))</f>
        <v>#N/A</v>
      </c>
      <c r="G832" s="90" t="e">
        <f>VLOOKUP(F832,ML!C816:D1414,2,FALSE)</f>
        <v>#N/A</v>
      </c>
      <c r="H832" s="90" t="e">
        <f>VLOOKUP(F832,ML!C816:E1414,3,FALSE)</f>
        <v>#N/A</v>
      </c>
    </row>
    <row r="833" spans="1:8" x14ac:dyDescent="0.35">
      <c r="A833" s="90" t="e">
        <f>VLOOKUP(E833,'Validation List'!F834:G1229,2,FALSE)</f>
        <v>#N/A</v>
      </c>
      <c r="B833" s="90" t="e">
        <f>INDEX('NEW HIRE ROSTER'!$G:$G,MATCH(RAW!F833,'NEW HIRE ROSTER'!$A:$A,0))</f>
        <v>#N/A</v>
      </c>
      <c r="C833" s="90" t="e">
        <f>INDEX('NEW HIRE ROSTER'!$F:$F,MATCH(RAW!F833,'NEW HIRE ROSTER'!$A:$A,0))</f>
        <v>#N/A</v>
      </c>
      <c r="D833" s="90" t="e">
        <f>INDEX('Validation List'!$H:$H,MATCH(RAW!E833,'Validation List'!$F:$F,0))</f>
        <v>#N/A</v>
      </c>
      <c r="G833" s="90" t="e">
        <f>VLOOKUP(F833,ML!C817:D1415,2,FALSE)</f>
        <v>#N/A</v>
      </c>
      <c r="H833" s="90" t="e">
        <f>VLOOKUP(F833,ML!C817:E1415,3,FALSE)</f>
        <v>#N/A</v>
      </c>
    </row>
    <row r="834" spans="1:8" x14ac:dyDescent="0.35">
      <c r="A834" s="90" t="e">
        <f>VLOOKUP(E834,'Validation List'!F835:G1230,2,FALSE)</f>
        <v>#N/A</v>
      </c>
      <c r="B834" s="90" t="e">
        <f>INDEX('NEW HIRE ROSTER'!$G:$G,MATCH(RAW!F834,'NEW HIRE ROSTER'!$A:$A,0))</f>
        <v>#N/A</v>
      </c>
      <c r="C834" s="90" t="e">
        <f>INDEX('NEW HIRE ROSTER'!$F:$F,MATCH(RAW!F834,'NEW HIRE ROSTER'!$A:$A,0))</f>
        <v>#N/A</v>
      </c>
      <c r="D834" s="90" t="e">
        <f>INDEX('Validation List'!$H:$H,MATCH(RAW!E834,'Validation List'!$F:$F,0))</f>
        <v>#N/A</v>
      </c>
      <c r="G834" s="90" t="e">
        <f>VLOOKUP(F834,ML!C818:D1416,2,FALSE)</f>
        <v>#N/A</v>
      </c>
      <c r="H834" s="90" t="e">
        <f>VLOOKUP(F834,ML!C818:E1416,3,FALSE)</f>
        <v>#N/A</v>
      </c>
    </row>
    <row r="835" spans="1:8" x14ac:dyDescent="0.35">
      <c r="A835" s="90" t="e">
        <f>VLOOKUP(E835,'Validation List'!F836:G1231,2,FALSE)</f>
        <v>#N/A</v>
      </c>
      <c r="B835" s="90" t="e">
        <f>INDEX('NEW HIRE ROSTER'!$G:$G,MATCH(RAW!F835,'NEW HIRE ROSTER'!$A:$A,0))</f>
        <v>#N/A</v>
      </c>
      <c r="C835" s="90" t="e">
        <f>INDEX('NEW HIRE ROSTER'!$F:$F,MATCH(RAW!F835,'NEW HIRE ROSTER'!$A:$A,0))</f>
        <v>#N/A</v>
      </c>
      <c r="D835" s="90" t="e">
        <f>INDEX('Validation List'!$H:$H,MATCH(RAW!E835,'Validation List'!$F:$F,0))</f>
        <v>#N/A</v>
      </c>
      <c r="G835" s="90" t="e">
        <f>VLOOKUP(F835,ML!C819:D1417,2,FALSE)</f>
        <v>#N/A</v>
      </c>
      <c r="H835" s="90" t="e">
        <f>VLOOKUP(F835,ML!C819:E1417,3,FALSE)</f>
        <v>#N/A</v>
      </c>
    </row>
    <row r="836" spans="1:8" x14ac:dyDescent="0.35">
      <c r="A836" s="90" t="e">
        <f>VLOOKUP(E836,'Validation List'!F837:G1232,2,FALSE)</f>
        <v>#N/A</v>
      </c>
      <c r="B836" s="90" t="e">
        <f>INDEX('NEW HIRE ROSTER'!$G:$G,MATCH(RAW!F836,'NEW HIRE ROSTER'!$A:$A,0))</f>
        <v>#N/A</v>
      </c>
      <c r="C836" s="90" t="e">
        <f>INDEX('NEW HIRE ROSTER'!$F:$F,MATCH(RAW!F836,'NEW HIRE ROSTER'!$A:$A,0))</f>
        <v>#N/A</v>
      </c>
      <c r="D836" s="90" t="e">
        <f>INDEX('Validation List'!$H:$H,MATCH(RAW!E836,'Validation List'!$F:$F,0))</f>
        <v>#N/A</v>
      </c>
      <c r="G836" s="90" t="e">
        <f>VLOOKUP(F836,ML!C820:D1418,2,FALSE)</f>
        <v>#N/A</v>
      </c>
      <c r="H836" s="90" t="e">
        <f>VLOOKUP(F836,ML!C820:E1418,3,FALSE)</f>
        <v>#N/A</v>
      </c>
    </row>
    <row r="837" spans="1:8" x14ac:dyDescent="0.35">
      <c r="A837" s="90" t="e">
        <f>VLOOKUP(E837,'Validation List'!F838:G1233,2,FALSE)</f>
        <v>#N/A</v>
      </c>
      <c r="B837" s="90" t="e">
        <f>INDEX('NEW HIRE ROSTER'!$G:$G,MATCH(RAW!F837,'NEW HIRE ROSTER'!$A:$A,0))</f>
        <v>#N/A</v>
      </c>
      <c r="C837" s="90" t="e">
        <f>INDEX('NEW HIRE ROSTER'!$F:$F,MATCH(RAW!F837,'NEW HIRE ROSTER'!$A:$A,0))</f>
        <v>#N/A</v>
      </c>
      <c r="D837" s="90" t="e">
        <f>INDEX('Validation List'!$H:$H,MATCH(RAW!E837,'Validation List'!$F:$F,0))</f>
        <v>#N/A</v>
      </c>
      <c r="G837" s="90" t="e">
        <f>VLOOKUP(F837,ML!C821:D1419,2,FALSE)</f>
        <v>#N/A</v>
      </c>
      <c r="H837" s="90" t="e">
        <f>VLOOKUP(F837,ML!C821:E1419,3,FALSE)</f>
        <v>#N/A</v>
      </c>
    </row>
    <row r="838" spans="1:8" x14ac:dyDescent="0.35">
      <c r="A838" s="90" t="e">
        <f>VLOOKUP(E838,'Validation List'!F839:G1234,2,FALSE)</f>
        <v>#N/A</v>
      </c>
      <c r="B838" s="90" t="e">
        <f>INDEX('NEW HIRE ROSTER'!$G:$G,MATCH(RAW!F838,'NEW HIRE ROSTER'!$A:$A,0))</f>
        <v>#N/A</v>
      </c>
      <c r="C838" s="90" t="e">
        <f>INDEX('NEW HIRE ROSTER'!$F:$F,MATCH(RAW!F838,'NEW HIRE ROSTER'!$A:$A,0))</f>
        <v>#N/A</v>
      </c>
      <c r="D838" s="90" t="e">
        <f>INDEX('Validation List'!$H:$H,MATCH(RAW!E838,'Validation List'!$F:$F,0))</f>
        <v>#N/A</v>
      </c>
      <c r="G838" s="90" t="e">
        <f>VLOOKUP(F838,ML!C822:D1420,2,FALSE)</f>
        <v>#N/A</v>
      </c>
      <c r="H838" s="90" t="e">
        <f>VLOOKUP(F838,ML!C822:E1420,3,FALSE)</f>
        <v>#N/A</v>
      </c>
    </row>
    <row r="839" spans="1:8" x14ac:dyDescent="0.35">
      <c r="A839" s="90" t="e">
        <f>VLOOKUP(E839,'Validation List'!F840:G1235,2,FALSE)</f>
        <v>#N/A</v>
      </c>
      <c r="B839" s="90" t="e">
        <f>INDEX('NEW HIRE ROSTER'!$G:$G,MATCH(RAW!F839,'NEW HIRE ROSTER'!$A:$A,0))</f>
        <v>#N/A</v>
      </c>
      <c r="C839" s="90" t="e">
        <f>INDEX('NEW HIRE ROSTER'!$F:$F,MATCH(RAW!F839,'NEW HIRE ROSTER'!$A:$A,0))</f>
        <v>#N/A</v>
      </c>
      <c r="D839" s="90" t="e">
        <f>INDEX('Validation List'!$H:$H,MATCH(RAW!E839,'Validation List'!$F:$F,0))</f>
        <v>#N/A</v>
      </c>
      <c r="G839" s="90" t="e">
        <f>VLOOKUP(F839,ML!C823:D1421,2,FALSE)</f>
        <v>#N/A</v>
      </c>
      <c r="H839" s="90" t="e">
        <f>VLOOKUP(F839,ML!C823:E1421,3,FALSE)</f>
        <v>#N/A</v>
      </c>
    </row>
    <row r="840" spans="1:8" x14ac:dyDescent="0.35">
      <c r="A840" s="90" t="e">
        <f>VLOOKUP(E840,'Validation List'!F841:G1236,2,FALSE)</f>
        <v>#N/A</v>
      </c>
      <c r="B840" s="90" t="e">
        <f>INDEX('NEW HIRE ROSTER'!$G:$G,MATCH(RAW!F840,'NEW HIRE ROSTER'!$A:$A,0))</f>
        <v>#N/A</v>
      </c>
      <c r="C840" s="90" t="e">
        <f>INDEX('NEW HIRE ROSTER'!$F:$F,MATCH(RAW!F840,'NEW HIRE ROSTER'!$A:$A,0))</f>
        <v>#N/A</v>
      </c>
      <c r="D840" s="90" t="e">
        <f>INDEX('Validation List'!$H:$H,MATCH(RAW!E840,'Validation List'!$F:$F,0))</f>
        <v>#N/A</v>
      </c>
      <c r="G840" s="90" t="e">
        <f>VLOOKUP(F840,ML!C824:D1422,2,FALSE)</f>
        <v>#N/A</v>
      </c>
      <c r="H840" s="90" t="e">
        <f>VLOOKUP(F840,ML!C824:E1422,3,FALSE)</f>
        <v>#N/A</v>
      </c>
    </row>
    <row r="841" spans="1:8" x14ac:dyDescent="0.35">
      <c r="A841" s="90" t="e">
        <f>VLOOKUP(E841,'Validation List'!F842:G1237,2,FALSE)</f>
        <v>#N/A</v>
      </c>
      <c r="B841" s="90" t="e">
        <f>INDEX('NEW HIRE ROSTER'!$G:$G,MATCH(RAW!F841,'NEW HIRE ROSTER'!$A:$A,0))</f>
        <v>#N/A</v>
      </c>
      <c r="C841" s="90" t="e">
        <f>INDEX('NEW HIRE ROSTER'!$F:$F,MATCH(RAW!F841,'NEW HIRE ROSTER'!$A:$A,0))</f>
        <v>#N/A</v>
      </c>
      <c r="D841" s="90" t="e">
        <f>INDEX('Validation List'!$H:$H,MATCH(RAW!E841,'Validation List'!$F:$F,0))</f>
        <v>#N/A</v>
      </c>
      <c r="G841" s="90" t="e">
        <f>VLOOKUP(F841,ML!C825:D1423,2,FALSE)</f>
        <v>#N/A</v>
      </c>
      <c r="H841" s="90" t="e">
        <f>VLOOKUP(F841,ML!C825:E1423,3,FALSE)</f>
        <v>#N/A</v>
      </c>
    </row>
    <row r="842" spans="1:8" x14ac:dyDescent="0.35">
      <c r="A842" s="90" t="e">
        <f>VLOOKUP(E842,'Validation List'!F843:G1238,2,FALSE)</f>
        <v>#N/A</v>
      </c>
      <c r="B842" s="90" t="e">
        <f>INDEX('NEW HIRE ROSTER'!$G:$G,MATCH(RAW!F842,'NEW HIRE ROSTER'!$A:$A,0))</f>
        <v>#N/A</v>
      </c>
      <c r="C842" s="90" t="e">
        <f>INDEX('NEW HIRE ROSTER'!$F:$F,MATCH(RAW!F842,'NEW HIRE ROSTER'!$A:$A,0))</f>
        <v>#N/A</v>
      </c>
      <c r="D842" s="90" t="e">
        <f>INDEX('Validation List'!$H:$H,MATCH(RAW!E842,'Validation List'!$F:$F,0))</f>
        <v>#N/A</v>
      </c>
      <c r="G842" s="90" t="e">
        <f>VLOOKUP(F842,ML!C826:D1424,2,FALSE)</f>
        <v>#N/A</v>
      </c>
      <c r="H842" s="90" t="e">
        <f>VLOOKUP(F842,ML!C826:E1424,3,FALSE)</f>
        <v>#N/A</v>
      </c>
    </row>
    <row r="843" spans="1:8" x14ac:dyDescent="0.35">
      <c r="A843" s="90" t="e">
        <f>VLOOKUP(E843,'Validation List'!F844:G1239,2,FALSE)</f>
        <v>#N/A</v>
      </c>
      <c r="B843" s="90" t="e">
        <f>INDEX('NEW HIRE ROSTER'!$G:$G,MATCH(RAW!F843,'NEW HIRE ROSTER'!$A:$A,0))</f>
        <v>#N/A</v>
      </c>
      <c r="C843" s="90" t="e">
        <f>INDEX('NEW HIRE ROSTER'!$F:$F,MATCH(RAW!F843,'NEW HIRE ROSTER'!$A:$A,0))</f>
        <v>#N/A</v>
      </c>
      <c r="D843" s="90" t="e">
        <f>INDEX('Validation List'!$H:$H,MATCH(RAW!E843,'Validation List'!$F:$F,0))</f>
        <v>#N/A</v>
      </c>
      <c r="G843" s="90" t="e">
        <f>VLOOKUP(F843,ML!C827:D1425,2,FALSE)</f>
        <v>#N/A</v>
      </c>
      <c r="H843" s="90" t="e">
        <f>VLOOKUP(F843,ML!C827:E1425,3,FALSE)</f>
        <v>#N/A</v>
      </c>
    </row>
    <row r="844" spans="1:8" x14ac:dyDescent="0.35">
      <c r="A844" s="90" t="e">
        <f>VLOOKUP(E844,'Validation List'!F845:G1240,2,FALSE)</f>
        <v>#N/A</v>
      </c>
      <c r="B844" s="90" t="e">
        <f>INDEX('NEW HIRE ROSTER'!$G:$G,MATCH(RAW!F844,'NEW HIRE ROSTER'!$A:$A,0))</f>
        <v>#N/A</v>
      </c>
      <c r="C844" s="90" t="e">
        <f>INDEX('NEW HIRE ROSTER'!$F:$F,MATCH(RAW!F844,'NEW HIRE ROSTER'!$A:$A,0))</f>
        <v>#N/A</v>
      </c>
      <c r="D844" s="90" t="e">
        <f>INDEX('Validation List'!$H:$H,MATCH(RAW!E844,'Validation List'!$F:$F,0))</f>
        <v>#N/A</v>
      </c>
      <c r="G844" s="90" t="e">
        <f>VLOOKUP(F844,ML!C828:D1426,2,FALSE)</f>
        <v>#N/A</v>
      </c>
      <c r="H844" s="90" t="e">
        <f>VLOOKUP(F844,ML!C828:E1426,3,FALSE)</f>
        <v>#N/A</v>
      </c>
    </row>
    <row r="845" spans="1:8" x14ac:dyDescent="0.35">
      <c r="A845" s="90" t="e">
        <f>VLOOKUP(E845,'Validation List'!F846:G1241,2,FALSE)</f>
        <v>#N/A</v>
      </c>
      <c r="B845" s="90" t="e">
        <f>INDEX('NEW HIRE ROSTER'!$G:$G,MATCH(RAW!F845,'NEW HIRE ROSTER'!$A:$A,0))</f>
        <v>#N/A</v>
      </c>
      <c r="C845" s="90" t="e">
        <f>INDEX('NEW HIRE ROSTER'!$F:$F,MATCH(RAW!F845,'NEW HIRE ROSTER'!$A:$A,0))</f>
        <v>#N/A</v>
      </c>
      <c r="D845" s="90" t="e">
        <f>INDEX('Validation List'!$H:$H,MATCH(RAW!E845,'Validation List'!$F:$F,0))</f>
        <v>#N/A</v>
      </c>
      <c r="G845" s="90" t="e">
        <f>VLOOKUP(F845,ML!C829:D1427,2,FALSE)</f>
        <v>#N/A</v>
      </c>
      <c r="H845" s="90" t="e">
        <f>VLOOKUP(F845,ML!C829:E1427,3,FALSE)</f>
        <v>#N/A</v>
      </c>
    </row>
    <row r="846" spans="1:8" x14ac:dyDescent="0.35">
      <c r="A846" s="90" t="e">
        <f>VLOOKUP(E846,'Validation List'!F847:G1242,2,FALSE)</f>
        <v>#N/A</v>
      </c>
      <c r="B846" s="90" t="e">
        <f>INDEX('NEW HIRE ROSTER'!$G:$G,MATCH(RAW!F846,'NEW HIRE ROSTER'!$A:$A,0))</f>
        <v>#N/A</v>
      </c>
      <c r="C846" s="90" t="e">
        <f>INDEX('NEW HIRE ROSTER'!$F:$F,MATCH(RAW!F846,'NEW HIRE ROSTER'!$A:$A,0))</f>
        <v>#N/A</v>
      </c>
      <c r="D846" s="90" t="e">
        <f>INDEX('Validation List'!$H:$H,MATCH(RAW!E846,'Validation List'!$F:$F,0))</f>
        <v>#N/A</v>
      </c>
      <c r="G846" s="90" t="e">
        <f>VLOOKUP(F846,ML!C830:D1428,2,FALSE)</f>
        <v>#N/A</v>
      </c>
      <c r="H846" s="90" t="e">
        <f>VLOOKUP(F846,ML!C830:E1428,3,FALSE)</f>
        <v>#N/A</v>
      </c>
    </row>
    <row r="847" spans="1:8" x14ac:dyDescent="0.35">
      <c r="A847" s="90" t="e">
        <f>VLOOKUP(E847,'Validation List'!F848:G1243,2,FALSE)</f>
        <v>#N/A</v>
      </c>
      <c r="B847" s="90" t="e">
        <f>INDEX('NEW HIRE ROSTER'!$G:$G,MATCH(RAW!F847,'NEW HIRE ROSTER'!$A:$A,0))</f>
        <v>#N/A</v>
      </c>
      <c r="C847" s="90" t="e">
        <f>INDEX('NEW HIRE ROSTER'!$F:$F,MATCH(RAW!F847,'NEW HIRE ROSTER'!$A:$A,0))</f>
        <v>#N/A</v>
      </c>
      <c r="D847" s="90" t="e">
        <f>INDEX('Validation List'!$H:$H,MATCH(RAW!E847,'Validation List'!$F:$F,0))</f>
        <v>#N/A</v>
      </c>
      <c r="G847" s="90" t="e">
        <f>VLOOKUP(F847,ML!C831:D1429,2,FALSE)</f>
        <v>#N/A</v>
      </c>
      <c r="H847" s="90" t="e">
        <f>VLOOKUP(F847,ML!C831:E1429,3,FALSE)</f>
        <v>#N/A</v>
      </c>
    </row>
    <row r="848" spans="1:8" x14ac:dyDescent="0.35">
      <c r="A848" s="90" t="e">
        <f>VLOOKUP(E848,'Validation List'!F849:G1244,2,FALSE)</f>
        <v>#N/A</v>
      </c>
      <c r="B848" s="90" t="e">
        <f>INDEX('NEW HIRE ROSTER'!$G:$G,MATCH(RAW!F848,'NEW HIRE ROSTER'!$A:$A,0))</f>
        <v>#N/A</v>
      </c>
      <c r="C848" s="90" t="e">
        <f>INDEX('NEW HIRE ROSTER'!$F:$F,MATCH(RAW!F848,'NEW HIRE ROSTER'!$A:$A,0))</f>
        <v>#N/A</v>
      </c>
      <c r="D848" s="90" t="e">
        <f>INDEX('Validation List'!$H:$H,MATCH(RAW!E848,'Validation List'!$F:$F,0))</f>
        <v>#N/A</v>
      </c>
      <c r="G848" s="90" t="e">
        <f>VLOOKUP(F848,ML!C832:D1430,2,FALSE)</f>
        <v>#N/A</v>
      </c>
      <c r="H848" s="90" t="e">
        <f>VLOOKUP(F848,ML!C832:E1430,3,FALSE)</f>
        <v>#N/A</v>
      </c>
    </row>
    <row r="849" spans="1:8" x14ac:dyDescent="0.35">
      <c r="A849" s="90" t="e">
        <f>VLOOKUP(E849,'Validation List'!F850:G1245,2,FALSE)</f>
        <v>#N/A</v>
      </c>
      <c r="B849" s="90" t="e">
        <f>INDEX('NEW HIRE ROSTER'!$G:$G,MATCH(RAW!F849,'NEW HIRE ROSTER'!$A:$A,0))</f>
        <v>#N/A</v>
      </c>
      <c r="C849" s="90" t="e">
        <f>INDEX('NEW HIRE ROSTER'!$F:$F,MATCH(RAW!F849,'NEW HIRE ROSTER'!$A:$A,0))</f>
        <v>#N/A</v>
      </c>
      <c r="D849" s="90" t="e">
        <f>INDEX('Validation List'!$H:$H,MATCH(RAW!E849,'Validation List'!$F:$F,0))</f>
        <v>#N/A</v>
      </c>
      <c r="G849" s="90" t="e">
        <f>VLOOKUP(F849,ML!C833:D1431,2,FALSE)</f>
        <v>#N/A</v>
      </c>
      <c r="H849" s="90" t="e">
        <f>VLOOKUP(F849,ML!C833:E1431,3,FALSE)</f>
        <v>#N/A</v>
      </c>
    </row>
    <row r="850" spans="1:8" x14ac:dyDescent="0.35">
      <c r="A850" s="90" t="e">
        <f>VLOOKUP(E850,'Validation List'!F851:G1246,2,FALSE)</f>
        <v>#N/A</v>
      </c>
      <c r="B850" s="90" t="e">
        <f>INDEX('NEW HIRE ROSTER'!$G:$G,MATCH(RAW!F850,'NEW HIRE ROSTER'!$A:$A,0))</f>
        <v>#N/A</v>
      </c>
      <c r="C850" s="90" t="e">
        <f>INDEX('NEW HIRE ROSTER'!$F:$F,MATCH(RAW!F850,'NEW HIRE ROSTER'!$A:$A,0))</f>
        <v>#N/A</v>
      </c>
      <c r="D850" s="90" t="e">
        <f>INDEX('Validation List'!$H:$H,MATCH(RAW!E850,'Validation List'!$F:$F,0))</f>
        <v>#N/A</v>
      </c>
      <c r="G850" s="90" t="e">
        <f>VLOOKUP(F850,ML!C834:D1432,2,FALSE)</f>
        <v>#N/A</v>
      </c>
      <c r="H850" s="90" t="e">
        <f>VLOOKUP(F850,ML!C834:E1432,3,FALSE)</f>
        <v>#N/A</v>
      </c>
    </row>
    <row r="851" spans="1:8" x14ac:dyDescent="0.35">
      <c r="A851" s="90" t="e">
        <f>VLOOKUP(E851,'Validation List'!F852:G1247,2,FALSE)</f>
        <v>#N/A</v>
      </c>
      <c r="B851" s="90" t="e">
        <f>INDEX('NEW HIRE ROSTER'!$G:$G,MATCH(RAW!F851,'NEW HIRE ROSTER'!$A:$A,0))</f>
        <v>#N/A</v>
      </c>
      <c r="C851" s="90" t="e">
        <f>INDEX('NEW HIRE ROSTER'!$F:$F,MATCH(RAW!F851,'NEW HIRE ROSTER'!$A:$A,0))</f>
        <v>#N/A</v>
      </c>
      <c r="D851" s="90" t="e">
        <f>INDEX('Validation List'!$H:$H,MATCH(RAW!E851,'Validation List'!$F:$F,0))</f>
        <v>#N/A</v>
      </c>
      <c r="G851" s="90" t="e">
        <f>VLOOKUP(F851,ML!C835:D1433,2,FALSE)</f>
        <v>#N/A</v>
      </c>
      <c r="H851" s="90" t="e">
        <f>VLOOKUP(F851,ML!C835:E1433,3,FALSE)</f>
        <v>#N/A</v>
      </c>
    </row>
    <row r="852" spans="1:8" x14ac:dyDescent="0.35">
      <c r="A852" s="90" t="e">
        <f>VLOOKUP(E852,'Validation List'!F853:G1248,2,FALSE)</f>
        <v>#N/A</v>
      </c>
      <c r="B852" s="90" t="e">
        <f>INDEX('NEW HIRE ROSTER'!$G:$G,MATCH(RAW!F852,'NEW HIRE ROSTER'!$A:$A,0))</f>
        <v>#N/A</v>
      </c>
      <c r="C852" s="90" t="e">
        <f>INDEX('NEW HIRE ROSTER'!$F:$F,MATCH(RAW!F852,'NEW HIRE ROSTER'!$A:$A,0))</f>
        <v>#N/A</v>
      </c>
      <c r="D852" s="90" t="e">
        <f>INDEX('Validation List'!$H:$H,MATCH(RAW!E852,'Validation List'!$F:$F,0))</f>
        <v>#N/A</v>
      </c>
      <c r="G852" s="90" t="e">
        <f>VLOOKUP(F852,ML!C836:D1434,2,FALSE)</f>
        <v>#N/A</v>
      </c>
      <c r="H852" s="90" t="e">
        <f>VLOOKUP(F852,ML!C836:E1434,3,FALSE)</f>
        <v>#N/A</v>
      </c>
    </row>
    <row r="853" spans="1:8" x14ac:dyDescent="0.35">
      <c r="A853" s="90" t="e">
        <f>VLOOKUP(E853,'Validation List'!F854:G1249,2,FALSE)</f>
        <v>#N/A</v>
      </c>
      <c r="B853" s="90" t="e">
        <f>INDEX('NEW HIRE ROSTER'!$G:$G,MATCH(RAW!F853,'NEW HIRE ROSTER'!$A:$A,0))</f>
        <v>#N/A</v>
      </c>
      <c r="C853" s="90" t="e">
        <f>INDEX('NEW HIRE ROSTER'!$F:$F,MATCH(RAW!F853,'NEW HIRE ROSTER'!$A:$A,0))</f>
        <v>#N/A</v>
      </c>
      <c r="D853" s="90" t="e">
        <f>INDEX('Validation List'!$H:$H,MATCH(RAW!E853,'Validation List'!$F:$F,0))</f>
        <v>#N/A</v>
      </c>
      <c r="G853" s="90" t="e">
        <f>VLOOKUP(F853,ML!C837:D1435,2,FALSE)</f>
        <v>#N/A</v>
      </c>
      <c r="H853" s="90" t="e">
        <f>VLOOKUP(F853,ML!C837:E1435,3,FALSE)</f>
        <v>#N/A</v>
      </c>
    </row>
    <row r="854" spans="1:8" x14ac:dyDescent="0.35">
      <c r="A854" s="90" t="e">
        <f>VLOOKUP(E854,'Validation List'!F855:G1250,2,FALSE)</f>
        <v>#N/A</v>
      </c>
      <c r="B854" s="90" t="e">
        <f>INDEX('NEW HIRE ROSTER'!$G:$G,MATCH(RAW!F854,'NEW HIRE ROSTER'!$A:$A,0))</f>
        <v>#N/A</v>
      </c>
      <c r="C854" s="90" t="e">
        <f>INDEX('NEW HIRE ROSTER'!$F:$F,MATCH(RAW!F854,'NEW HIRE ROSTER'!$A:$A,0))</f>
        <v>#N/A</v>
      </c>
      <c r="D854" s="90" t="e">
        <f>INDEX('Validation List'!$H:$H,MATCH(RAW!E854,'Validation List'!$F:$F,0))</f>
        <v>#N/A</v>
      </c>
      <c r="G854" s="90" t="e">
        <f>VLOOKUP(F854,ML!C838:D1436,2,FALSE)</f>
        <v>#N/A</v>
      </c>
      <c r="H854" s="90" t="e">
        <f>VLOOKUP(F854,ML!C838:E1436,3,FALSE)</f>
        <v>#N/A</v>
      </c>
    </row>
    <row r="855" spans="1:8" x14ac:dyDescent="0.35">
      <c r="A855" s="90" t="e">
        <f>VLOOKUP(E855,'Validation List'!F856:G1251,2,FALSE)</f>
        <v>#N/A</v>
      </c>
      <c r="B855" s="90" t="e">
        <f>INDEX('NEW HIRE ROSTER'!$G:$G,MATCH(RAW!F855,'NEW HIRE ROSTER'!$A:$A,0))</f>
        <v>#N/A</v>
      </c>
      <c r="C855" s="90" t="e">
        <f>INDEX('NEW HIRE ROSTER'!$F:$F,MATCH(RAW!F855,'NEW HIRE ROSTER'!$A:$A,0))</f>
        <v>#N/A</v>
      </c>
      <c r="D855" s="90" t="e">
        <f>INDEX('Validation List'!$H:$H,MATCH(RAW!E855,'Validation List'!$F:$F,0))</f>
        <v>#N/A</v>
      </c>
      <c r="G855" s="90" t="e">
        <f>VLOOKUP(F855,ML!C839:D1437,2,FALSE)</f>
        <v>#N/A</v>
      </c>
      <c r="H855" s="90" t="e">
        <f>VLOOKUP(F855,ML!C839:E1437,3,FALSE)</f>
        <v>#N/A</v>
      </c>
    </row>
    <row r="856" spans="1:8" x14ac:dyDescent="0.35">
      <c r="A856" s="90" t="e">
        <f>VLOOKUP(E856,'Validation List'!F857:G1252,2,FALSE)</f>
        <v>#N/A</v>
      </c>
      <c r="B856" s="90" t="e">
        <f>INDEX('NEW HIRE ROSTER'!$G:$G,MATCH(RAW!F856,'NEW HIRE ROSTER'!$A:$A,0))</f>
        <v>#N/A</v>
      </c>
      <c r="C856" s="90" t="e">
        <f>INDEX('NEW HIRE ROSTER'!$F:$F,MATCH(RAW!F856,'NEW HIRE ROSTER'!$A:$A,0))</f>
        <v>#N/A</v>
      </c>
      <c r="D856" s="90" t="e">
        <f>INDEX('Validation List'!$H:$H,MATCH(RAW!E856,'Validation List'!$F:$F,0))</f>
        <v>#N/A</v>
      </c>
      <c r="G856" s="90" t="e">
        <f>VLOOKUP(F856,ML!C840:D1438,2,FALSE)</f>
        <v>#N/A</v>
      </c>
      <c r="H856" s="90" t="e">
        <f>VLOOKUP(F856,ML!C840:E1438,3,FALSE)</f>
        <v>#N/A</v>
      </c>
    </row>
    <row r="857" spans="1:8" x14ac:dyDescent="0.35">
      <c r="A857" s="90" t="e">
        <f>VLOOKUP(E857,'Validation List'!F858:G1253,2,FALSE)</f>
        <v>#N/A</v>
      </c>
      <c r="B857" s="90" t="e">
        <f>INDEX('NEW HIRE ROSTER'!$G:$G,MATCH(RAW!F857,'NEW HIRE ROSTER'!$A:$A,0))</f>
        <v>#N/A</v>
      </c>
      <c r="C857" s="90" t="e">
        <f>INDEX('NEW HIRE ROSTER'!$F:$F,MATCH(RAW!F857,'NEW HIRE ROSTER'!$A:$A,0))</f>
        <v>#N/A</v>
      </c>
      <c r="D857" s="90" t="e">
        <f>INDEX('Validation List'!$H:$H,MATCH(RAW!E857,'Validation List'!$F:$F,0))</f>
        <v>#N/A</v>
      </c>
      <c r="G857" s="90" t="e">
        <f>VLOOKUP(F857,ML!C841:D1439,2,FALSE)</f>
        <v>#N/A</v>
      </c>
      <c r="H857" s="90" t="e">
        <f>VLOOKUP(F857,ML!C841:E1439,3,FALSE)</f>
        <v>#N/A</v>
      </c>
    </row>
    <row r="858" spans="1:8" x14ac:dyDescent="0.35">
      <c r="A858" s="90" t="e">
        <f>VLOOKUP(E858,'Validation List'!F859:G1254,2,FALSE)</f>
        <v>#N/A</v>
      </c>
      <c r="B858" s="90" t="e">
        <f>INDEX('NEW HIRE ROSTER'!$G:$G,MATCH(RAW!F858,'NEW HIRE ROSTER'!$A:$A,0))</f>
        <v>#N/A</v>
      </c>
      <c r="C858" s="90" t="e">
        <f>INDEX('NEW HIRE ROSTER'!$F:$F,MATCH(RAW!F858,'NEW HIRE ROSTER'!$A:$A,0))</f>
        <v>#N/A</v>
      </c>
      <c r="D858" s="90" t="e">
        <f>INDEX('Validation List'!$H:$H,MATCH(RAW!E858,'Validation List'!$F:$F,0))</f>
        <v>#N/A</v>
      </c>
      <c r="G858" s="90" t="e">
        <f>VLOOKUP(F858,ML!C842:D1440,2,FALSE)</f>
        <v>#N/A</v>
      </c>
      <c r="H858" s="90" t="e">
        <f>VLOOKUP(F858,ML!C842:E1440,3,FALSE)</f>
        <v>#N/A</v>
      </c>
    </row>
    <row r="859" spans="1:8" x14ac:dyDescent="0.35">
      <c r="A859" s="90" t="e">
        <f>VLOOKUP(E859,'Validation List'!F860:G1255,2,FALSE)</f>
        <v>#N/A</v>
      </c>
      <c r="B859" s="90" t="e">
        <f>INDEX('NEW HIRE ROSTER'!$G:$G,MATCH(RAW!F859,'NEW HIRE ROSTER'!$A:$A,0))</f>
        <v>#N/A</v>
      </c>
      <c r="C859" s="90" t="e">
        <f>INDEX('NEW HIRE ROSTER'!$F:$F,MATCH(RAW!F859,'NEW HIRE ROSTER'!$A:$A,0))</f>
        <v>#N/A</v>
      </c>
      <c r="D859" s="90" t="e">
        <f>INDEX('Validation List'!$H:$H,MATCH(RAW!E859,'Validation List'!$F:$F,0))</f>
        <v>#N/A</v>
      </c>
      <c r="G859" s="90" t="e">
        <f>VLOOKUP(F859,ML!C843:D1441,2,FALSE)</f>
        <v>#N/A</v>
      </c>
      <c r="H859" s="90" t="e">
        <f>VLOOKUP(F859,ML!C843:E1441,3,FALSE)</f>
        <v>#N/A</v>
      </c>
    </row>
    <row r="860" spans="1:8" x14ac:dyDescent="0.35">
      <c r="A860" s="90" t="e">
        <f>VLOOKUP(E860,'Validation List'!F861:G1256,2,FALSE)</f>
        <v>#N/A</v>
      </c>
      <c r="B860" s="90" t="e">
        <f>INDEX('NEW HIRE ROSTER'!$G:$G,MATCH(RAW!F860,'NEW HIRE ROSTER'!$A:$A,0))</f>
        <v>#N/A</v>
      </c>
      <c r="C860" s="90" t="e">
        <f>INDEX('NEW HIRE ROSTER'!$F:$F,MATCH(RAW!F860,'NEW HIRE ROSTER'!$A:$A,0))</f>
        <v>#N/A</v>
      </c>
      <c r="D860" s="90" t="e">
        <f>INDEX('Validation List'!$H:$H,MATCH(RAW!E860,'Validation List'!$F:$F,0))</f>
        <v>#N/A</v>
      </c>
      <c r="G860" s="90" t="e">
        <f>VLOOKUP(F860,ML!C844:D1442,2,FALSE)</f>
        <v>#N/A</v>
      </c>
      <c r="H860" s="90" t="e">
        <f>VLOOKUP(F860,ML!C844:E1442,3,FALSE)</f>
        <v>#N/A</v>
      </c>
    </row>
    <row r="861" spans="1:8" x14ac:dyDescent="0.35">
      <c r="A861" s="90" t="e">
        <f>VLOOKUP(E861,'Validation List'!F862:G1257,2,FALSE)</f>
        <v>#N/A</v>
      </c>
      <c r="B861" s="90" t="e">
        <f>INDEX('NEW HIRE ROSTER'!$G:$G,MATCH(RAW!F861,'NEW HIRE ROSTER'!$A:$A,0))</f>
        <v>#N/A</v>
      </c>
      <c r="C861" s="90" t="e">
        <f>INDEX('NEW HIRE ROSTER'!$F:$F,MATCH(RAW!F861,'NEW HIRE ROSTER'!$A:$A,0))</f>
        <v>#N/A</v>
      </c>
      <c r="D861" s="90" t="e">
        <f>INDEX('Validation List'!$H:$H,MATCH(RAW!E861,'Validation List'!$F:$F,0))</f>
        <v>#N/A</v>
      </c>
      <c r="G861" s="90" t="e">
        <f>VLOOKUP(F861,ML!C845:D1443,2,FALSE)</f>
        <v>#N/A</v>
      </c>
      <c r="H861" s="90" t="e">
        <f>VLOOKUP(F861,ML!C845:E1443,3,FALSE)</f>
        <v>#N/A</v>
      </c>
    </row>
    <row r="862" spans="1:8" x14ac:dyDescent="0.35">
      <c r="A862" s="90" t="e">
        <f>VLOOKUP(E862,'Validation List'!F863:G1258,2,FALSE)</f>
        <v>#N/A</v>
      </c>
      <c r="B862" s="90" t="e">
        <f>INDEX('NEW HIRE ROSTER'!$G:$G,MATCH(RAW!F862,'NEW HIRE ROSTER'!$A:$A,0))</f>
        <v>#N/A</v>
      </c>
      <c r="C862" s="90" t="e">
        <f>INDEX('NEW HIRE ROSTER'!$F:$F,MATCH(RAW!F862,'NEW HIRE ROSTER'!$A:$A,0))</f>
        <v>#N/A</v>
      </c>
      <c r="D862" s="90" t="e">
        <f>INDEX('Validation List'!$H:$H,MATCH(RAW!E862,'Validation List'!$F:$F,0))</f>
        <v>#N/A</v>
      </c>
      <c r="G862" s="90" t="e">
        <f>VLOOKUP(F862,ML!C846:D1444,2,FALSE)</f>
        <v>#N/A</v>
      </c>
      <c r="H862" s="90" t="e">
        <f>VLOOKUP(F862,ML!C846:E1444,3,FALSE)</f>
        <v>#N/A</v>
      </c>
    </row>
    <row r="863" spans="1:8" x14ac:dyDescent="0.35">
      <c r="A863" s="90" t="e">
        <f>VLOOKUP(E863,'Validation List'!F864:G1259,2,FALSE)</f>
        <v>#N/A</v>
      </c>
      <c r="B863" s="90" t="e">
        <f>INDEX('NEW HIRE ROSTER'!$G:$G,MATCH(RAW!F863,'NEW HIRE ROSTER'!$A:$A,0))</f>
        <v>#N/A</v>
      </c>
      <c r="C863" s="90" t="e">
        <f>INDEX('NEW HIRE ROSTER'!$F:$F,MATCH(RAW!F863,'NEW HIRE ROSTER'!$A:$A,0))</f>
        <v>#N/A</v>
      </c>
      <c r="D863" s="90" t="e">
        <f>INDEX('Validation List'!$H:$H,MATCH(RAW!E863,'Validation List'!$F:$F,0))</f>
        <v>#N/A</v>
      </c>
      <c r="G863" s="90" t="e">
        <f>VLOOKUP(F863,ML!C847:D1445,2,FALSE)</f>
        <v>#N/A</v>
      </c>
      <c r="H863" s="90" t="e">
        <f>VLOOKUP(F863,ML!C847:E1445,3,FALSE)</f>
        <v>#N/A</v>
      </c>
    </row>
    <row r="864" spans="1:8" x14ac:dyDescent="0.35">
      <c r="A864" s="90" t="e">
        <f>VLOOKUP(E864,'Validation List'!F865:G1260,2,FALSE)</f>
        <v>#N/A</v>
      </c>
      <c r="B864" s="90" t="e">
        <f>INDEX('NEW HIRE ROSTER'!$G:$G,MATCH(RAW!F864,'NEW HIRE ROSTER'!$A:$A,0))</f>
        <v>#N/A</v>
      </c>
      <c r="C864" s="90" t="e">
        <f>INDEX('NEW HIRE ROSTER'!$F:$F,MATCH(RAW!F864,'NEW HIRE ROSTER'!$A:$A,0))</f>
        <v>#N/A</v>
      </c>
      <c r="D864" s="90" t="e">
        <f>INDEX('Validation List'!$H:$H,MATCH(RAW!E864,'Validation List'!$F:$F,0))</f>
        <v>#N/A</v>
      </c>
      <c r="G864" s="90" t="e">
        <f>VLOOKUP(F864,ML!C848:D1446,2,FALSE)</f>
        <v>#N/A</v>
      </c>
      <c r="H864" s="90" t="e">
        <f>VLOOKUP(F864,ML!C848:E1446,3,FALSE)</f>
        <v>#N/A</v>
      </c>
    </row>
    <row r="865" spans="1:8" x14ac:dyDescent="0.35">
      <c r="A865" s="90" t="e">
        <f>VLOOKUP(E865,'Validation List'!F866:G1261,2,FALSE)</f>
        <v>#N/A</v>
      </c>
      <c r="B865" s="90" t="e">
        <f>INDEX('NEW HIRE ROSTER'!$G:$G,MATCH(RAW!F865,'NEW HIRE ROSTER'!$A:$A,0))</f>
        <v>#N/A</v>
      </c>
      <c r="C865" s="90" t="e">
        <f>INDEX('NEW HIRE ROSTER'!$F:$F,MATCH(RAW!F865,'NEW HIRE ROSTER'!$A:$A,0))</f>
        <v>#N/A</v>
      </c>
      <c r="D865" s="90" t="e">
        <f>INDEX('Validation List'!$H:$H,MATCH(RAW!E865,'Validation List'!$F:$F,0))</f>
        <v>#N/A</v>
      </c>
      <c r="G865" s="90" t="e">
        <f>VLOOKUP(F865,ML!C849:D1447,2,FALSE)</f>
        <v>#N/A</v>
      </c>
      <c r="H865" s="90" t="e">
        <f>VLOOKUP(F865,ML!C849:E1447,3,FALSE)</f>
        <v>#N/A</v>
      </c>
    </row>
    <row r="866" spans="1:8" x14ac:dyDescent="0.35">
      <c r="A866" s="90" t="e">
        <f>VLOOKUP(E866,'Validation List'!F867:G1262,2,FALSE)</f>
        <v>#N/A</v>
      </c>
      <c r="B866" s="90" t="e">
        <f>INDEX('NEW HIRE ROSTER'!$G:$G,MATCH(RAW!F866,'NEW HIRE ROSTER'!$A:$A,0))</f>
        <v>#N/A</v>
      </c>
      <c r="C866" s="90" t="e">
        <f>INDEX('NEW HIRE ROSTER'!$F:$F,MATCH(RAW!F866,'NEW HIRE ROSTER'!$A:$A,0))</f>
        <v>#N/A</v>
      </c>
      <c r="D866" s="90" t="e">
        <f>INDEX('Validation List'!$H:$H,MATCH(RAW!E866,'Validation List'!$F:$F,0))</f>
        <v>#N/A</v>
      </c>
      <c r="G866" s="90" t="e">
        <f>VLOOKUP(F866,ML!C850:D1448,2,FALSE)</f>
        <v>#N/A</v>
      </c>
      <c r="H866" s="90" t="e">
        <f>VLOOKUP(F866,ML!C850:E1448,3,FALSE)</f>
        <v>#N/A</v>
      </c>
    </row>
    <row r="867" spans="1:8" x14ac:dyDescent="0.35">
      <c r="A867" s="90" t="e">
        <f>VLOOKUP(E867,'Validation List'!F868:G1263,2,FALSE)</f>
        <v>#N/A</v>
      </c>
      <c r="B867" s="90" t="e">
        <f>INDEX('NEW HIRE ROSTER'!$G:$G,MATCH(RAW!F867,'NEW HIRE ROSTER'!$A:$A,0))</f>
        <v>#N/A</v>
      </c>
      <c r="C867" s="90" t="e">
        <f>INDEX('NEW HIRE ROSTER'!$F:$F,MATCH(RAW!F867,'NEW HIRE ROSTER'!$A:$A,0))</f>
        <v>#N/A</v>
      </c>
      <c r="D867" s="90" t="e">
        <f>INDEX('Validation List'!$H:$H,MATCH(RAW!E867,'Validation List'!$F:$F,0))</f>
        <v>#N/A</v>
      </c>
      <c r="G867" s="90" t="e">
        <f>VLOOKUP(F867,ML!C851:D1449,2,FALSE)</f>
        <v>#N/A</v>
      </c>
      <c r="H867" s="90" t="e">
        <f>VLOOKUP(F867,ML!C851:E1449,3,FALSE)</f>
        <v>#N/A</v>
      </c>
    </row>
    <row r="868" spans="1:8" x14ac:dyDescent="0.35">
      <c r="A868" s="90" t="e">
        <f>VLOOKUP(E868,'Validation List'!F869:G1264,2,FALSE)</f>
        <v>#N/A</v>
      </c>
      <c r="B868" s="90" t="e">
        <f>INDEX('NEW HIRE ROSTER'!$G:$G,MATCH(RAW!F868,'NEW HIRE ROSTER'!$A:$A,0))</f>
        <v>#N/A</v>
      </c>
      <c r="C868" s="90" t="e">
        <f>INDEX('NEW HIRE ROSTER'!$F:$F,MATCH(RAW!F868,'NEW HIRE ROSTER'!$A:$A,0))</f>
        <v>#N/A</v>
      </c>
      <c r="D868" s="90" t="e">
        <f>INDEX('Validation List'!$H:$H,MATCH(RAW!E868,'Validation List'!$F:$F,0))</f>
        <v>#N/A</v>
      </c>
      <c r="G868" s="90" t="e">
        <f>VLOOKUP(F868,ML!C852:D1450,2,FALSE)</f>
        <v>#N/A</v>
      </c>
      <c r="H868" s="90" t="e">
        <f>VLOOKUP(F868,ML!C852:E1450,3,FALSE)</f>
        <v>#N/A</v>
      </c>
    </row>
    <row r="869" spans="1:8" x14ac:dyDescent="0.35">
      <c r="A869" s="90" t="e">
        <f>VLOOKUP(E869,'Validation List'!F870:G1265,2,FALSE)</f>
        <v>#N/A</v>
      </c>
      <c r="B869" s="90" t="e">
        <f>INDEX('NEW HIRE ROSTER'!$G:$G,MATCH(RAW!F869,'NEW HIRE ROSTER'!$A:$A,0))</f>
        <v>#N/A</v>
      </c>
      <c r="C869" s="90" t="e">
        <f>INDEX('NEW HIRE ROSTER'!$F:$F,MATCH(RAW!F869,'NEW HIRE ROSTER'!$A:$A,0))</f>
        <v>#N/A</v>
      </c>
      <c r="D869" s="90" t="e">
        <f>INDEX('Validation List'!$H:$H,MATCH(RAW!E869,'Validation List'!$F:$F,0))</f>
        <v>#N/A</v>
      </c>
      <c r="G869" s="90" t="e">
        <f>VLOOKUP(F869,ML!C853:D1451,2,FALSE)</f>
        <v>#N/A</v>
      </c>
      <c r="H869" s="90" t="e">
        <f>VLOOKUP(F869,ML!C853:E1451,3,FALSE)</f>
        <v>#N/A</v>
      </c>
    </row>
    <row r="870" spans="1:8" x14ac:dyDescent="0.35">
      <c r="A870" s="90" t="e">
        <f>VLOOKUP(E870,'Validation List'!F871:G1266,2,FALSE)</f>
        <v>#N/A</v>
      </c>
      <c r="B870" s="90" t="e">
        <f>INDEX('NEW HIRE ROSTER'!$G:$G,MATCH(RAW!F870,'NEW HIRE ROSTER'!$A:$A,0))</f>
        <v>#N/A</v>
      </c>
      <c r="C870" s="90" t="e">
        <f>INDEX('NEW HIRE ROSTER'!$F:$F,MATCH(RAW!F870,'NEW HIRE ROSTER'!$A:$A,0))</f>
        <v>#N/A</v>
      </c>
      <c r="D870" s="90" t="e">
        <f>INDEX('Validation List'!$H:$H,MATCH(RAW!E870,'Validation List'!$F:$F,0))</f>
        <v>#N/A</v>
      </c>
      <c r="G870" s="90" t="e">
        <f>VLOOKUP(F870,ML!C854:D1452,2,FALSE)</f>
        <v>#N/A</v>
      </c>
      <c r="H870" s="90" t="e">
        <f>VLOOKUP(F870,ML!C854:E1452,3,FALSE)</f>
        <v>#N/A</v>
      </c>
    </row>
    <row r="871" spans="1:8" x14ac:dyDescent="0.35">
      <c r="A871" s="90" t="e">
        <f>VLOOKUP(E871,'Validation List'!F872:G1267,2,FALSE)</f>
        <v>#N/A</v>
      </c>
      <c r="B871" s="90" t="e">
        <f>INDEX('NEW HIRE ROSTER'!$G:$G,MATCH(RAW!F871,'NEW HIRE ROSTER'!$A:$A,0))</f>
        <v>#N/A</v>
      </c>
      <c r="C871" s="90" t="e">
        <f>INDEX('NEW HIRE ROSTER'!$F:$F,MATCH(RAW!F871,'NEW HIRE ROSTER'!$A:$A,0))</f>
        <v>#N/A</v>
      </c>
      <c r="D871" s="90" t="e">
        <f>INDEX('Validation List'!$H:$H,MATCH(RAW!E871,'Validation List'!$F:$F,0))</f>
        <v>#N/A</v>
      </c>
      <c r="G871" s="90" t="e">
        <f>VLOOKUP(F871,ML!C855:D1453,2,FALSE)</f>
        <v>#N/A</v>
      </c>
      <c r="H871" s="90" t="e">
        <f>VLOOKUP(F871,ML!C855:E1453,3,FALSE)</f>
        <v>#N/A</v>
      </c>
    </row>
    <row r="872" spans="1:8" x14ac:dyDescent="0.35">
      <c r="A872" s="90" t="e">
        <f>VLOOKUP(E872,'Validation List'!F873:G1268,2,FALSE)</f>
        <v>#N/A</v>
      </c>
      <c r="B872" s="90" t="e">
        <f>INDEX('NEW HIRE ROSTER'!$G:$G,MATCH(RAW!F872,'NEW HIRE ROSTER'!$A:$A,0))</f>
        <v>#N/A</v>
      </c>
      <c r="C872" s="90" t="e">
        <f>INDEX('NEW HIRE ROSTER'!$F:$F,MATCH(RAW!F872,'NEW HIRE ROSTER'!$A:$A,0))</f>
        <v>#N/A</v>
      </c>
      <c r="D872" s="90" t="e">
        <f>INDEX('Validation List'!$H:$H,MATCH(RAW!E872,'Validation List'!$F:$F,0))</f>
        <v>#N/A</v>
      </c>
      <c r="G872" s="90" t="e">
        <f>VLOOKUP(F872,ML!C856:D1454,2,FALSE)</f>
        <v>#N/A</v>
      </c>
      <c r="H872" s="90" t="e">
        <f>VLOOKUP(F872,ML!C856:E1454,3,FALSE)</f>
        <v>#N/A</v>
      </c>
    </row>
    <row r="873" spans="1:8" x14ac:dyDescent="0.35">
      <c r="A873" s="90" t="e">
        <f>VLOOKUP(E873,'Validation List'!F874:G1269,2,FALSE)</f>
        <v>#N/A</v>
      </c>
      <c r="B873" s="90" t="e">
        <f>INDEX('NEW HIRE ROSTER'!$G:$G,MATCH(RAW!F873,'NEW HIRE ROSTER'!$A:$A,0))</f>
        <v>#N/A</v>
      </c>
      <c r="C873" s="90" t="e">
        <f>INDEX('NEW HIRE ROSTER'!$F:$F,MATCH(RAW!F873,'NEW HIRE ROSTER'!$A:$A,0))</f>
        <v>#N/A</v>
      </c>
      <c r="D873" s="90" t="e">
        <f>INDEX('Validation List'!$H:$H,MATCH(RAW!E873,'Validation List'!$F:$F,0))</f>
        <v>#N/A</v>
      </c>
      <c r="G873" s="90" t="e">
        <f>VLOOKUP(F873,ML!C857:D1455,2,FALSE)</f>
        <v>#N/A</v>
      </c>
      <c r="H873" s="90" t="e">
        <f>VLOOKUP(F873,ML!C857:E1455,3,FALSE)</f>
        <v>#N/A</v>
      </c>
    </row>
    <row r="874" spans="1:8" x14ac:dyDescent="0.35">
      <c r="A874" s="90" t="e">
        <f>VLOOKUP(E874,'Validation List'!F875:G1270,2,FALSE)</f>
        <v>#N/A</v>
      </c>
      <c r="B874" s="90" t="e">
        <f>INDEX('NEW HIRE ROSTER'!$G:$G,MATCH(RAW!F874,'NEW HIRE ROSTER'!$A:$A,0))</f>
        <v>#N/A</v>
      </c>
      <c r="C874" s="90" t="e">
        <f>INDEX('NEW HIRE ROSTER'!$F:$F,MATCH(RAW!F874,'NEW HIRE ROSTER'!$A:$A,0))</f>
        <v>#N/A</v>
      </c>
      <c r="D874" s="90" t="e">
        <f>INDEX('Validation List'!$H:$H,MATCH(RAW!E874,'Validation List'!$F:$F,0))</f>
        <v>#N/A</v>
      </c>
      <c r="G874" s="90" t="e">
        <f>VLOOKUP(F874,ML!C858:D1456,2,FALSE)</f>
        <v>#N/A</v>
      </c>
      <c r="H874" s="90" t="e">
        <f>VLOOKUP(F874,ML!C858:E1456,3,FALSE)</f>
        <v>#N/A</v>
      </c>
    </row>
    <row r="875" spans="1:8" x14ac:dyDescent="0.35">
      <c r="A875" s="90" t="e">
        <f>VLOOKUP(E875,'Validation List'!F876:G1271,2,FALSE)</f>
        <v>#N/A</v>
      </c>
      <c r="B875" s="90" t="e">
        <f>INDEX('NEW HIRE ROSTER'!$G:$G,MATCH(RAW!F875,'NEW HIRE ROSTER'!$A:$A,0))</f>
        <v>#N/A</v>
      </c>
      <c r="C875" s="90" t="e">
        <f>INDEX('NEW HIRE ROSTER'!$F:$F,MATCH(RAW!F875,'NEW HIRE ROSTER'!$A:$A,0))</f>
        <v>#N/A</v>
      </c>
      <c r="D875" s="90" t="e">
        <f>INDEX('Validation List'!$H:$H,MATCH(RAW!E875,'Validation List'!$F:$F,0))</f>
        <v>#N/A</v>
      </c>
      <c r="G875" s="90" t="e">
        <f>VLOOKUP(F875,ML!C859:D1457,2,FALSE)</f>
        <v>#N/A</v>
      </c>
      <c r="H875" s="90" t="e">
        <f>VLOOKUP(F875,ML!C859:E1457,3,FALSE)</f>
        <v>#N/A</v>
      </c>
    </row>
    <row r="876" spans="1:8" x14ac:dyDescent="0.35">
      <c r="A876" s="90" t="e">
        <f>VLOOKUP(E876,'Validation List'!F877:G1272,2,FALSE)</f>
        <v>#N/A</v>
      </c>
      <c r="B876" s="90" t="e">
        <f>INDEX('NEW HIRE ROSTER'!$G:$G,MATCH(RAW!F876,'NEW HIRE ROSTER'!$A:$A,0))</f>
        <v>#N/A</v>
      </c>
      <c r="C876" s="90" t="e">
        <f>INDEX('NEW HIRE ROSTER'!$F:$F,MATCH(RAW!F876,'NEW HIRE ROSTER'!$A:$A,0))</f>
        <v>#N/A</v>
      </c>
      <c r="D876" s="90" t="e">
        <f>INDEX('Validation List'!$H:$H,MATCH(RAW!E876,'Validation List'!$F:$F,0))</f>
        <v>#N/A</v>
      </c>
      <c r="G876" s="90" t="e">
        <f>VLOOKUP(F876,ML!C860:D1458,2,FALSE)</f>
        <v>#N/A</v>
      </c>
      <c r="H876" s="90" t="e">
        <f>VLOOKUP(F876,ML!C860:E1458,3,FALSE)</f>
        <v>#N/A</v>
      </c>
    </row>
    <row r="877" spans="1:8" x14ac:dyDescent="0.35">
      <c r="A877" s="90" t="e">
        <f>VLOOKUP(E877,'Validation List'!F878:G1273,2,FALSE)</f>
        <v>#N/A</v>
      </c>
      <c r="B877" s="90" t="e">
        <f>INDEX('NEW HIRE ROSTER'!$G:$G,MATCH(RAW!F877,'NEW HIRE ROSTER'!$A:$A,0))</f>
        <v>#N/A</v>
      </c>
      <c r="C877" s="90" t="e">
        <f>INDEX('NEW HIRE ROSTER'!$F:$F,MATCH(RAW!F877,'NEW HIRE ROSTER'!$A:$A,0))</f>
        <v>#N/A</v>
      </c>
      <c r="D877" s="90" t="e">
        <f>INDEX('Validation List'!$H:$H,MATCH(RAW!E877,'Validation List'!$F:$F,0))</f>
        <v>#N/A</v>
      </c>
      <c r="G877" s="90" t="e">
        <f>VLOOKUP(F877,ML!C861:D1459,2,FALSE)</f>
        <v>#N/A</v>
      </c>
      <c r="H877" s="90" t="e">
        <f>VLOOKUP(F877,ML!C861:E1459,3,FALSE)</f>
        <v>#N/A</v>
      </c>
    </row>
    <row r="878" spans="1:8" x14ac:dyDescent="0.35">
      <c r="A878" s="90" t="e">
        <f>VLOOKUP(E878,'Validation List'!F879:G1274,2,FALSE)</f>
        <v>#N/A</v>
      </c>
      <c r="B878" s="90" t="e">
        <f>INDEX('NEW HIRE ROSTER'!$G:$G,MATCH(RAW!F878,'NEW HIRE ROSTER'!$A:$A,0))</f>
        <v>#N/A</v>
      </c>
      <c r="C878" s="90" t="e">
        <f>INDEX('NEW HIRE ROSTER'!$F:$F,MATCH(RAW!F878,'NEW HIRE ROSTER'!$A:$A,0))</f>
        <v>#N/A</v>
      </c>
      <c r="D878" s="90" t="e">
        <f>INDEX('Validation List'!$H:$H,MATCH(RAW!E878,'Validation List'!$F:$F,0))</f>
        <v>#N/A</v>
      </c>
      <c r="G878" s="90" t="e">
        <f>VLOOKUP(F878,ML!C862:D1460,2,FALSE)</f>
        <v>#N/A</v>
      </c>
      <c r="H878" s="90" t="e">
        <f>VLOOKUP(F878,ML!C862:E1460,3,FALSE)</f>
        <v>#N/A</v>
      </c>
    </row>
    <row r="879" spans="1:8" x14ac:dyDescent="0.35">
      <c r="A879" s="90" t="e">
        <f>VLOOKUP(E879,'Validation List'!F880:G1275,2,FALSE)</f>
        <v>#N/A</v>
      </c>
      <c r="B879" s="90" t="e">
        <f>INDEX('NEW HIRE ROSTER'!$G:$G,MATCH(RAW!F879,'NEW HIRE ROSTER'!$A:$A,0))</f>
        <v>#N/A</v>
      </c>
      <c r="C879" s="90" t="e">
        <f>INDEX('NEW HIRE ROSTER'!$F:$F,MATCH(RAW!F879,'NEW HIRE ROSTER'!$A:$A,0))</f>
        <v>#N/A</v>
      </c>
      <c r="D879" s="90" t="e">
        <f>INDEX('Validation List'!$H:$H,MATCH(RAW!E879,'Validation List'!$F:$F,0))</f>
        <v>#N/A</v>
      </c>
      <c r="G879" s="90" t="e">
        <f>VLOOKUP(F879,ML!C863:D1461,2,FALSE)</f>
        <v>#N/A</v>
      </c>
      <c r="H879" s="90" t="e">
        <f>VLOOKUP(F879,ML!C863:E1461,3,FALSE)</f>
        <v>#N/A</v>
      </c>
    </row>
    <row r="880" spans="1:8" x14ac:dyDescent="0.35">
      <c r="A880" s="90" t="e">
        <f>VLOOKUP(E880,'Validation List'!F881:G1276,2,FALSE)</f>
        <v>#N/A</v>
      </c>
      <c r="B880" s="90" t="e">
        <f>INDEX('NEW HIRE ROSTER'!$G:$G,MATCH(RAW!F880,'NEW HIRE ROSTER'!$A:$A,0))</f>
        <v>#N/A</v>
      </c>
      <c r="C880" s="90" t="e">
        <f>INDEX('NEW HIRE ROSTER'!$F:$F,MATCH(RAW!F880,'NEW HIRE ROSTER'!$A:$A,0))</f>
        <v>#N/A</v>
      </c>
      <c r="D880" s="90" t="e">
        <f>INDEX('Validation List'!$H:$H,MATCH(RAW!E880,'Validation List'!$F:$F,0))</f>
        <v>#N/A</v>
      </c>
      <c r="G880" s="90" t="e">
        <f>VLOOKUP(F880,ML!C864:D1462,2,FALSE)</f>
        <v>#N/A</v>
      </c>
      <c r="H880" s="90" t="e">
        <f>VLOOKUP(F880,ML!C864:E1462,3,FALSE)</f>
        <v>#N/A</v>
      </c>
    </row>
    <row r="881" spans="1:8" x14ac:dyDescent="0.35">
      <c r="A881" s="90" t="e">
        <f>VLOOKUP(E881,'Validation List'!F882:G1277,2,FALSE)</f>
        <v>#N/A</v>
      </c>
      <c r="B881" s="90" t="e">
        <f>INDEX('NEW HIRE ROSTER'!$G:$G,MATCH(RAW!F881,'NEW HIRE ROSTER'!$A:$A,0))</f>
        <v>#N/A</v>
      </c>
      <c r="C881" s="90" t="e">
        <f>INDEX('NEW HIRE ROSTER'!$F:$F,MATCH(RAW!F881,'NEW HIRE ROSTER'!$A:$A,0))</f>
        <v>#N/A</v>
      </c>
      <c r="D881" s="90" t="e">
        <f>INDEX('Validation List'!$H:$H,MATCH(RAW!E881,'Validation List'!$F:$F,0))</f>
        <v>#N/A</v>
      </c>
      <c r="G881" s="90" t="e">
        <f>VLOOKUP(F881,ML!C865:D1463,2,FALSE)</f>
        <v>#N/A</v>
      </c>
      <c r="H881" s="90" t="e">
        <f>VLOOKUP(F881,ML!C865:E1463,3,FALSE)</f>
        <v>#N/A</v>
      </c>
    </row>
    <row r="882" spans="1:8" x14ac:dyDescent="0.35">
      <c r="A882" s="90" t="e">
        <f>VLOOKUP(E882,'Validation List'!F883:G1278,2,FALSE)</f>
        <v>#N/A</v>
      </c>
      <c r="B882" s="90" t="e">
        <f>INDEX('NEW HIRE ROSTER'!$G:$G,MATCH(RAW!F882,'NEW HIRE ROSTER'!$A:$A,0))</f>
        <v>#N/A</v>
      </c>
      <c r="C882" s="90" t="e">
        <f>INDEX('NEW HIRE ROSTER'!$F:$F,MATCH(RAW!F882,'NEW HIRE ROSTER'!$A:$A,0))</f>
        <v>#N/A</v>
      </c>
      <c r="D882" s="90" t="e">
        <f>INDEX('Validation List'!$H:$H,MATCH(RAW!E882,'Validation List'!$F:$F,0))</f>
        <v>#N/A</v>
      </c>
      <c r="G882" s="90" t="e">
        <f>VLOOKUP(F882,ML!C866:D1464,2,FALSE)</f>
        <v>#N/A</v>
      </c>
      <c r="H882" s="90" t="e">
        <f>VLOOKUP(F882,ML!C866:E1464,3,FALSE)</f>
        <v>#N/A</v>
      </c>
    </row>
    <row r="883" spans="1:8" x14ac:dyDescent="0.35">
      <c r="A883" s="90" t="e">
        <f>VLOOKUP(E883,'Validation List'!F884:G1279,2,FALSE)</f>
        <v>#N/A</v>
      </c>
      <c r="B883" s="90" t="e">
        <f>INDEX('NEW HIRE ROSTER'!$G:$G,MATCH(RAW!F883,'NEW HIRE ROSTER'!$A:$A,0))</f>
        <v>#N/A</v>
      </c>
      <c r="C883" s="90" t="e">
        <f>INDEX('NEW HIRE ROSTER'!$F:$F,MATCH(RAW!F883,'NEW HIRE ROSTER'!$A:$A,0))</f>
        <v>#N/A</v>
      </c>
      <c r="D883" s="90" t="e">
        <f>INDEX('Validation List'!$H:$H,MATCH(RAW!E883,'Validation List'!$F:$F,0))</f>
        <v>#N/A</v>
      </c>
      <c r="G883" s="90" t="e">
        <f>VLOOKUP(F883,ML!C867:D1465,2,FALSE)</f>
        <v>#N/A</v>
      </c>
      <c r="H883" s="90" t="e">
        <f>VLOOKUP(F883,ML!C867:E1465,3,FALSE)</f>
        <v>#N/A</v>
      </c>
    </row>
    <row r="884" spans="1:8" x14ac:dyDescent="0.35">
      <c r="A884" s="90" t="e">
        <f>VLOOKUP(E884,'Validation List'!F885:G1280,2,FALSE)</f>
        <v>#N/A</v>
      </c>
      <c r="B884" s="90" t="e">
        <f>INDEX('NEW HIRE ROSTER'!$G:$G,MATCH(RAW!F884,'NEW HIRE ROSTER'!$A:$A,0))</f>
        <v>#N/A</v>
      </c>
      <c r="C884" s="90" t="e">
        <f>INDEX('NEW HIRE ROSTER'!$F:$F,MATCH(RAW!F884,'NEW HIRE ROSTER'!$A:$A,0))</f>
        <v>#N/A</v>
      </c>
      <c r="D884" s="90" t="e">
        <f>INDEX('Validation List'!$H:$H,MATCH(RAW!E884,'Validation List'!$F:$F,0))</f>
        <v>#N/A</v>
      </c>
      <c r="G884" s="90" t="e">
        <f>VLOOKUP(F884,ML!C868:D1466,2,FALSE)</f>
        <v>#N/A</v>
      </c>
      <c r="H884" s="90" t="e">
        <f>VLOOKUP(F884,ML!C868:E1466,3,FALSE)</f>
        <v>#N/A</v>
      </c>
    </row>
    <row r="885" spans="1:8" x14ac:dyDescent="0.35">
      <c r="A885" s="90" t="e">
        <f>VLOOKUP(E885,'Validation List'!F886:G1281,2,FALSE)</f>
        <v>#N/A</v>
      </c>
      <c r="B885" s="90" t="e">
        <f>INDEX('NEW HIRE ROSTER'!$G:$G,MATCH(RAW!F885,'NEW HIRE ROSTER'!$A:$A,0))</f>
        <v>#N/A</v>
      </c>
      <c r="C885" s="90" t="e">
        <f>INDEX('NEW HIRE ROSTER'!$F:$F,MATCH(RAW!F885,'NEW HIRE ROSTER'!$A:$A,0))</f>
        <v>#N/A</v>
      </c>
      <c r="D885" s="90" t="e">
        <f>INDEX('Validation List'!$H:$H,MATCH(RAW!E885,'Validation List'!$F:$F,0))</f>
        <v>#N/A</v>
      </c>
      <c r="G885" s="90" t="e">
        <f>VLOOKUP(F885,ML!C869:D1467,2,FALSE)</f>
        <v>#N/A</v>
      </c>
      <c r="H885" s="90" t="e">
        <f>VLOOKUP(F885,ML!C869:E1467,3,FALSE)</f>
        <v>#N/A</v>
      </c>
    </row>
    <row r="886" spans="1:8" x14ac:dyDescent="0.35">
      <c r="A886" s="90" t="e">
        <f>VLOOKUP(E886,'Validation List'!F887:G1282,2,FALSE)</f>
        <v>#N/A</v>
      </c>
      <c r="B886" s="90" t="e">
        <f>INDEX('NEW HIRE ROSTER'!$G:$G,MATCH(RAW!F886,'NEW HIRE ROSTER'!$A:$A,0))</f>
        <v>#N/A</v>
      </c>
      <c r="C886" s="90" t="e">
        <f>INDEX('NEW HIRE ROSTER'!$F:$F,MATCH(RAW!F886,'NEW HIRE ROSTER'!$A:$A,0))</f>
        <v>#N/A</v>
      </c>
      <c r="D886" s="90" t="e">
        <f>INDEX('Validation List'!$H:$H,MATCH(RAW!E886,'Validation List'!$F:$F,0))</f>
        <v>#N/A</v>
      </c>
      <c r="G886" s="90" t="e">
        <f>VLOOKUP(F886,ML!C870:D1468,2,FALSE)</f>
        <v>#N/A</v>
      </c>
      <c r="H886" s="90" t="e">
        <f>VLOOKUP(F886,ML!C870:E1468,3,FALSE)</f>
        <v>#N/A</v>
      </c>
    </row>
    <row r="887" spans="1:8" x14ac:dyDescent="0.35">
      <c r="A887" s="90" t="e">
        <f>VLOOKUP(E887,'Validation List'!F888:G1283,2,FALSE)</f>
        <v>#N/A</v>
      </c>
      <c r="B887" s="90" t="e">
        <f>INDEX('NEW HIRE ROSTER'!$G:$G,MATCH(RAW!F887,'NEW HIRE ROSTER'!$A:$A,0))</f>
        <v>#N/A</v>
      </c>
      <c r="C887" s="90" t="e">
        <f>INDEX('NEW HIRE ROSTER'!$F:$F,MATCH(RAW!F887,'NEW HIRE ROSTER'!$A:$A,0))</f>
        <v>#N/A</v>
      </c>
      <c r="D887" s="90" t="e">
        <f>INDEX('Validation List'!$H:$H,MATCH(RAW!E887,'Validation List'!$F:$F,0))</f>
        <v>#N/A</v>
      </c>
      <c r="G887" s="90" t="e">
        <f>VLOOKUP(F887,ML!C871:D1469,2,FALSE)</f>
        <v>#N/A</v>
      </c>
      <c r="H887" s="90" t="e">
        <f>VLOOKUP(F887,ML!C871:E1469,3,FALSE)</f>
        <v>#N/A</v>
      </c>
    </row>
    <row r="888" spans="1:8" x14ac:dyDescent="0.35">
      <c r="A888" s="90" t="e">
        <f>VLOOKUP(E888,'Validation List'!F889:G1284,2,FALSE)</f>
        <v>#N/A</v>
      </c>
      <c r="B888" s="90" t="e">
        <f>INDEX('NEW HIRE ROSTER'!$G:$G,MATCH(RAW!F888,'NEW HIRE ROSTER'!$A:$A,0))</f>
        <v>#N/A</v>
      </c>
      <c r="C888" s="90" t="e">
        <f>INDEX('NEW HIRE ROSTER'!$F:$F,MATCH(RAW!F888,'NEW HIRE ROSTER'!$A:$A,0))</f>
        <v>#N/A</v>
      </c>
      <c r="D888" s="90" t="e">
        <f>INDEX('Validation List'!$H:$H,MATCH(RAW!E888,'Validation List'!$F:$F,0))</f>
        <v>#N/A</v>
      </c>
      <c r="G888" s="90" t="e">
        <f>VLOOKUP(F888,ML!C872:D1470,2,FALSE)</f>
        <v>#N/A</v>
      </c>
      <c r="H888" s="90" t="e">
        <f>VLOOKUP(F888,ML!C872:E1470,3,FALSE)</f>
        <v>#N/A</v>
      </c>
    </row>
    <row r="889" spans="1:8" x14ac:dyDescent="0.35">
      <c r="A889" s="90" t="e">
        <f>VLOOKUP(E889,'Validation List'!F890:G1285,2,FALSE)</f>
        <v>#N/A</v>
      </c>
      <c r="B889" s="90" t="e">
        <f>INDEX('NEW HIRE ROSTER'!$G:$G,MATCH(RAW!F889,'NEW HIRE ROSTER'!$A:$A,0))</f>
        <v>#N/A</v>
      </c>
      <c r="C889" s="90" t="e">
        <f>INDEX('NEW HIRE ROSTER'!$F:$F,MATCH(RAW!F889,'NEW HIRE ROSTER'!$A:$A,0))</f>
        <v>#N/A</v>
      </c>
      <c r="D889" s="90" t="e">
        <f>INDEX('Validation List'!$H:$H,MATCH(RAW!E889,'Validation List'!$F:$F,0))</f>
        <v>#N/A</v>
      </c>
      <c r="G889" s="90" t="e">
        <f>VLOOKUP(F889,ML!C873:D1471,2,FALSE)</f>
        <v>#N/A</v>
      </c>
      <c r="H889" s="90" t="e">
        <f>VLOOKUP(F889,ML!C873:E1471,3,FALSE)</f>
        <v>#N/A</v>
      </c>
    </row>
    <row r="890" spans="1:8" x14ac:dyDescent="0.35">
      <c r="A890" s="90" t="e">
        <f>VLOOKUP(E890,'Validation List'!F891:G1286,2,FALSE)</f>
        <v>#N/A</v>
      </c>
      <c r="B890" s="90" t="e">
        <f>INDEX('NEW HIRE ROSTER'!$G:$G,MATCH(RAW!F890,'NEW HIRE ROSTER'!$A:$A,0))</f>
        <v>#N/A</v>
      </c>
      <c r="C890" s="90" t="e">
        <f>INDEX('NEW HIRE ROSTER'!$F:$F,MATCH(RAW!F890,'NEW HIRE ROSTER'!$A:$A,0))</f>
        <v>#N/A</v>
      </c>
      <c r="D890" s="90" t="e">
        <f>INDEX('Validation List'!$H:$H,MATCH(RAW!E890,'Validation List'!$F:$F,0))</f>
        <v>#N/A</v>
      </c>
      <c r="G890" s="90" t="e">
        <f>VLOOKUP(F890,ML!C874:D1472,2,FALSE)</f>
        <v>#N/A</v>
      </c>
      <c r="H890" s="90" t="e">
        <f>VLOOKUP(F890,ML!C874:E1472,3,FALSE)</f>
        <v>#N/A</v>
      </c>
    </row>
    <row r="891" spans="1:8" x14ac:dyDescent="0.35">
      <c r="A891" s="90" t="e">
        <f>VLOOKUP(E891,'Validation List'!F892:G1287,2,FALSE)</f>
        <v>#N/A</v>
      </c>
      <c r="B891" s="90" t="e">
        <f>INDEX('NEW HIRE ROSTER'!$G:$G,MATCH(RAW!F891,'NEW HIRE ROSTER'!$A:$A,0))</f>
        <v>#N/A</v>
      </c>
      <c r="C891" s="90" t="e">
        <f>INDEX('NEW HIRE ROSTER'!$F:$F,MATCH(RAW!F891,'NEW HIRE ROSTER'!$A:$A,0))</f>
        <v>#N/A</v>
      </c>
      <c r="D891" s="90" t="e">
        <f>INDEX('Validation List'!$H:$H,MATCH(RAW!E891,'Validation List'!$F:$F,0))</f>
        <v>#N/A</v>
      </c>
      <c r="G891" s="90" t="e">
        <f>VLOOKUP(F891,ML!C875:D1473,2,FALSE)</f>
        <v>#N/A</v>
      </c>
      <c r="H891" s="90" t="e">
        <f>VLOOKUP(F891,ML!C875:E1473,3,FALSE)</f>
        <v>#N/A</v>
      </c>
    </row>
    <row r="892" spans="1:8" x14ac:dyDescent="0.35">
      <c r="A892" s="90" t="e">
        <f>VLOOKUP(E892,'Validation List'!F893:G1288,2,FALSE)</f>
        <v>#N/A</v>
      </c>
      <c r="B892" s="90" t="e">
        <f>INDEX('NEW HIRE ROSTER'!$G:$G,MATCH(RAW!F892,'NEW HIRE ROSTER'!$A:$A,0))</f>
        <v>#N/A</v>
      </c>
      <c r="C892" s="90" t="e">
        <f>INDEX('NEW HIRE ROSTER'!$F:$F,MATCH(RAW!F892,'NEW HIRE ROSTER'!$A:$A,0))</f>
        <v>#N/A</v>
      </c>
      <c r="D892" s="90" t="e">
        <f>INDEX('Validation List'!$H:$H,MATCH(RAW!E892,'Validation List'!$F:$F,0))</f>
        <v>#N/A</v>
      </c>
      <c r="G892" s="90" t="e">
        <f>VLOOKUP(F892,ML!C876:D1474,2,FALSE)</f>
        <v>#N/A</v>
      </c>
      <c r="H892" s="90" t="e">
        <f>VLOOKUP(F892,ML!C876:E1474,3,FALSE)</f>
        <v>#N/A</v>
      </c>
    </row>
    <row r="893" spans="1:8" x14ac:dyDescent="0.35">
      <c r="A893" s="90" t="e">
        <f>VLOOKUP(E893,'Validation List'!F894:G1289,2,FALSE)</f>
        <v>#N/A</v>
      </c>
      <c r="B893" s="90" t="e">
        <f>INDEX('NEW HIRE ROSTER'!$G:$G,MATCH(RAW!F893,'NEW HIRE ROSTER'!$A:$A,0))</f>
        <v>#N/A</v>
      </c>
      <c r="C893" s="90" t="e">
        <f>INDEX('NEW HIRE ROSTER'!$F:$F,MATCH(RAW!F893,'NEW HIRE ROSTER'!$A:$A,0))</f>
        <v>#N/A</v>
      </c>
      <c r="D893" s="90" t="e">
        <f>INDEX('Validation List'!$H:$H,MATCH(RAW!E893,'Validation List'!$F:$F,0))</f>
        <v>#N/A</v>
      </c>
      <c r="G893" s="90" t="e">
        <f>VLOOKUP(F893,ML!C877:D1475,2,FALSE)</f>
        <v>#N/A</v>
      </c>
      <c r="H893" s="90" t="e">
        <f>VLOOKUP(F893,ML!C877:E1475,3,FALSE)</f>
        <v>#N/A</v>
      </c>
    </row>
    <row r="894" spans="1:8" x14ac:dyDescent="0.35">
      <c r="A894" s="90" t="e">
        <f>VLOOKUP(E894,'Validation List'!F895:G1290,2,FALSE)</f>
        <v>#N/A</v>
      </c>
      <c r="B894" s="90" t="e">
        <f>INDEX('NEW HIRE ROSTER'!$G:$G,MATCH(RAW!F894,'NEW HIRE ROSTER'!$A:$A,0))</f>
        <v>#N/A</v>
      </c>
      <c r="C894" s="90" t="e">
        <f>INDEX('NEW HIRE ROSTER'!$F:$F,MATCH(RAW!F894,'NEW HIRE ROSTER'!$A:$A,0))</f>
        <v>#N/A</v>
      </c>
      <c r="D894" s="90" t="e">
        <f>INDEX('Validation List'!$H:$H,MATCH(RAW!E894,'Validation List'!$F:$F,0))</f>
        <v>#N/A</v>
      </c>
      <c r="G894" s="90" t="e">
        <f>VLOOKUP(F894,ML!C878:D1476,2,FALSE)</f>
        <v>#N/A</v>
      </c>
      <c r="H894" s="90" t="e">
        <f>VLOOKUP(F894,ML!C878:E1476,3,FALSE)</f>
        <v>#N/A</v>
      </c>
    </row>
    <row r="895" spans="1:8" x14ac:dyDescent="0.35">
      <c r="A895" s="90" t="e">
        <f>VLOOKUP(E895,'Validation List'!F896:G1291,2,FALSE)</f>
        <v>#N/A</v>
      </c>
      <c r="B895" s="90" t="e">
        <f>INDEX('NEW HIRE ROSTER'!$G:$G,MATCH(RAW!F895,'NEW HIRE ROSTER'!$A:$A,0))</f>
        <v>#N/A</v>
      </c>
      <c r="C895" s="90" t="e">
        <f>INDEX('NEW HIRE ROSTER'!$F:$F,MATCH(RAW!F895,'NEW HIRE ROSTER'!$A:$A,0))</f>
        <v>#N/A</v>
      </c>
      <c r="D895" s="90" t="e">
        <f>INDEX('Validation List'!$H:$H,MATCH(RAW!E895,'Validation List'!$F:$F,0))</f>
        <v>#N/A</v>
      </c>
      <c r="G895" s="90" t="e">
        <f>VLOOKUP(F895,ML!C879:D1477,2,FALSE)</f>
        <v>#N/A</v>
      </c>
      <c r="H895" s="90" t="e">
        <f>VLOOKUP(F895,ML!C879:E1477,3,FALSE)</f>
        <v>#N/A</v>
      </c>
    </row>
    <row r="896" spans="1:8" x14ac:dyDescent="0.35">
      <c r="A896" s="90" t="e">
        <f>VLOOKUP(E896,'Validation List'!F897:G1292,2,FALSE)</f>
        <v>#N/A</v>
      </c>
      <c r="B896" s="90" t="e">
        <f>INDEX('NEW HIRE ROSTER'!$G:$G,MATCH(RAW!F896,'NEW HIRE ROSTER'!$A:$A,0))</f>
        <v>#N/A</v>
      </c>
      <c r="C896" s="90" t="e">
        <f>INDEX('NEW HIRE ROSTER'!$F:$F,MATCH(RAW!F896,'NEW HIRE ROSTER'!$A:$A,0))</f>
        <v>#N/A</v>
      </c>
      <c r="D896" s="90" t="e">
        <f>INDEX('Validation List'!$H:$H,MATCH(RAW!E896,'Validation List'!$F:$F,0))</f>
        <v>#N/A</v>
      </c>
      <c r="G896" s="90" t="e">
        <f>VLOOKUP(F896,ML!C880:D1478,2,FALSE)</f>
        <v>#N/A</v>
      </c>
      <c r="H896" s="90" t="e">
        <f>VLOOKUP(F896,ML!C880:E1478,3,FALSE)</f>
        <v>#N/A</v>
      </c>
    </row>
    <row r="897" spans="1:8" x14ac:dyDescent="0.35">
      <c r="A897" s="90" t="e">
        <f>VLOOKUP(E897,'Validation List'!F898:G1293,2,FALSE)</f>
        <v>#N/A</v>
      </c>
      <c r="B897" s="90" t="e">
        <f>INDEX('NEW HIRE ROSTER'!$G:$G,MATCH(RAW!F897,'NEW HIRE ROSTER'!$A:$A,0))</f>
        <v>#N/A</v>
      </c>
      <c r="C897" s="90" t="e">
        <f>INDEX('NEW HIRE ROSTER'!$F:$F,MATCH(RAW!F897,'NEW HIRE ROSTER'!$A:$A,0))</f>
        <v>#N/A</v>
      </c>
      <c r="D897" s="90" t="e">
        <f>INDEX('Validation List'!$H:$H,MATCH(RAW!E897,'Validation List'!$F:$F,0))</f>
        <v>#N/A</v>
      </c>
      <c r="G897" s="90" t="e">
        <f>VLOOKUP(F897,ML!C881:D1479,2,FALSE)</f>
        <v>#N/A</v>
      </c>
      <c r="H897" s="90" t="e">
        <f>VLOOKUP(F897,ML!C881:E1479,3,FALSE)</f>
        <v>#N/A</v>
      </c>
    </row>
    <row r="898" spans="1:8" x14ac:dyDescent="0.35">
      <c r="A898" s="90" t="e">
        <f>VLOOKUP(E898,'Validation List'!F899:G1294,2,FALSE)</f>
        <v>#N/A</v>
      </c>
      <c r="B898" s="90" t="e">
        <f>INDEX('NEW HIRE ROSTER'!$G:$G,MATCH(RAW!F898,'NEW HIRE ROSTER'!$A:$A,0))</f>
        <v>#N/A</v>
      </c>
      <c r="C898" s="90" t="e">
        <f>INDEX('NEW HIRE ROSTER'!$F:$F,MATCH(RAW!F898,'NEW HIRE ROSTER'!$A:$A,0))</f>
        <v>#N/A</v>
      </c>
      <c r="D898" s="90" t="e">
        <f>INDEX('Validation List'!$H:$H,MATCH(RAW!E898,'Validation List'!$F:$F,0))</f>
        <v>#N/A</v>
      </c>
      <c r="G898" s="90" t="e">
        <f>VLOOKUP(F898,ML!C882:D1480,2,FALSE)</f>
        <v>#N/A</v>
      </c>
      <c r="H898" s="90" t="e">
        <f>VLOOKUP(F898,ML!C882:E1480,3,FALSE)</f>
        <v>#N/A</v>
      </c>
    </row>
    <row r="899" spans="1:8" x14ac:dyDescent="0.35">
      <c r="A899" s="90" t="e">
        <f>VLOOKUP(E899,'Validation List'!F900:G1295,2,FALSE)</f>
        <v>#N/A</v>
      </c>
      <c r="B899" s="90" t="e">
        <f>INDEX('NEW HIRE ROSTER'!$G:$G,MATCH(RAW!F899,'NEW HIRE ROSTER'!$A:$A,0))</f>
        <v>#N/A</v>
      </c>
      <c r="C899" s="90" t="e">
        <f>INDEX('NEW HIRE ROSTER'!$F:$F,MATCH(RAW!F899,'NEW HIRE ROSTER'!$A:$A,0))</f>
        <v>#N/A</v>
      </c>
      <c r="D899" s="90" t="e">
        <f>INDEX('Validation List'!$H:$H,MATCH(RAW!E899,'Validation List'!$F:$F,0))</f>
        <v>#N/A</v>
      </c>
      <c r="G899" s="90" t="e">
        <f>VLOOKUP(F899,ML!C883:D1481,2,FALSE)</f>
        <v>#N/A</v>
      </c>
      <c r="H899" s="90" t="e">
        <f>VLOOKUP(F899,ML!C883:E1481,3,FALSE)</f>
        <v>#N/A</v>
      </c>
    </row>
    <row r="900" spans="1:8" x14ac:dyDescent="0.35">
      <c r="A900" s="90" t="e">
        <f>VLOOKUP(E900,'Validation List'!F901:G1296,2,FALSE)</f>
        <v>#N/A</v>
      </c>
      <c r="B900" s="90" t="e">
        <f>INDEX('NEW HIRE ROSTER'!$G:$G,MATCH(RAW!F900,'NEW HIRE ROSTER'!$A:$A,0))</f>
        <v>#N/A</v>
      </c>
      <c r="C900" s="90" t="e">
        <f>INDEX('NEW HIRE ROSTER'!$F:$F,MATCH(RAW!F900,'NEW HIRE ROSTER'!$A:$A,0))</f>
        <v>#N/A</v>
      </c>
      <c r="D900" s="90" t="e">
        <f>INDEX('Validation List'!$H:$H,MATCH(RAW!E900,'Validation List'!$F:$F,0))</f>
        <v>#N/A</v>
      </c>
      <c r="G900" s="90" t="e">
        <f>VLOOKUP(F900,ML!C884:D1482,2,FALSE)</f>
        <v>#N/A</v>
      </c>
      <c r="H900" s="90" t="e">
        <f>VLOOKUP(F900,ML!C884:E1482,3,FALSE)</f>
        <v>#N/A</v>
      </c>
    </row>
    <row r="901" spans="1:8" x14ac:dyDescent="0.35">
      <c r="A901" s="90" t="e">
        <f>VLOOKUP(E901,'Validation List'!F902:G1297,2,FALSE)</f>
        <v>#N/A</v>
      </c>
      <c r="B901" s="90" t="e">
        <f>INDEX('NEW HIRE ROSTER'!$G:$G,MATCH(RAW!F901,'NEW HIRE ROSTER'!$A:$A,0))</f>
        <v>#N/A</v>
      </c>
      <c r="C901" s="90" t="e">
        <f>INDEX('NEW HIRE ROSTER'!$F:$F,MATCH(RAW!F901,'NEW HIRE ROSTER'!$A:$A,0))</f>
        <v>#N/A</v>
      </c>
      <c r="D901" s="90" t="e">
        <f>INDEX('Validation List'!$H:$H,MATCH(RAW!E901,'Validation List'!$F:$F,0))</f>
        <v>#N/A</v>
      </c>
      <c r="G901" s="90" t="e">
        <f>VLOOKUP(F901,ML!C885:D1483,2,FALSE)</f>
        <v>#N/A</v>
      </c>
      <c r="H901" s="90" t="e">
        <f>VLOOKUP(F901,ML!C885:E1483,3,FALSE)</f>
        <v>#N/A</v>
      </c>
    </row>
    <row r="902" spans="1:8" x14ac:dyDescent="0.35">
      <c r="A902" s="90" t="e">
        <f>VLOOKUP(E902,'Validation List'!F903:G1298,2,FALSE)</f>
        <v>#N/A</v>
      </c>
      <c r="B902" s="90" t="e">
        <f>INDEX('NEW HIRE ROSTER'!$G:$G,MATCH(RAW!F902,'NEW HIRE ROSTER'!$A:$A,0))</f>
        <v>#N/A</v>
      </c>
      <c r="C902" s="90" t="e">
        <f>INDEX('NEW HIRE ROSTER'!$F:$F,MATCH(RAW!F902,'NEW HIRE ROSTER'!$A:$A,0))</f>
        <v>#N/A</v>
      </c>
      <c r="D902" s="90" t="e">
        <f>INDEX('Validation List'!$H:$H,MATCH(RAW!E902,'Validation List'!$F:$F,0))</f>
        <v>#N/A</v>
      </c>
      <c r="G902" s="90" t="e">
        <f>VLOOKUP(F902,ML!C886:D1484,2,FALSE)</f>
        <v>#N/A</v>
      </c>
      <c r="H902" s="90" t="e">
        <f>VLOOKUP(F902,ML!C886:E1484,3,FALSE)</f>
        <v>#N/A</v>
      </c>
    </row>
    <row r="903" spans="1:8" x14ac:dyDescent="0.35">
      <c r="A903" s="90" t="e">
        <f>VLOOKUP(E903,'Validation List'!F904:G1299,2,FALSE)</f>
        <v>#N/A</v>
      </c>
      <c r="B903" s="90" t="e">
        <f>INDEX('NEW HIRE ROSTER'!$G:$G,MATCH(RAW!F903,'NEW HIRE ROSTER'!$A:$A,0))</f>
        <v>#N/A</v>
      </c>
      <c r="C903" s="90" t="e">
        <f>INDEX('NEW HIRE ROSTER'!$F:$F,MATCH(RAW!F903,'NEW HIRE ROSTER'!$A:$A,0))</f>
        <v>#N/A</v>
      </c>
      <c r="D903" s="90" t="e">
        <f>INDEX('Validation List'!$H:$H,MATCH(RAW!E903,'Validation List'!$F:$F,0))</f>
        <v>#N/A</v>
      </c>
      <c r="G903" s="90" t="e">
        <f>VLOOKUP(F903,ML!C887:D1485,2,FALSE)</f>
        <v>#N/A</v>
      </c>
      <c r="H903" s="90" t="e">
        <f>VLOOKUP(F903,ML!C887:E1485,3,FALSE)</f>
        <v>#N/A</v>
      </c>
    </row>
    <row r="904" spans="1:8" x14ac:dyDescent="0.35">
      <c r="A904" s="90" t="e">
        <f>VLOOKUP(E904,'Validation List'!F905:G1300,2,FALSE)</f>
        <v>#N/A</v>
      </c>
      <c r="B904" s="90" t="e">
        <f>INDEX('NEW HIRE ROSTER'!$G:$G,MATCH(RAW!F904,'NEW HIRE ROSTER'!$A:$A,0))</f>
        <v>#N/A</v>
      </c>
      <c r="C904" s="90" t="e">
        <f>INDEX('NEW HIRE ROSTER'!$F:$F,MATCH(RAW!F904,'NEW HIRE ROSTER'!$A:$A,0))</f>
        <v>#N/A</v>
      </c>
      <c r="D904" s="90" t="e">
        <f>INDEX('Validation List'!$H:$H,MATCH(RAW!E904,'Validation List'!$F:$F,0))</f>
        <v>#N/A</v>
      </c>
      <c r="G904" s="90" t="e">
        <f>VLOOKUP(F904,ML!C888:D1486,2,FALSE)</f>
        <v>#N/A</v>
      </c>
      <c r="H904" s="90" t="e">
        <f>VLOOKUP(F904,ML!C888:E1486,3,FALSE)</f>
        <v>#N/A</v>
      </c>
    </row>
    <row r="905" spans="1:8" x14ac:dyDescent="0.35">
      <c r="A905" s="90" t="e">
        <f>VLOOKUP(E905,'Validation List'!F906:G1301,2,FALSE)</f>
        <v>#N/A</v>
      </c>
      <c r="B905" s="90" t="e">
        <f>INDEX('NEW HIRE ROSTER'!$G:$G,MATCH(RAW!F905,'NEW HIRE ROSTER'!$A:$A,0))</f>
        <v>#N/A</v>
      </c>
      <c r="C905" s="90" t="e">
        <f>INDEX('NEW HIRE ROSTER'!$F:$F,MATCH(RAW!F905,'NEW HIRE ROSTER'!$A:$A,0))</f>
        <v>#N/A</v>
      </c>
      <c r="D905" s="90" t="e">
        <f>INDEX('Validation List'!$H:$H,MATCH(RAW!E905,'Validation List'!$F:$F,0))</f>
        <v>#N/A</v>
      </c>
      <c r="G905" s="90" t="e">
        <f>VLOOKUP(F905,ML!C889:D1487,2,FALSE)</f>
        <v>#N/A</v>
      </c>
      <c r="H905" s="90" t="e">
        <f>VLOOKUP(F905,ML!C889:E1487,3,FALSE)</f>
        <v>#N/A</v>
      </c>
    </row>
    <row r="906" spans="1:8" x14ac:dyDescent="0.35">
      <c r="A906" s="90" t="e">
        <f>VLOOKUP(E906,'Validation List'!F907:G1302,2,FALSE)</f>
        <v>#N/A</v>
      </c>
      <c r="B906" s="90" t="e">
        <f>INDEX('NEW HIRE ROSTER'!$G:$G,MATCH(RAW!F906,'NEW HIRE ROSTER'!$A:$A,0))</f>
        <v>#N/A</v>
      </c>
      <c r="C906" s="90" t="e">
        <f>INDEX('NEW HIRE ROSTER'!$F:$F,MATCH(RAW!F906,'NEW HIRE ROSTER'!$A:$A,0))</f>
        <v>#N/A</v>
      </c>
      <c r="D906" s="90" t="e">
        <f>INDEX('Validation List'!$H:$H,MATCH(RAW!E906,'Validation List'!$F:$F,0))</f>
        <v>#N/A</v>
      </c>
      <c r="G906" s="90" t="e">
        <f>VLOOKUP(F906,ML!C890:D1488,2,FALSE)</f>
        <v>#N/A</v>
      </c>
      <c r="H906" s="90" t="e">
        <f>VLOOKUP(F906,ML!C890:E1488,3,FALSE)</f>
        <v>#N/A</v>
      </c>
    </row>
    <row r="907" spans="1:8" x14ac:dyDescent="0.35">
      <c r="A907" s="90" t="e">
        <f>VLOOKUP(E907,'Validation List'!F908:G1303,2,FALSE)</f>
        <v>#N/A</v>
      </c>
      <c r="B907" s="90" t="e">
        <f>INDEX('NEW HIRE ROSTER'!$G:$G,MATCH(RAW!F907,'NEW HIRE ROSTER'!$A:$A,0))</f>
        <v>#N/A</v>
      </c>
      <c r="C907" s="90" t="e">
        <f>INDEX('NEW HIRE ROSTER'!$F:$F,MATCH(RAW!F907,'NEW HIRE ROSTER'!$A:$A,0))</f>
        <v>#N/A</v>
      </c>
      <c r="D907" s="90" t="e">
        <f>INDEX('Validation List'!$H:$H,MATCH(RAW!E907,'Validation List'!$F:$F,0))</f>
        <v>#N/A</v>
      </c>
      <c r="G907" s="90" t="e">
        <f>VLOOKUP(F907,ML!C891:D1489,2,FALSE)</f>
        <v>#N/A</v>
      </c>
      <c r="H907" s="90" t="e">
        <f>VLOOKUP(F907,ML!C891:E1489,3,FALSE)</f>
        <v>#N/A</v>
      </c>
    </row>
    <row r="908" spans="1:8" x14ac:dyDescent="0.35">
      <c r="A908" s="90" t="e">
        <f>VLOOKUP(E908,'Validation List'!F909:G1304,2,FALSE)</f>
        <v>#N/A</v>
      </c>
      <c r="B908" s="90" t="e">
        <f>INDEX('NEW HIRE ROSTER'!$G:$G,MATCH(RAW!F908,'NEW HIRE ROSTER'!$A:$A,0))</f>
        <v>#N/A</v>
      </c>
      <c r="C908" s="90" t="e">
        <f>INDEX('NEW HIRE ROSTER'!$F:$F,MATCH(RAW!F908,'NEW HIRE ROSTER'!$A:$A,0))</f>
        <v>#N/A</v>
      </c>
      <c r="D908" s="90" t="e">
        <f>INDEX('Validation List'!$H:$H,MATCH(RAW!E908,'Validation List'!$F:$F,0))</f>
        <v>#N/A</v>
      </c>
      <c r="G908" s="90" t="e">
        <f>VLOOKUP(F908,ML!C892:D1490,2,FALSE)</f>
        <v>#N/A</v>
      </c>
      <c r="H908" s="90" t="e">
        <f>VLOOKUP(F908,ML!C892:E1490,3,FALSE)</f>
        <v>#N/A</v>
      </c>
    </row>
    <row r="909" spans="1:8" x14ac:dyDescent="0.35">
      <c r="A909" s="90" t="e">
        <f>VLOOKUP(E909,'Validation List'!F910:G1305,2,FALSE)</f>
        <v>#N/A</v>
      </c>
      <c r="B909" s="90" t="e">
        <f>INDEX('NEW HIRE ROSTER'!$G:$G,MATCH(RAW!F909,'NEW HIRE ROSTER'!$A:$A,0))</f>
        <v>#N/A</v>
      </c>
      <c r="C909" s="90" t="e">
        <f>INDEX('NEW HIRE ROSTER'!$F:$F,MATCH(RAW!F909,'NEW HIRE ROSTER'!$A:$A,0))</f>
        <v>#N/A</v>
      </c>
      <c r="D909" s="90" t="e">
        <f>INDEX('Validation List'!$H:$H,MATCH(RAW!E909,'Validation List'!$F:$F,0))</f>
        <v>#N/A</v>
      </c>
      <c r="G909" s="90" t="e">
        <f>VLOOKUP(F909,ML!C893:D1491,2,FALSE)</f>
        <v>#N/A</v>
      </c>
      <c r="H909" s="90" t="e">
        <f>VLOOKUP(F909,ML!C893:E1491,3,FALSE)</f>
        <v>#N/A</v>
      </c>
    </row>
    <row r="910" spans="1:8" x14ac:dyDescent="0.35">
      <c r="A910" s="90" t="e">
        <f>VLOOKUP(E910,'Validation List'!F911:G1306,2,FALSE)</f>
        <v>#N/A</v>
      </c>
      <c r="B910" s="90" t="e">
        <f>INDEX('NEW HIRE ROSTER'!$G:$G,MATCH(RAW!F910,'NEW HIRE ROSTER'!$A:$A,0))</f>
        <v>#N/A</v>
      </c>
      <c r="C910" s="90" t="e">
        <f>INDEX('NEW HIRE ROSTER'!$F:$F,MATCH(RAW!F910,'NEW HIRE ROSTER'!$A:$A,0))</f>
        <v>#N/A</v>
      </c>
      <c r="D910" s="90" t="e">
        <f>INDEX('Validation List'!$H:$H,MATCH(RAW!E910,'Validation List'!$F:$F,0))</f>
        <v>#N/A</v>
      </c>
      <c r="G910" s="90" t="e">
        <f>VLOOKUP(F910,ML!C894:D1492,2,FALSE)</f>
        <v>#N/A</v>
      </c>
      <c r="H910" s="90" t="e">
        <f>VLOOKUP(F910,ML!C894:E1492,3,FALSE)</f>
        <v>#N/A</v>
      </c>
    </row>
    <row r="911" spans="1:8" x14ac:dyDescent="0.35">
      <c r="A911" s="90" t="e">
        <f>VLOOKUP(E911,'Validation List'!F912:G1307,2,FALSE)</f>
        <v>#N/A</v>
      </c>
      <c r="B911" s="90" t="e">
        <f>INDEX('NEW HIRE ROSTER'!$G:$G,MATCH(RAW!F911,'NEW HIRE ROSTER'!$A:$A,0))</f>
        <v>#N/A</v>
      </c>
      <c r="C911" s="90" t="e">
        <f>INDEX('NEW HIRE ROSTER'!$F:$F,MATCH(RAW!F911,'NEW HIRE ROSTER'!$A:$A,0))</f>
        <v>#N/A</v>
      </c>
      <c r="D911" s="90" t="e">
        <f>INDEX('Validation List'!$H:$H,MATCH(RAW!E911,'Validation List'!$F:$F,0))</f>
        <v>#N/A</v>
      </c>
      <c r="G911" s="90" t="e">
        <f>VLOOKUP(F911,ML!C895:D1493,2,FALSE)</f>
        <v>#N/A</v>
      </c>
      <c r="H911" s="90" t="e">
        <f>VLOOKUP(F911,ML!C895:E1493,3,FALSE)</f>
        <v>#N/A</v>
      </c>
    </row>
    <row r="912" spans="1:8" x14ac:dyDescent="0.35">
      <c r="A912" s="90" t="e">
        <f>VLOOKUP(E912,'Validation List'!F913:G1308,2,FALSE)</f>
        <v>#N/A</v>
      </c>
      <c r="B912" s="90" t="e">
        <f>INDEX('NEW HIRE ROSTER'!$G:$G,MATCH(RAW!F912,'NEW HIRE ROSTER'!$A:$A,0))</f>
        <v>#N/A</v>
      </c>
      <c r="C912" s="90" t="e">
        <f>INDEX('NEW HIRE ROSTER'!$F:$F,MATCH(RAW!F912,'NEW HIRE ROSTER'!$A:$A,0))</f>
        <v>#N/A</v>
      </c>
      <c r="D912" s="90" t="e">
        <f>INDEX('Validation List'!$H:$H,MATCH(RAW!E912,'Validation List'!$F:$F,0))</f>
        <v>#N/A</v>
      </c>
      <c r="G912" s="90" t="e">
        <f>VLOOKUP(F912,ML!C896:D1494,2,FALSE)</f>
        <v>#N/A</v>
      </c>
      <c r="H912" s="90" t="e">
        <f>VLOOKUP(F912,ML!C896:E1494,3,FALSE)</f>
        <v>#N/A</v>
      </c>
    </row>
    <row r="913" spans="1:8" x14ac:dyDescent="0.35">
      <c r="A913" s="90" t="e">
        <f>VLOOKUP(E913,'Validation List'!F914:G1309,2,FALSE)</f>
        <v>#N/A</v>
      </c>
      <c r="B913" s="90" t="e">
        <f>INDEX('NEW HIRE ROSTER'!$G:$G,MATCH(RAW!F913,'NEW HIRE ROSTER'!$A:$A,0))</f>
        <v>#N/A</v>
      </c>
      <c r="C913" s="90" t="e">
        <f>INDEX('NEW HIRE ROSTER'!$F:$F,MATCH(RAW!F913,'NEW HIRE ROSTER'!$A:$A,0))</f>
        <v>#N/A</v>
      </c>
      <c r="D913" s="90" t="e">
        <f>INDEX('Validation List'!$H:$H,MATCH(RAW!E913,'Validation List'!$F:$F,0))</f>
        <v>#N/A</v>
      </c>
      <c r="G913" s="90" t="e">
        <f>VLOOKUP(F913,ML!C897:D1495,2,FALSE)</f>
        <v>#N/A</v>
      </c>
      <c r="H913" s="90" t="e">
        <f>VLOOKUP(F913,ML!C897:E1495,3,FALSE)</f>
        <v>#N/A</v>
      </c>
    </row>
    <row r="914" spans="1:8" x14ac:dyDescent="0.35">
      <c r="A914" s="90" t="e">
        <f>VLOOKUP(E914,'Validation List'!F915:G1310,2,FALSE)</f>
        <v>#N/A</v>
      </c>
      <c r="B914" s="90" t="e">
        <f>INDEX('NEW HIRE ROSTER'!$G:$G,MATCH(RAW!F914,'NEW HIRE ROSTER'!$A:$A,0))</f>
        <v>#N/A</v>
      </c>
      <c r="C914" s="90" t="e">
        <f>INDEX('NEW HIRE ROSTER'!$F:$F,MATCH(RAW!F914,'NEW HIRE ROSTER'!$A:$A,0))</f>
        <v>#N/A</v>
      </c>
      <c r="D914" s="90" t="e">
        <f>INDEX('Validation List'!$H:$H,MATCH(RAW!E914,'Validation List'!$F:$F,0))</f>
        <v>#N/A</v>
      </c>
      <c r="G914" s="90" t="e">
        <f>VLOOKUP(F914,ML!C898:D1496,2,FALSE)</f>
        <v>#N/A</v>
      </c>
      <c r="H914" s="90" t="e">
        <f>VLOOKUP(F914,ML!C898:E1496,3,FALSE)</f>
        <v>#N/A</v>
      </c>
    </row>
    <row r="915" spans="1:8" x14ac:dyDescent="0.35">
      <c r="A915" s="90" t="e">
        <f>VLOOKUP(E915,'Validation List'!F916:G1311,2,FALSE)</f>
        <v>#N/A</v>
      </c>
      <c r="B915" s="90" t="e">
        <f>INDEX('NEW HIRE ROSTER'!$G:$G,MATCH(RAW!F915,'NEW HIRE ROSTER'!$A:$A,0))</f>
        <v>#N/A</v>
      </c>
      <c r="C915" s="90" t="e">
        <f>INDEX('NEW HIRE ROSTER'!$F:$F,MATCH(RAW!F915,'NEW HIRE ROSTER'!$A:$A,0))</f>
        <v>#N/A</v>
      </c>
      <c r="D915" s="90" t="e">
        <f>INDEX('Validation List'!$H:$H,MATCH(RAW!E915,'Validation List'!$F:$F,0))</f>
        <v>#N/A</v>
      </c>
      <c r="G915" s="90" t="e">
        <f>VLOOKUP(F915,ML!C899:D1497,2,FALSE)</f>
        <v>#N/A</v>
      </c>
      <c r="H915" s="90" t="e">
        <f>VLOOKUP(F915,ML!C899:E1497,3,FALSE)</f>
        <v>#N/A</v>
      </c>
    </row>
    <row r="916" spans="1:8" x14ac:dyDescent="0.35">
      <c r="A916" s="90" t="e">
        <f>VLOOKUP(E916,'Validation List'!F917:G1312,2,FALSE)</f>
        <v>#N/A</v>
      </c>
      <c r="B916" s="90" t="e">
        <f>INDEX('NEW HIRE ROSTER'!$G:$G,MATCH(RAW!F916,'NEW HIRE ROSTER'!$A:$A,0))</f>
        <v>#N/A</v>
      </c>
      <c r="C916" s="90" t="e">
        <f>INDEX('NEW HIRE ROSTER'!$F:$F,MATCH(RAW!F916,'NEW HIRE ROSTER'!$A:$A,0))</f>
        <v>#N/A</v>
      </c>
      <c r="D916" s="90" t="e">
        <f>INDEX('Validation List'!$H:$H,MATCH(RAW!E916,'Validation List'!$F:$F,0))</f>
        <v>#N/A</v>
      </c>
      <c r="G916" s="90" t="e">
        <f>VLOOKUP(F916,ML!C900:D1498,2,FALSE)</f>
        <v>#N/A</v>
      </c>
      <c r="H916" s="90" t="e">
        <f>VLOOKUP(F916,ML!C900:E1498,3,FALSE)</f>
        <v>#N/A</v>
      </c>
    </row>
    <row r="917" spans="1:8" x14ac:dyDescent="0.35">
      <c r="A917" s="90" t="e">
        <f>VLOOKUP(E917,'Validation List'!F918:G1313,2,FALSE)</f>
        <v>#N/A</v>
      </c>
      <c r="B917" s="90" t="e">
        <f>INDEX('NEW HIRE ROSTER'!$G:$G,MATCH(RAW!F917,'NEW HIRE ROSTER'!$A:$A,0))</f>
        <v>#N/A</v>
      </c>
      <c r="C917" s="90" t="e">
        <f>INDEX('NEW HIRE ROSTER'!$F:$F,MATCH(RAW!F917,'NEW HIRE ROSTER'!$A:$A,0))</f>
        <v>#N/A</v>
      </c>
      <c r="D917" s="90" t="e">
        <f>INDEX('Validation List'!$H:$H,MATCH(RAW!E917,'Validation List'!$F:$F,0))</f>
        <v>#N/A</v>
      </c>
      <c r="G917" s="90" t="e">
        <f>VLOOKUP(F917,ML!C901:D1499,2,FALSE)</f>
        <v>#N/A</v>
      </c>
      <c r="H917" s="90" t="e">
        <f>VLOOKUP(F917,ML!C901:E1499,3,FALSE)</f>
        <v>#N/A</v>
      </c>
    </row>
    <row r="918" spans="1:8" x14ac:dyDescent="0.35">
      <c r="A918" s="90" t="e">
        <f>VLOOKUP(E918,'Validation List'!F919:G1314,2,FALSE)</f>
        <v>#N/A</v>
      </c>
      <c r="B918" s="90" t="e">
        <f>INDEX('NEW HIRE ROSTER'!$G:$G,MATCH(RAW!F918,'NEW HIRE ROSTER'!$A:$A,0))</f>
        <v>#N/A</v>
      </c>
      <c r="C918" s="90" t="e">
        <f>INDEX('NEW HIRE ROSTER'!$F:$F,MATCH(RAW!F918,'NEW HIRE ROSTER'!$A:$A,0))</f>
        <v>#N/A</v>
      </c>
      <c r="D918" s="90" t="e">
        <f>INDEX('Validation List'!$H:$H,MATCH(RAW!E918,'Validation List'!$F:$F,0))</f>
        <v>#N/A</v>
      </c>
      <c r="G918" s="90" t="e">
        <f>VLOOKUP(F918,ML!C902:D1500,2,FALSE)</f>
        <v>#N/A</v>
      </c>
      <c r="H918" s="90" t="e">
        <f>VLOOKUP(F918,ML!C902:E1500,3,FALSE)</f>
        <v>#N/A</v>
      </c>
    </row>
    <row r="919" spans="1:8" x14ac:dyDescent="0.35">
      <c r="A919" s="90" t="e">
        <f>VLOOKUP(E919,'Validation List'!F920:G1315,2,FALSE)</f>
        <v>#N/A</v>
      </c>
      <c r="B919" s="90" t="e">
        <f>INDEX('NEW HIRE ROSTER'!$G:$G,MATCH(RAW!F919,'NEW HIRE ROSTER'!$A:$A,0))</f>
        <v>#N/A</v>
      </c>
      <c r="C919" s="90" t="e">
        <f>INDEX('NEW HIRE ROSTER'!$F:$F,MATCH(RAW!F919,'NEW HIRE ROSTER'!$A:$A,0))</f>
        <v>#N/A</v>
      </c>
      <c r="D919" s="90" t="e">
        <f>INDEX('Validation List'!$H:$H,MATCH(RAW!E919,'Validation List'!$F:$F,0))</f>
        <v>#N/A</v>
      </c>
      <c r="G919" s="90" t="e">
        <f>VLOOKUP(F919,ML!C903:D1501,2,FALSE)</f>
        <v>#N/A</v>
      </c>
      <c r="H919" s="90" t="e">
        <f>VLOOKUP(F919,ML!C903:E1501,3,FALSE)</f>
        <v>#N/A</v>
      </c>
    </row>
    <row r="920" spans="1:8" x14ac:dyDescent="0.35">
      <c r="A920" s="90" t="e">
        <f>VLOOKUP(E920,'Validation List'!F921:G1316,2,FALSE)</f>
        <v>#N/A</v>
      </c>
      <c r="B920" s="90" t="e">
        <f>INDEX('NEW HIRE ROSTER'!$G:$G,MATCH(RAW!F920,'NEW HIRE ROSTER'!$A:$A,0))</f>
        <v>#N/A</v>
      </c>
      <c r="C920" s="90" t="e">
        <f>INDEX('NEW HIRE ROSTER'!$F:$F,MATCH(RAW!F920,'NEW HIRE ROSTER'!$A:$A,0))</f>
        <v>#N/A</v>
      </c>
      <c r="D920" s="90" t="e">
        <f>INDEX('Validation List'!$H:$H,MATCH(RAW!E920,'Validation List'!$F:$F,0))</f>
        <v>#N/A</v>
      </c>
      <c r="G920" s="90" t="e">
        <f>VLOOKUP(F920,ML!C904:D1502,2,FALSE)</f>
        <v>#N/A</v>
      </c>
      <c r="H920" s="90" t="e">
        <f>VLOOKUP(F920,ML!C904:E1502,3,FALSE)</f>
        <v>#N/A</v>
      </c>
    </row>
    <row r="921" spans="1:8" x14ac:dyDescent="0.35">
      <c r="A921" s="90" t="e">
        <f>VLOOKUP(E921,'Validation List'!F922:G1317,2,FALSE)</f>
        <v>#N/A</v>
      </c>
      <c r="B921" s="90" t="e">
        <f>INDEX('NEW HIRE ROSTER'!$G:$G,MATCH(RAW!F921,'NEW HIRE ROSTER'!$A:$A,0))</f>
        <v>#N/A</v>
      </c>
      <c r="C921" s="90" t="e">
        <f>INDEX('NEW HIRE ROSTER'!$F:$F,MATCH(RAW!F921,'NEW HIRE ROSTER'!$A:$A,0))</f>
        <v>#N/A</v>
      </c>
      <c r="D921" s="90" t="e">
        <f>INDEX('Validation List'!$H:$H,MATCH(RAW!E921,'Validation List'!$F:$F,0))</f>
        <v>#N/A</v>
      </c>
      <c r="G921" s="90" t="e">
        <f>VLOOKUP(F921,ML!C905:D1503,2,FALSE)</f>
        <v>#N/A</v>
      </c>
      <c r="H921" s="90" t="e">
        <f>VLOOKUP(F921,ML!C905:E1503,3,FALSE)</f>
        <v>#N/A</v>
      </c>
    </row>
    <row r="922" spans="1:8" x14ac:dyDescent="0.35">
      <c r="A922" s="90" t="e">
        <f>VLOOKUP(E922,'Validation List'!F923:G1318,2,FALSE)</f>
        <v>#N/A</v>
      </c>
      <c r="B922" s="90" t="e">
        <f>INDEX('NEW HIRE ROSTER'!$G:$G,MATCH(RAW!F922,'NEW HIRE ROSTER'!$A:$A,0))</f>
        <v>#N/A</v>
      </c>
      <c r="C922" s="90" t="e">
        <f>INDEX('NEW HIRE ROSTER'!$F:$F,MATCH(RAW!F922,'NEW HIRE ROSTER'!$A:$A,0))</f>
        <v>#N/A</v>
      </c>
      <c r="D922" s="90" t="e">
        <f>INDEX('Validation List'!$H:$H,MATCH(RAW!E922,'Validation List'!$F:$F,0))</f>
        <v>#N/A</v>
      </c>
      <c r="G922" s="90" t="e">
        <f>VLOOKUP(F922,ML!C906:D1504,2,FALSE)</f>
        <v>#N/A</v>
      </c>
      <c r="H922" s="90" t="e">
        <f>VLOOKUP(F922,ML!C906:E1504,3,FALSE)</f>
        <v>#N/A</v>
      </c>
    </row>
    <row r="923" spans="1:8" x14ac:dyDescent="0.35">
      <c r="A923" s="90" t="e">
        <f>VLOOKUP(E923,'Validation List'!F924:G1319,2,FALSE)</f>
        <v>#N/A</v>
      </c>
      <c r="B923" s="90" t="e">
        <f>INDEX('NEW HIRE ROSTER'!$G:$G,MATCH(RAW!F923,'NEW HIRE ROSTER'!$A:$A,0))</f>
        <v>#N/A</v>
      </c>
      <c r="C923" s="90" t="e">
        <f>INDEX('NEW HIRE ROSTER'!$F:$F,MATCH(RAW!F923,'NEW HIRE ROSTER'!$A:$A,0))</f>
        <v>#N/A</v>
      </c>
      <c r="D923" s="90" t="e">
        <f>INDEX('Validation List'!$H:$H,MATCH(RAW!E923,'Validation List'!$F:$F,0))</f>
        <v>#N/A</v>
      </c>
      <c r="G923" s="90" t="e">
        <f>VLOOKUP(F923,ML!C907:D1505,2,FALSE)</f>
        <v>#N/A</v>
      </c>
      <c r="H923" s="90" t="e">
        <f>VLOOKUP(F923,ML!C907:E1505,3,FALSE)</f>
        <v>#N/A</v>
      </c>
    </row>
    <row r="924" spans="1:8" x14ac:dyDescent="0.35">
      <c r="A924" s="90" t="e">
        <f>VLOOKUP(E924,'Validation List'!F925:G1320,2,FALSE)</f>
        <v>#N/A</v>
      </c>
      <c r="B924" s="90" t="e">
        <f>INDEX('NEW HIRE ROSTER'!$G:$G,MATCH(RAW!F924,'NEW HIRE ROSTER'!$A:$A,0))</f>
        <v>#N/A</v>
      </c>
      <c r="C924" s="90" t="e">
        <f>INDEX('NEW HIRE ROSTER'!$F:$F,MATCH(RAW!F924,'NEW HIRE ROSTER'!$A:$A,0))</f>
        <v>#N/A</v>
      </c>
      <c r="D924" s="90" t="e">
        <f>INDEX('Validation List'!$H:$H,MATCH(RAW!E924,'Validation List'!$F:$F,0))</f>
        <v>#N/A</v>
      </c>
      <c r="G924" s="90" t="e">
        <f>VLOOKUP(F924,ML!C908:D1506,2,FALSE)</f>
        <v>#N/A</v>
      </c>
      <c r="H924" s="90" t="e">
        <f>VLOOKUP(F924,ML!C908:E1506,3,FALSE)</f>
        <v>#N/A</v>
      </c>
    </row>
    <row r="925" spans="1:8" x14ac:dyDescent="0.35">
      <c r="A925" s="90" t="e">
        <f>VLOOKUP(E925,'Validation List'!F926:G1321,2,FALSE)</f>
        <v>#N/A</v>
      </c>
      <c r="B925" s="90" t="e">
        <f>INDEX('NEW HIRE ROSTER'!$G:$G,MATCH(RAW!F925,'NEW HIRE ROSTER'!$A:$A,0))</f>
        <v>#N/A</v>
      </c>
      <c r="C925" s="90" t="e">
        <f>INDEX('NEW HIRE ROSTER'!$F:$F,MATCH(RAW!F925,'NEW HIRE ROSTER'!$A:$A,0))</f>
        <v>#N/A</v>
      </c>
      <c r="D925" s="90" t="e">
        <f>INDEX('Validation List'!$H:$H,MATCH(RAW!E925,'Validation List'!$F:$F,0))</f>
        <v>#N/A</v>
      </c>
      <c r="G925" s="90" t="e">
        <f>VLOOKUP(F925,ML!C909:D1507,2,FALSE)</f>
        <v>#N/A</v>
      </c>
      <c r="H925" s="90" t="e">
        <f>VLOOKUP(F925,ML!C909:E1507,3,FALSE)</f>
        <v>#N/A</v>
      </c>
    </row>
    <row r="926" spans="1:8" x14ac:dyDescent="0.35">
      <c r="A926" s="90" t="e">
        <f>VLOOKUP(E926,'Validation List'!F927:G1322,2,FALSE)</f>
        <v>#N/A</v>
      </c>
      <c r="B926" s="90" t="e">
        <f>INDEX('NEW HIRE ROSTER'!$G:$G,MATCH(RAW!F926,'NEW HIRE ROSTER'!$A:$A,0))</f>
        <v>#N/A</v>
      </c>
      <c r="C926" s="90" t="e">
        <f>INDEX('NEW HIRE ROSTER'!$F:$F,MATCH(RAW!F926,'NEW HIRE ROSTER'!$A:$A,0))</f>
        <v>#N/A</v>
      </c>
      <c r="D926" s="90" t="e">
        <f>INDEX('Validation List'!$H:$H,MATCH(RAW!E926,'Validation List'!$F:$F,0))</f>
        <v>#N/A</v>
      </c>
      <c r="G926" s="90" t="e">
        <f>VLOOKUP(F926,ML!C910:D1508,2,FALSE)</f>
        <v>#N/A</v>
      </c>
      <c r="H926" s="90" t="e">
        <f>VLOOKUP(F926,ML!C910:E1508,3,FALSE)</f>
        <v>#N/A</v>
      </c>
    </row>
    <row r="927" spans="1:8" x14ac:dyDescent="0.35">
      <c r="A927" s="90" t="e">
        <f>VLOOKUP(E927,'Validation List'!F928:G1323,2,FALSE)</f>
        <v>#N/A</v>
      </c>
      <c r="B927" s="90" t="e">
        <f>INDEX('NEW HIRE ROSTER'!$G:$G,MATCH(RAW!F927,'NEW HIRE ROSTER'!$A:$A,0))</f>
        <v>#N/A</v>
      </c>
      <c r="C927" s="90" t="e">
        <f>INDEX('NEW HIRE ROSTER'!$F:$F,MATCH(RAW!F927,'NEW HIRE ROSTER'!$A:$A,0))</f>
        <v>#N/A</v>
      </c>
      <c r="D927" s="90" t="e">
        <f>INDEX('Validation List'!$H:$H,MATCH(RAW!E927,'Validation List'!$F:$F,0))</f>
        <v>#N/A</v>
      </c>
      <c r="G927" s="90" t="e">
        <f>VLOOKUP(F927,ML!C911:D1509,2,FALSE)</f>
        <v>#N/A</v>
      </c>
      <c r="H927" s="90" t="e">
        <f>VLOOKUP(F927,ML!C911:E1509,3,FALSE)</f>
        <v>#N/A</v>
      </c>
    </row>
    <row r="928" spans="1:8" x14ac:dyDescent="0.35">
      <c r="A928" s="90" t="e">
        <f>VLOOKUP(E928,'Validation List'!F929:G1324,2,FALSE)</f>
        <v>#N/A</v>
      </c>
      <c r="B928" s="90" t="e">
        <f>INDEX('NEW HIRE ROSTER'!$G:$G,MATCH(RAW!F928,'NEW HIRE ROSTER'!$A:$A,0))</f>
        <v>#N/A</v>
      </c>
      <c r="C928" s="90" t="e">
        <f>INDEX('NEW HIRE ROSTER'!$F:$F,MATCH(RAW!F928,'NEW HIRE ROSTER'!$A:$A,0))</f>
        <v>#N/A</v>
      </c>
      <c r="D928" s="90" t="e">
        <f>INDEX('Validation List'!$H:$H,MATCH(RAW!E928,'Validation List'!$F:$F,0))</f>
        <v>#N/A</v>
      </c>
      <c r="G928" s="90" t="e">
        <f>VLOOKUP(F928,ML!C912:D1510,2,FALSE)</f>
        <v>#N/A</v>
      </c>
      <c r="H928" s="90" t="e">
        <f>VLOOKUP(F928,ML!C912:E1510,3,FALSE)</f>
        <v>#N/A</v>
      </c>
    </row>
    <row r="929" spans="1:8" x14ac:dyDescent="0.35">
      <c r="A929" s="90" t="e">
        <f>VLOOKUP(E929,'Validation List'!F930:G1325,2,FALSE)</f>
        <v>#N/A</v>
      </c>
      <c r="B929" s="90" t="e">
        <f>INDEX('NEW HIRE ROSTER'!$G:$G,MATCH(RAW!F929,'NEW HIRE ROSTER'!$A:$A,0))</f>
        <v>#N/A</v>
      </c>
      <c r="C929" s="90" t="e">
        <f>INDEX('NEW HIRE ROSTER'!$F:$F,MATCH(RAW!F929,'NEW HIRE ROSTER'!$A:$A,0))</f>
        <v>#N/A</v>
      </c>
      <c r="D929" s="90" t="e">
        <f>INDEX('Validation List'!$H:$H,MATCH(RAW!E929,'Validation List'!$F:$F,0))</f>
        <v>#N/A</v>
      </c>
      <c r="G929" s="90" t="e">
        <f>VLOOKUP(F929,ML!C913:D1511,2,FALSE)</f>
        <v>#N/A</v>
      </c>
      <c r="H929" s="90" t="e">
        <f>VLOOKUP(F929,ML!C913:E1511,3,FALSE)</f>
        <v>#N/A</v>
      </c>
    </row>
    <row r="930" spans="1:8" x14ac:dyDescent="0.35">
      <c r="A930" s="90" t="e">
        <f>VLOOKUP(E930,'Validation List'!F931:G1326,2,FALSE)</f>
        <v>#N/A</v>
      </c>
      <c r="B930" s="90" t="e">
        <f>INDEX('NEW HIRE ROSTER'!$G:$G,MATCH(RAW!F930,'NEW HIRE ROSTER'!$A:$A,0))</f>
        <v>#N/A</v>
      </c>
      <c r="C930" s="90" t="e">
        <f>INDEX('NEW HIRE ROSTER'!$F:$F,MATCH(RAW!F930,'NEW HIRE ROSTER'!$A:$A,0))</f>
        <v>#N/A</v>
      </c>
      <c r="D930" s="90" t="e">
        <f>INDEX('Validation List'!$H:$H,MATCH(RAW!E930,'Validation List'!$F:$F,0))</f>
        <v>#N/A</v>
      </c>
      <c r="G930" s="90" t="e">
        <f>VLOOKUP(F930,ML!C914:D1512,2,FALSE)</f>
        <v>#N/A</v>
      </c>
      <c r="H930" s="90" t="e">
        <f>VLOOKUP(F930,ML!C914:E1512,3,FALSE)</f>
        <v>#N/A</v>
      </c>
    </row>
    <row r="931" spans="1:8" x14ac:dyDescent="0.35">
      <c r="A931" s="90" t="e">
        <f>VLOOKUP(E931,'Validation List'!F932:G1327,2,FALSE)</f>
        <v>#N/A</v>
      </c>
      <c r="B931" s="90" t="e">
        <f>INDEX('NEW HIRE ROSTER'!$G:$G,MATCH(RAW!F931,'NEW HIRE ROSTER'!$A:$A,0))</f>
        <v>#N/A</v>
      </c>
      <c r="C931" s="90" t="e">
        <f>INDEX('NEW HIRE ROSTER'!$F:$F,MATCH(RAW!F931,'NEW HIRE ROSTER'!$A:$A,0))</f>
        <v>#N/A</v>
      </c>
      <c r="D931" s="90" t="e">
        <f>INDEX('Validation List'!$H:$H,MATCH(RAW!E931,'Validation List'!$F:$F,0))</f>
        <v>#N/A</v>
      </c>
      <c r="G931" s="90" t="e">
        <f>VLOOKUP(F931,ML!C915:D1513,2,FALSE)</f>
        <v>#N/A</v>
      </c>
      <c r="H931" s="90" t="e">
        <f>VLOOKUP(F931,ML!C915:E1513,3,FALSE)</f>
        <v>#N/A</v>
      </c>
    </row>
    <row r="932" spans="1:8" x14ac:dyDescent="0.35">
      <c r="A932" s="90" t="e">
        <f>VLOOKUP(E932,'Validation List'!F933:G1328,2,FALSE)</f>
        <v>#N/A</v>
      </c>
      <c r="B932" s="90" t="e">
        <f>INDEX('NEW HIRE ROSTER'!$G:$G,MATCH(RAW!F932,'NEW HIRE ROSTER'!$A:$A,0))</f>
        <v>#N/A</v>
      </c>
      <c r="C932" s="90" t="e">
        <f>INDEX('NEW HIRE ROSTER'!$F:$F,MATCH(RAW!F932,'NEW HIRE ROSTER'!$A:$A,0))</f>
        <v>#N/A</v>
      </c>
      <c r="D932" s="90" t="e">
        <f>INDEX('Validation List'!$H:$H,MATCH(RAW!E932,'Validation List'!$F:$F,0))</f>
        <v>#N/A</v>
      </c>
      <c r="G932" s="90" t="e">
        <f>VLOOKUP(F932,ML!C916:D1514,2,FALSE)</f>
        <v>#N/A</v>
      </c>
      <c r="H932" s="90" t="e">
        <f>VLOOKUP(F932,ML!C916:E1514,3,FALSE)</f>
        <v>#N/A</v>
      </c>
    </row>
    <row r="933" spans="1:8" x14ac:dyDescent="0.35">
      <c r="A933" s="90" t="e">
        <f>VLOOKUP(E933,'Validation List'!F934:G1329,2,FALSE)</f>
        <v>#N/A</v>
      </c>
      <c r="B933" s="90" t="e">
        <f>INDEX('NEW HIRE ROSTER'!$G:$G,MATCH(RAW!F933,'NEW HIRE ROSTER'!$A:$A,0))</f>
        <v>#N/A</v>
      </c>
      <c r="C933" s="90" t="e">
        <f>INDEX('NEW HIRE ROSTER'!$F:$F,MATCH(RAW!F933,'NEW HIRE ROSTER'!$A:$A,0))</f>
        <v>#N/A</v>
      </c>
      <c r="D933" s="90" t="e">
        <f>INDEX('Validation List'!$H:$H,MATCH(RAW!E933,'Validation List'!$F:$F,0))</f>
        <v>#N/A</v>
      </c>
      <c r="G933" s="90" t="e">
        <f>VLOOKUP(F933,ML!C917:D1515,2,FALSE)</f>
        <v>#N/A</v>
      </c>
      <c r="H933" s="90" t="e">
        <f>VLOOKUP(F933,ML!C917:E1515,3,FALSE)</f>
        <v>#N/A</v>
      </c>
    </row>
    <row r="934" spans="1:8" x14ac:dyDescent="0.35">
      <c r="A934" s="90" t="e">
        <f>VLOOKUP(E934,'Validation List'!F935:G1330,2,FALSE)</f>
        <v>#N/A</v>
      </c>
      <c r="B934" s="90" t="e">
        <f>INDEX('NEW HIRE ROSTER'!$G:$G,MATCH(RAW!F934,'NEW HIRE ROSTER'!$A:$A,0))</f>
        <v>#N/A</v>
      </c>
      <c r="C934" s="90" t="e">
        <f>INDEX('NEW HIRE ROSTER'!$F:$F,MATCH(RAW!F934,'NEW HIRE ROSTER'!$A:$A,0))</f>
        <v>#N/A</v>
      </c>
      <c r="D934" s="90" t="e">
        <f>INDEX('Validation List'!$H:$H,MATCH(RAW!E934,'Validation List'!$F:$F,0))</f>
        <v>#N/A</v>
      </c>
      <c r="G934" s="90" t="e">
        <f>VLOOKUP(F934,ML!C918:D1516,2,FALSE)</f>
        <v>#N/A</v>
      </c>
      <c r="H934" s="90" t="e">
        <f>VLOOKUP(F934,ML!C918:E1516,3,FALSE)</f>
        <v>#N/A</v>
      </c>
    </row>
    <row r="935" spans="1:8" x14ac:dyDescent="0.35">
      <c r="A935" s="90" t="e">
        <f>VLOOKUP(E935,'Validation List'!F936:G1331,2,FALSE)</f>
        <v>#N/A</v>
      </c>
      <c r="B935" s="90" t="e">
        <f>INDEX('NEW HIRE ROSTER'!$G:$G,MATCH(RAW!F935,'NEW HIRE ROSTER'!$A:$A,0))</f>
        <v>#N/A</v>
      </c>
      <c r="C935" s="90" t="e">
        <f>INDEX('NEW HIRE ROSTER'!$F:$F,MATCH(RAW!F935,'NEW HIRE ROSTER'!$A:$A,0))</f>
        <v>#N/A</v>
      </c>
      <c r="D935" s="90" t="e">
        <f>INDEX('Validation List'!$H:$H,MATCH(RAW!E935,'Validation List'!$F:$F,0))</f>
        <v>#N/A</v>
      </c>
      <c r="G935" s="90" t="e">
        <f>VLOOKUP(F935,ML!C919:D1517,2,FALSE)</f>
        <v>#N/A</v>
      </c>
      <c r="H935" s="90" t="e">
        <f>VLOOKUP(F935,ML!C919:E1517,3,FALSE)</f>
        <v>#N/A</v>
      </c>
    </row>
    <row r="936" spans="1:8" x14ac:dyDescent="0.35">
      <c r="A936" s="90" t="e">
        <f>VLOOKUP(E936,'Validation List'!F937:G1332,2,FALSE)</f>
        <v>#N/A</v>
      </c>
      <c r="B936" s="90" t="e">
        <f>INDEX('NEW HIRE ROSTER'!$G:$G,MATCH(RAW!F936,'NEW HIRE ROSTER'!$A:$A,0))</f>
        <v>#N/A</v>
      </c>
      <c r="C936" s="90" t="e">
        <f>INDEX('NEW HIRE ROSTER'!$F:$F,MATCH(RAW!F936,'NEW HIRE ROSTER'!$A:$A,0))</f>
        <v>#N/A</v>
      </c>
      <c r="D936" s="90" t="e">
        <f>INDEX('Validation List'!$H:$H,MATCH(RAW!E936,'Validation List'!$F:$F,0))</f>
        <v>#N/A</v>
      </c>
      <c r="G936" s="90" t="e">
        <f>VLOOKUP(F936,ML!C920:D1518,2,FALSE)</f>
        <v>#N/A</v>
      </c>
      <c r="H936" s="90" t="e">
        <f>VLOOKUP(F936,ML!C920:E1518,3,FALSE)</f>
        <v>#N/A</v>
      </c>
    </row>
    <row r="937" spans="1:8" x14ac:dyDescent="0.35">
      <c r="A937" s="90" t="e">
        <f>VLOOKUP(E937,'Validation List'!F938:G1333,2,FALSE)</f>
        <v>#N/A</v>
      </c>
      <c r="B937" s="90" t="e">
        <f>INDEX('NEW HIRE ROSTER'!$G:$G,MATCH(RAW!F937,'NEW HIRE ROSTER'!$A:$A,0))</f>
        <v>#N/A</v>
      </c>
      <c r="C937" s="90" t="e">
        <f>INDEX('NEW HIRE ROSTER'!$F:$F,MATCH(RAW!F937,'NEW HIRE ROSTER'!$A:$A,0))</f>
        <v>#N/A</v>
      </c>
      <c r="D937" s="90" t="e">
        <f>INDEX('Validation List'!$H:$H,MATCH(RAW!E937,'Validation List'!$F:$F,0))</f>
        <v>#N/A</v>
      </c>
      <c r="G937" s="90" t="e">
        <f>VLOOKUP(F937,ML!C921:D1519,2,FALSE)</f>
        <v>#N/A</v>
      </c>
      <c r="H937" s="90" t="e">
        <f>VLOOKUP(F937,ML!C921:E1519,3,FALSE)</f>
        <v>#N/A</v>
      </c>
    </row>
    <row r="938" spans="1:8" x14ac:dyDescent="0.35">
      <c r="A938" s="90" t="e">
        <f>VLOOKUP(E938,'Validation List'!F939:G1334,2,FALSE)</f>
        <v>#N/A</v>
      </c>
      <c r="B938" s="90" t="e">
        <f>INDEX('NEW HIRE ROSTER'!$G:$G,MATCH(RAW!F938,'NEW HIRE ROSTER'!$A:$A,0))</f>
        <v>#N/A</v>
      </c>
      <c r="C938" s="90" t="e">
        <f>INDEX('NEW HIRE ROSTER'!$F:$F,MATCH(RAW!F938,'NEW HIRE ROSTER'!$A:$A,0))</f>
        <v>#N/A</v>
      </c>
      <c r="D938" s="90" t="e">
        <f>INDEX('Validation List'!$H:$H,MATCH(RAW!E938,'Validation List'!$F:$F,0))</f>
        <v>#N/A</v>
      </c>
      <c r="G938" s="90" t="e">
        <f>VLOOKUP(F938,ML!C922:D1520,2,FALSE)</f>
        <v>#N/A</v>
      </c>
      <c r="H938" s="90" t="e">
        <f>VLOOKUP(F938,ML!C922:E1520,3,FALSE)</f>
        <v>#N/A</v>
      </c>
    </row>
    <row r="939" spans="1:8" x14ac:dyDescent="0.35">
      <c r="A939" s="90" t="e">
        <f>VLOOKUP(E939,'Validation List'!F940:G1335,2,FALSE)</f>
        <v>#N/A</v>
      </c>
      <c r="B939" s="90" t="e">
        <f>INDEX('NEW HIRE ROSTER'!$G:$G,MATCH(RAW!F939,'NEW HIRE ROSTER'!$A:$A,0))</f>
        <v>#N/A</v>
      </c>
      <c r="C939" s="90" t="e">
        <f>INDEX('NEW HIRE ROSTER'!$F:$F,MATCH(RAW!F939,'NEW HIRE ROSTER'!$A:$A,0))</f>
        <v>#N/A</v>
      </c>
      <c r="D939" s="90" t="e">
        <f>INDEX('Validation List'!$H:$H,MATCH(RAW!E939,'Validation List'!$F:$F,0))</f>
        <v>#N/A</v>
      </c>
      <c r="G939" s="90" t="e">
        <f>VLOOKUP(F939,ML!C923:D1521,2,FALSE)</f>
        <v>#N/A</v>
      </c>
      <c r="H939" s="90" t="e">
        <f>VLOOKUP(F939,ML!C923:E1521,3,FALSE)</f>
        <v>#N/A</v>
      </c>
    </row>
    <row r="940" spans="1:8" x14ac:dyDescent="0.35">
      <c r="A940" s="90" t="e">
        <f>VLOOKUP(E940,'Validation List'!F941:G1336,2,FALSE)</f>
        <v>#N/A</v>
      </c>
      <c r="B940" s="90" t="e">
        <f>INDEX('NEW HIRE ROSTER'!$G:$G,MATCH(RAW!F940,'NEW HIRE ROSTER'!$A:$A,0))</f>
        <v>#N/A</v>
      </c>
      <c r="C940" s="90" t="e">
        <f>INDEX('NEW HIRE ROSTER'!$F:$F,MATCH(RAW!F940,'NEW HIRE ROSTER'!$A:$A,0))</f>
        <v>#N/A</v>
      </c>
      <c r="D940" s="90" t="e">
        <f>INDEX('Validation List'!$H:$H,MATCH(RAW!E940,'Validation List'!$F:$F,0))</f>
        <v>#N/A</v>
      </c>
      <c r="G940" s="90" t="e">
        <f>VLOOKUP(F940,ML!C924:D1522,2,FALSE)</f>
        <v>#N/A</v>
      </c>
      <c r="H940" s="90" t="e">
        <f>VLOOKUP(F940,ML!C924:E1522,3,FALSE)</f>
        <v>#N/A</v>
      </c>
    </row>
    <row r="941" spans="1:8" x14ac:dyDescent="0.35">
      <c r="A941" s="90" t="e">
        <f>VLOOKUP(E941,'Validation List'!F942:G1337,2,FALSE)</f>
        <v>#N/A</v>
      </c>
      <c r="B941" s="90" t="e">
        <f>INDEX('NEW HIRE ROSTER'!$G:$G,MATCH(RAW!F941,'NEW HIRE ROSTER'!$A:$A,0))</f>
        <v>#N/A</v>
      </c>
      <c r="C941" s="90" t="e">
        <f>INDEX('NEW HIRE ROSTER'!$F:$F,MATCH(RAW!F941,'NEW HIRE ROSTER'!$A:$A,0))</f>
        <v>#N/A</v>
      </c>
      <c r="D941" s="90" t="e">
        <f>INDEX('Validation List'!$H:$H,MATCH(RAW!E941,'Validation List'!$F:$F,0))</f>
        <v>#N/A</v>
      </c>
      <c r="G941" s="90" t="e">
        <f>VLOOKUP(F941,ML!C925:D1523,2,FALSE)</f>
        <v>#N/A</v>
      </c>
      <c r="H941" s="90" t="e">
        <f>VLOOKUP(F941,ML!C925:E1523,3,FALSE)</f>
        <v>#N/A</v>
      </c>
    </row>
    <row r="942" spans="1:8" x14ac:dyDescent="0.35">
      <c r="A942" s="90" t="e">
        <f>VLOOKUP(E942,'Validation List'!F943:G1338,2,FALSE)</f>
        <v>#N/A</v>
      </c>
      <c r="B942" s="90" t="e">
        <f>INDEX('NEW HIRE ROSTER'!$G:$G,MATCH(RAW!F942,'NEW HIRE ROSTER'!$A:$A,0))</f>
        <v>#N/A</v>
      </c>
      <c r="C942" s="90" t="e">
        <f>INDEX('NEW HIRE ROSTER'!$F:$F,MATCH(RAW!F942,'NEW HIRE ROSTER'!$A:$A,0))</f>
        <v>#N/A</v>
      </c>
      <c r="D942" s="90" t="e">
        <f>INDEX('Validation List'!$H:$H,MATCH(RAW!E942,'Validation List'!$F:$F,0))</f>
        <v>#N/A</v>
      </c>
      <c r="G942" s="90" t="e">
        <f>VLOOKUP(F942,ML!C926:D1524,2,FALSE)</f>
        <v>#N/A</v>
      </c>
      <c r="H942" s="90" t="e">
        <f>VLOOKUP(F942,ML!C926:E1524,3,FALSE)</f>
        <v>#N/A</v>
      </c>
    </row>
    <row r="943" spans="1:8" x14ac:dyDescent="0.35">
      <c r="A943" s="90" t="e">
        <f>VLOOKUP(E943,'Validation List'!F944:G1339,2,FALSE)</f>
        <v>#N/A</v>
      </c>
      <c r="B943" s="90" t="e">
        <f>INDEX('NEW HIRE ROSTER'!$G:$G,MATCH(RAW!F943,'NEW HIRE ROSTER'!$A:$A,0))</f>
        <v>#N/A</v>
      </c>
      <c r="C943" s="90" t="e">
        <f>INDEX('NEW HIRE ROSTER'!$F:$F,MATCH(RAW!F943,'NEW HIRE ROSTER'!$A:$A,0))</f>
        <v>#N/A</v>
      </c>
      <c r="D943" s="90" t="e">
        <f>INDEX('Validation List'!$H:$H,MATCH(RAW!E943,'Validation List'!$F:$F,0))</f>
        <v>#N/A</v>
      </c>
      <c r="G943" s="90" t="e">
        <f>VLOOKUP(F943,ML!C927:D1525,2,FALSE)</f>
        <v>#N/A</v>
      </c>
      <c r="H943" s="90" t="e">
        <f>VLOOKUP(F943,ML!C927:E1525,3,FALSE)</f>
        <v>#N/A</v>
      </c>
    </row>
    <row r="944" spans="1:8" x14ac:dyDescent="0.35">
      <c r="A944" s="90" t="e">
        <f>VLOOKUP(E944,'Validation List'!F945:G1340,2,FALSE)</f>
        <v>#N/A</v>
      </c>
      <c r="B944" s="90" t="e">
        <f>INDEX('NEW HIRE ROSTER'!$G:$G,MATCH(RAW!F944,'NEW HIRE ROSTER'!$A:$A,0))</f>
        <v>#N/A</v>
      </c>
      <c r="C944" s="90" t="e">
        <f>INDEX('NEW HIRE ROSTER'!$F:$F,MATCH(RAW!F944,'NEW HIRE ROSTER'!$A:$A,0))</f>
        <v>#N/A</v>
      </c>
      <c r="D944" s="90" t="e">
        <f>INDEX('Validation List'!$H:$H,MATCH(RAW!E944,'Validation List'!$F:$F,0))</f>
        <v>#N/A</v>
      </c>
      <c r="G944" s="90" t="e">
        <f>VLOOKUP(F944,ML!C928:D1526,2,FALSE)</f>
        <v>#N/A</v>
      </c>
      <c r="H944" s="90" t="e">
        <f>VLOOKUP(F944,ML!C928:E1526,3,FALSE)</f>
        <v>#N/A</v>
      </c>
    </row>
    <row r="945" spans="1:8" x14ac:dyDescent="0.35">
      <c r="A945" s="90" t="e">
        <f>VLOOKUP(E945,'Validation List'!F946:G1341,2,FALSE)</f>
        <v>#N/A</v>
      </c>
      <c r="B945" s="90" t="e">
        <f>INDEX('NEW HIRE ROSTER'!$G:$G,MATCH(RAW!F945,'NEW HIRE ROSTER'!$A:$A,0))</f>
        <v>#N/A</v>
      </c>
      <c r="C945" s="90" t="e">
        <f>INDEX('NEW HIRE ROSTER'!$F:$F,MATCH(RAW!F945,'NEW HIRE ROSTER'!$A:$A,0))</f>
        <v>#N/A</v>
      </c>
      <c r="D945" s="90" t="e">
        <f>INDEX('Validation List'!$H:$H,MATCH(RAW!E945,'Validation List'!$F:$F,0))</f>
        <v>#N/A</v>
      </c>
      <c r="G945" s="90" t="e">
        <f>VLOOKUP(F945,ML!C929:D1527,2,FALSE)</f>
        <v>#N/A</v>
      </c>
      <c r="H945" s="90" t="e">
        <f>VLOOKUP(F945,ML!C929:E1527,3,FALSE)</f>
        <v>#N/A</v>
      </c>
    </row>
    <row r="946" spans="1:8" x14ac:dyDescent="0.35">
      <c r="A946" s="90" t="e">
        <f>VLOOKUP(E946,'Validation List'!F947:G1342,2,FALSE)</f>
        <v>#N/A</v>
      </c>
      <c r="B946" s="90" t="e">
        <f>INDEX('NEW HIRE ROSTER'!$G:$G,MATCH(RAW!F946,'NEW HIRE ROSTER'!$A:$A,0))</f>
        <v>#N/A</v>
      </c>
      <c r="C946" s="90" t="e">
        <f>INDEX('NEW HIRE ROSTER'!$F:$F,MATCH(RAW!F946,'NEW HIRE ROSTER'!$A:$A,0))</f>
        <v>#N/A</v>
      </c>
      <c r="D946" s="90" t="e">
        <f>INDEX('Validation List'!$H:$H,MATCH(RAW!E946,'Validation List'!$F:$F,0))</f>
        <v>#N/A</v>
      </c>
      <c r="G946" s="90" t="e">
        <f>VLOOKUP(F946,ML!C930:D1528,2,FALSE)</f>
        <v>#N/A</v>
      </c>
      <c r="H946" s="90" t="e">
        <f>VLOOKUP(F946,ML!C930:E1528,3,FALSE)</f>
        <v>#N/A</v>
      </c>
    </row>
    <row r="947" spans="1:8" x14ac:dyDescent="0.35">
      <c r="A947" s="90" t="e">
        <f>VLOOKUP(E947,'Validation List'!F948:G1343,2,FALSE)</f>
        <v>#N/A</v>
      </c>
      <c r="B947" s="90" t="e">
        <f>INDEX('NEW HIRE ROSTER'!$G:$G,MATCH(RAW!F947,'NEW HIRE ROSTER'!$A:$A,0))</f>
        <v>#N/A</v>
      </c>
      <c r="C947" s="90" t="e">
        <f>INDEX('NEW HIRE ROSTER'!$F:$F,MATCH(RAW!F947,'NEW HIRE ROSTER'!$A:$A,0))</f>
        <v>#N/A</v>
      </c>
      <c r="D947" s="90" t="e">
        <f>INDEX('Validation List'!$H:$H,MATCH(RAW!E947,'Validation List'!$F:$F,0))</f>
        <v>#N/A</v>
      </c>
      <c r="G947" s="90" t="e">
        <f>VLOOKUP(F947,ML!C931:D1529,2,FALSE)</f>
        <v>#N/A</v>
      </c>
      <c r="H947" s="90" t="e">
        <f>VLOOKUP(F947,ML!C931:E1529,3,FALSE)</f>
        <v>#N/A</v>
      </c>
    </row>
    <row r="948" spans="1:8" x14ac:dyDescent="0.35">
      <c r="A948" s="90" t="e">
        <f>VLOOKUP(E948,'Validation List'!F949:G1344,2,FALSE)</f>
        <v>#N/A</v>
      </c>
      <c r="B948" s="90" t="e">
        <f>INDEX('NEW HIRE ROSTER'!$G:$G,MATCH(RAW!F948,'NEW HIRE ROSTER'!$A:$A,0))</f>
        <v>#N/A</v>
      </c>
      <c r="C948" s="90" t="e">
        <f>INDEX('NEW HIRE ROSTER'!$F:$F,MATCH(RAW!F948,'NEW HIRE ROSTER'!$A:$A,0))</f>
        <v>#N/A</v>
      </c>
      <c r="D948" s="90" t="e">
        <f>INDEX('Validation List'!$H:$H,MATCH(RAW!E948,'Validation List'!$F:$F,0))</f>
        <v>#N/A</v>
      </c>
      <c r="G948" s="90" t="e">
        <f>VLOOKUP(F948,ML!C932:D1530,2,FALSE)</f>
        <v>#N/A</v>
      </c>
      <c r="H948" s="90" t="e">
        <f>VLOOKUP(F948,ML!C932:E1530,3,FALSE)</f>
        <v>#N/A</v>
      </c>
    </row>
    <row r="949" spans="1:8" x14ac:dyDescent="0.35">
      <c r="A949" s="90" t="e">
        <f>VLOOKUP(E949,'Validation List'!F950:G1345,2,FALSE)</f>
        <v>#N/A</v>
      </c>
      <c r="B949" s="90" t="e">
        <f>INDEX('NEW HIRE ROSTER'!$G:$G,MATCH(RAW!F949,'NEW HIRE ROSTER'!$A:$A,0))</f>
        <v>#N/A</v>
      </c>
      <c r="C949" s="90" t="e">
        <f>INDEX('NEW HIRE ROSTER'!$F:$F,MATCH(RAW!F949,'NEW HIRE ROSTER'!$A:$A,0))</f>
        <v>#N/A</v>
      </c>
      <c r="D949" s="90" t="e">
        <f>INDEX('Validation List'!$H:$H,MATCH(RAW!E949,'Validation List'!$F:$F,0))</f>
        <v>#N/A</v>
      </c>
      <c r="G949" s="90" t="e">
        <f>VLOOKUP(F949,ML!C933:D1531,2,FALSE)</f>
        <v>#N/A</v>
      </c>
      <c r="H949" s="90" t="e">
        <f>VLOOKUP(F949,ML!C933:E1531,3,FALSE)</f>
        <v>#N/A</v>
      </c>
    </row>
    <row r="950" spans="1:8" x14ac:dyDescent="0.35">
      <c r="A950" s="90" t="e">
        <f>VLOOKUP(E950,'Validation List'!F951:G1346,2,FALSE)</f>
        <v>#N/A</v>
      </c>
      <c r="B950" s="90" t="e">
        <f>INDEX('NEW HIRE ROSTER'!$G:$G,MATCH(RAW!F950,'NEW HIRE ROSTER'!$A:$A,0))</f>
        <v>#N/A</v>
      </c>
      <c r="C950" s="90" t="e">
        <f>INDEX('NEW HIRE ROSTER'!$F:$F,MATCH(RAW!F950,'NEW HIRE ROSTER'!$A:$A,0))</f>
        <v>#N/A</v>
      </c>
      <c r="D950" s="90" t="e">
        <f>INDEX('Validation List'!$H:$H,MATCH(RAW!E950,'Validation List'!$F:$F,0))</f>
        <v>#N/A</v>
      </c>
      <c r="G950" s="90" t="e">
        <f>VLOOKUP(F950,ML!C934:D1532,2,FALSE)</f>
        <v>#N/A</v>
      </c>
      <c r="H950" s="90" t="e">
        <f>VLOOKUP(F950,ML!C934:E1532,3,FALSE)</f>
        <v>#N/A</v>
      </c>
    </row>
    <row r="951" spans="1:8" x14ac:dyDescent="0.35">
      <c r="A951" s="90" t="e">
        <f>VLOOKUP(E951,'Validation List'!F952:G1347,2,FALSE)</f>
        <v>#N/A</v>
      </c>
      <c r="B951" s="90" t="e">
        <f>INDEX('NEW HIRE ROSTER'!$G:$G,MATCH(RAW!F951,'NEW HIRE ROSTER'!$A:$A,0))</f>
        <v>#N/A</v>
      </c>
      <c r="C951" s="90" t="e">
        <f>INDEX('NEW HIRE ROSTER'!$F:$F,MATCH(RAW!F951,'NEW HIRE ROSTER'!$A:$A,0))</f>
        <v>#N/A</v>
      </c>
      <c r="D951" s="90" t="e">
        <f>INDEX('Validation List'!$H:$H,MATCH(RAW!E951,'Validation List'!$F:$F,0))</f>
        <v>#N/A</v>
      </c>
      <c r="G951" s="90" t="e">
        <f>VLOOKUP(F951,ML!C935:D1533,2,FALSE)</f>
        <v>#N/A</v>
      </c>
      <c r="H951" s="90" t="e">
        <f>VLOOKUP(F951,ML!C935:E1533,3,FALSE)</f>
        <v>#N/A</v>
      </c>
    </row>
    <row r="952" spans="1:8" x14ac:dyDescent="0.35">
      <c r="A952" s="90" t="e">
        <f>VLOOKUP(E952,'Validation List'!F953:G1348,2,FALSE)</f>
        <v>#N/A</v>
      </c>
      <c r="B952" s="90" t="e">
        <f>INDEX('NEW HIRE ROSTER'!$G:$G,MATCH(RAW!F952,'NEW HIRE ROSTER'!$A:$A,0))</f>
        <v>#N/A</v>
      </c>
      <c r="C952" s="90" t="e">
        <f>INDEX('NEW HIRE ROSTER'!$F:$F,MATCH(RAW!F952,'NEW HIRE ROSTER'!$A:$A,0))</f>
        <v>#N/A</v>
      </c>
      <c r="D952" s="90" t="e">
        <f>INDEX('Validation List'!$H:$H,MATCH(RAW!E952,'Validation List'!$F:$F,0))</f>
        <v>#N/A</v>
      </c>
      <c r="G952" s="90" t="e">
        <f>VLOOKUP(F952,ML!C936:D1534,2,FALSE)</f>
        <v>#N/A</v>
      </c>
      <c r="H952" s="90" t="e">
        <f>VLOOKUP(F952,ML!C936:E1534,3,FALSE)</f>
        <v>#N/A</v>
      </c>
    </row>
    <row r="953" spans="1:8" x14ac:dyDescent="0.35">
      <c r="A953" s="90" t="e">
        <f>VLOOKUP(E953,'Validation List'!F954:G1349,2,FALSE)</f>
        <v>#N/A</v>
      </c>
      <c r="B953" s="90" t="e">
        <f>INDEX('NEW HIRE ROSTER'!$G:$G,MATCH(RAW!F953,'NEW HIRE ROSTER'!$A:$A,0))</f>
        <v>#N/A</v>
      </c>
      <c r="C953" s="90" t="e">
        <f>INDEX('NEW HIRE ROSTER'!$F:$F,MATCH(RAW!F953,'NEW HIRE ROSTER'!$A:$A,0))</f>
        <v>#N/A</v>
      </c>
      <c r="D953" s="90" t="e">
        <f>INDEX('Validation List'!$H:$H,MATCH(RAW!E953,'Validation List'!$F:$F,0))</f>
        <v>#N/A</v>
      </c>
      <c r="G953" s="90" t="e">
        <f>VLOOKUP(F953,ML!C937:D1535,2,FALSE)</f>
        <v>#N/A</v>
      </c>
      <c r="H953" s="90" t="e">
        <f>VLOOKUP(F953,ML!C937:E1535,3,FALSE)</f>
        <v>#N/A</v>
      </c>
    </row>
    <row r="954" spans="1:8" x14ac:dyDescent="0.35">
      <c r="A954" s="90" t="e">
        <f>VLOOKUP(E954,'Validation List'!F955:G1350,2,FALSE)</f>
        <v>#N/A</v>
      </c>
      <c r="B954" s="90" t="e">
        <f>INDEX('NEW HIRE ROSTER'!$G:$G,MATCH(RAW!F954,'NEW HIRE ROSTER'!$A:$A,0))</f>
        <v>#N/A</v>
      </c>
      <c r="C954" s="90" t="e">
        <f>INDEX('NEW HIRE ROSTER'!$F:$F,MATCH(RAW!F954,'NEW HIRE ROSTER'!$A:$A,0))</f>
        <v>#N/A</v>
      </c>
      <c r="D954" s="90" t="e">
        <f>INDEX('Validation List'!$H:$H,MATCH(RAW!E954,'Validation List'!$F:$F,0))</f>
        <v>#N/A</v>
      </c>
      <c r="G954" s="90" t="e">
        <f>VLOOKUP(F954,ML!C938:D1536,2,FALSE)</f>
        <v>#N/A</v>
      </c>
      <c r="H954" s="90" t="e">
        <f>VLOOKUP(F954,ML!C938:E1536,3,FALSE)</f>
        <v>#N/A</v>
      </c>
    </row>
    <row r="955" spans="1:8" x14ac:dyDescent="0.35">
      <c r="A955" s="90" t="e">
        <f>VLOOKUP(E955,'Validation List'!F956:G1351,2,FALSE)</f>
        <v>#N/A</v>
      </c>
      <c r="B955" s="90" t="e">
        <f>INDEX('NEW HIRE ROSTER'!$G:$G,MATCH(RAW!F955,'NEW HIRE ROSTER'!$A:$A,0))</f>
        <v>#N/A</v>
      </c>
      <c r="C955" s="90" t="e">
        <f>INDEX('NEW HIRE ROSTER'!$F:$F,MATCH(RAW!F955,'NEW HIRE ROSTER'!$A:$A,0))</f>
        <v>#N/A</v>
      </c>
      <c r="D955" s="90" t="e">
        <f>INDEX('Validation List'!$H:$H,MATCH(RAW!E955,'Validation List'!$F:$F,0))</f>
        <v>#N/A</v>
      </c>
      <c r="G955" s="90" t="e">
        <f>VLOOKUP(F955,ML!C939:D1537,2,FALSE)</f>
        <v>#N/A</v>
      </c>
      <c r="H955" s="90" t="e">
        <f>VLOOKUP(F955,ML!C939:E1537,3,FALSE)</f>
        <v>#N/A</v>
      </c>
    </row>
    <row r="956" spans="1:8" x14ac:dyDescent="0.35">
      <c r="A956" s="90" t="e">
        <f>VLOOKUP(E956,'Validation List'!F957:G1352,2,FALSE)</f>
        <v>#N/A</v>
      </c>
      <c r="B956" s="90" t="e">
        <f>INDEX('NEW HIRE ROSTER'!$G:$G,MATCH(RAW!F956,'NEW HIRE ROSTER'!$A:$A,0))</f>
        <v>#N/A</v>
      </c>
      <c r="C956" s="90" t="e">
        <f>INDEX('NEW HIRE ROSTER'!$F:$F,MATCH(RAW!F956,'NEW HIRE ROSTER'!$A:$A,0))</f>
        <v>#N/A</v>
      </c>
      <c r="D956" s="90" t="e">
        <f>INDEX('Validation List'!$H:$H,MATCH(RAW!E956,'Validation List'!$F:$F,0))</f>
        <v>#N/A</v>
      </c>
      <c r="G956" s="90" t="e">
        <f>VLOOKUP(F956,ML!C940:D1538,2,FALSE)</f>
        <v>#N/A</v>
      </c>
      <c r="H956" s="90" t="e">
        <f>VLOOKUP(F956,ML!C940:E1538,3,FALSE)</f>
        <v>#N/A</v>
      </c>
    </row>
    <row r="957" spans="1:8" x14ac:dyDescent="0.35">
      <c r="A957" s="90" t="e">
        <f>VLOOKUP(E957,'Validation List'!F958:G1353,2,FALSE)</f>
        <v>#N/A</v>
      </c>
      <c r="B957" s="90" t="e">
        <f>INDEX('NEW HIRE ROSTER'!$G:$G,MATCH(RAW!F957,'NEW HIRE ROSTER'!$A:$A,0))</f>
        <v>#N/A</v>
      </c>
      <c r="C957" s="90" t="e">
        <f>INDEX('NEW HIRE ROSTER'!$F:$F,MATCH(RAW!F957,'NEW HIRE ROSTER'!$A:$A,0))</f>
        <v>#N/A</v>
      </c>
      <c r="D957" s="90" t="e">
        <f>INDEX('Validation List'!$H:$H,MATCH(RAW!E957,'Validation List'!$F:$F,0))</f>
        <v>#N/A</v>
      </c>
      <c r="G957" s="90" t="e">
        <f>VLOOKUP(F957,ML!C941:D1539,2,FALSE)</f>
        <v>#N/A</v>
      </c>
      <c r="H957" s="90" t="e">
        <f>VLOOKUP(F957,ML!C941:E1539,3,FALSE)</f>
        <v>#N/A</v>
      </c>
    </row>
    <row r="958" spans="1:8" x14ac:dyDescent="0.35">
      <c r="A958" s="90" t="e">
        <f>VLOOKUP(E958,'Validation List'!F959:G1354,2,FALSE)</f>
        <v>#N/A</v>
      </c>
      <c r="B958" s="90" t="e">
        <f>INDEX('NEW HIRE ROSTER'!$G:$G,MATCH(RAW!F958,'NEW HIRE ROSTER'!$A:$A,0))</f>
        <v>#N/A</v>
      </c>
      <c r="C958" s="90" t="e">
        <f>INDEX('NEW HIRE ROSTER'!$F:$F,MATCH(RAW!F958,'NEW HIRE ROSTER'!$A:$A,0))</f>
        <v>#N/A</v>
      </c>
      <c r="D958" s="90" t="e">
        <f>INDEX('Validation List'!$H:$H,MATCH(RAW!E958,'Validation List'!$F:$F,0))</f>
        <v>#N/A</v>
      </c>
      <c r="G958" s="90" t="e">
        <f>VLOOKUP(F958,ML!C942:D1540,2,FALSE)</f>
        <v>#N/A</v>
      </c>
      <c r="H958" s="90" t="e">
        <f>VLOOKUP(F958,ML!C942:E1540,3,FALSE)</f>
        <v>#N/A</v>
      </c>
    </row>
    <row r="959" spans="1:8" x14ac:dyDescent="0.35">
      <c r="A959" s="90" t="e">
        <f>VLOOKUP(E959,'Validation List'!F960:G1355,2,FALSE)</f>
        <v>#N/A</v>
      </c>
      <c r="B959" s="90" t="e">
        <f>INDEX('NEW HIRE ROSTER'!$G:$G,MATCH(RAW!F959,'NEW HIRE ROSTER'!$A:$A,0))</f>
        <v>#N/A</v>
      </c>
      <c r="C959" s="90" t="e">
        <f>INDEX('NEW HIRE ROSTER'!$F:$F,MATCH(RAW!F959,'NEW HIRE ROSTER'!$A:$A,0))</f>
        <v>#N/A</v>
      </c>
      <c r="D959" s="90" t="e">
        <f>INDEX('Validation List'!$H:$H,MATCH(RAW!E959,'Validation List'!$F:$F,0))</f>
        <v>#N/A</v>
      </c>
      <c r="G959" s="90" t="e">
        <f>VLOOKUP(F959,ML!C943:D1541,2,FALSE)</f>
        <v>#N/A</v>
      </c>
      <c r="H959" s="90" t="e">
        <f>VLOOKUP(F959,ML!C943:E1541,3,FALSE)</f>
        <v>#N/A</v>
      </c>
    </row>
    <row r="960" spans="1:8" x14ac:dyDescent="0.35">
      <c r="A960" s="90" t="e">
        <f>VLOOKUP(E960,'Validation List'!F961:G1356,2,FALSE)</f>
        <v>#N/A</v>
      </c>
      <c r="B960" s="90" t="e">
        <f>INDEX('NEW HIRE ROSTER'!$G:$G,MATCH(RAW!F960,'NEW HIRE ROSTER'!$A:$A,0))</f>
        <v>#N/A</v>
      </c>
      <c r="C960" s="90" t="e">
        <f>INDEX('NEW HIRE ROSTER'!$F:$F,MATCH(RAW!F960,'NEW HIRE ROSTER'!$A:$A,0))</f>
        <v>#N/A</v>
      </c>
      <c r="D960" s="90" t="e">
        <f>INDEX('Validation List'!$H:$H,MATCH(RAW!E960,'Validation List'!$F:$F,0))</f>
        <v>#N/A</v>
      </c>
      <c r="G960" s="90" t="e">
        <f>VLOOKUP(F960,ML!C944:D1542,2,FALSE)</f>
        <v>#N/A</v>
      </c>
      <c r="H960" s="90" t="e">
        <f>VLOOKUP(F960,ML!C944:E1542,3,FALSE)</f>
        <v>#N/A</v>
      </c>
    </row>
    <row r="961" spans="1:8" x14ac:dyDescent="0.35">
      <c r="A961" s="90" t="e">
        <f>VLOOKUP(E961,'Validation List'!F962:G1357,2,FALSE)</f>
        <v>#N/A</v>
      </c>
      <c r="B961" s="90" t="e">
        <f>INDEX('NEW HIRE ROSTER'!$G:$G,MATCH(RAW!F961,'NEW HIRE ROSTER'!$A:$A,0))</f>
        <v>#N/A</v>
      </c>
      <c r="C961" s="90" t="e">
        <f>INDEX('NEW HIRE ROSTER'!$F:$F,MATCH(RAW!F961,'NEW HIRE ROSTER'!$A:$A,0))</f>
        <v>#N/A</v>
      </c>
      <c r="D961" s="90" t="e">
        <f>INDEX('Validation List'!$H:$H,MATCH(RAW!E961,'Validation List'!$F:$F,0))</f>
        <v>#N/A</v>
      </c>
      <c r="G961" s="90" t="e">
        <f>VLOOKUP(F961,ML!C945:D1543,2,FALSE)</f>
        <v>#N/A</v>
      </c>
      <c r="H961" s="90" t="e">
        <f>VLOOKUP(F961,ML!C945:E1543,3,FALSE)</f>
        <v>#N/A</v>
      </c>
    </row>
    <row r="962" spans="1:8" x14ac:dyDescent="0.35">
      <c r="A962" s="90" t="e">
        <f>VLOOKUP(E962,'Validation List'!F963:G1358,2,FALSE)</f>
        <v>#N/A</v>
      </c>
      <c r="B962" s="90" t="e">
        <f>INDEX('NEW HIRE ROSTER'!$G:$G,MATCH(RAW!F962,'NEW HIRE ROSTER'!$A:$A,0))</f>
        <v>#N/A</v>
      </c>
      <c r="C962" s="90" t="e">
        <f>INDEX('NEW HIRE ROSTER'!$F:$F,MATCH(RAW!F962,'NEW HIRE ROSTER'!$A:$A,0))</f>
        <v>#N/A</v>
      </c>
      <c r="D962" s="90" t="e">
        <f>INDEX('Validation List'!$H:$H,MATCH(RAW!E962,'Validation List'!$F:$F,0))</f>
        <v>#N/A</v>
      </c>
      <c r="G962" s="90" t="e">
        <f>VLOOKUP(F962,ML!C946:D1544,2,FALSE)</f>
        <v>#N/A</v>
      </c>
      <c r="H962" s="90" t="e">
        <f>VLOOKUP(F962,ML!C946:E1544,3,FALSE)</f>
        <v>#N/A</v>
      </c>
    </row>
    <row r="963" spans="1:8" x14ac:dyDescent="0.35">
      <c r="A963" s="90" t="e">
        <f>VLOOKUP(E963,'Validation List'!F964:G1359,2,FALSE)</f>
        <v>#N/A</v>
      </c>
      <c r="B963" s="90" t="e">
        <f>INDEX('NEW HIRE ROSTER'!$G:$G,MATCH(RAW!F963,'NEW HIRE ROSTER'!$A:$A,0))</f>
        <v>#N/A</v>
      </c>
      <c r="C963" s="90" t="e">
        <f>INDEX('NEW HIRE ROSTER'!$F:$F,MATCH(RAW!F963,'NEW HIRE ROSTER'!$A:$A,0))</f>
        <v>#N/A</v>
      </c>
      <c r="D963" s="90" t="e">
        <f>INDEX('Validation List'!$H:$H,MATCH(RAW!E963,'Validation List'!$F:$F,0))</f>
        <v>#N/A</v>
      </c>
      <c r="G963" s="90" t="e">
        <f>VLOOKUP(F963,ML!C947:D1545,2,FALSE)</f>
        <v>#N/A</v>
      </c>
      <c r="H963" s="90" t="e">
        <f>VLOOKUP(F963,ML!C947:E1545,3,FALSE)</f>
        <v>#N/A</v>
      </c>
    </row>
    <row r="964" spans="1:8" x14ac:dyDescent="0.35">
      <c r="A964" s="90" t="e">
        <f>VLOOKUP(E964,'Validation List'!F965:G1360,2,FALSE)</f>
        <v>#N/A</v>
      </c>
      <c r="B964" s="90" t="e">
        <f>INDEX('NEW HIRE ROSTER'!$G:$G,MATCH(RAW!F964,'NEW HIRE ROSTER'!$A:$A,0))</f>
        <v>#N/A</v>
      </c>
      <c r="C964" s="90" t="e">
        <f>INDEX('NEW HIRE ROSTER'!$F:$F,MATCH(RAW!F964,'NEW HIRE ROSTER'!$A:$A,0))</f>
        <v>#N/A</v>
      </c>
      <c r="D964" s="90" t="e">
        <f>INDEX('Validation List'!$H:$H,MATCH(RAW!E964,'Validation List'!$F:$F,0))</f>
        <v>#N/A</v>
      </c>
      <c r="G964" s="90" t="e">
        <f>VLOOKUP(F964,ML!C948:D1546,2,FALSE)</f>
        <v>#N/A</v>
      </c>
      <c r="H964" s="90" t="e">
        <f>VLOOKUP(F964,ML!C948:E1546,3,FALSE)</f>
        <v>#N/A</v>
      </c>
    </row>
    <row r="965" spans="1:8" x14ac:dyDescent="0.35">
      <c r="A965" s="90" t="e">
        <f>VLOOKUP(E965,'Validation List'!F966:G1361,2,FALSE)</f>
        <v>#N/A</v>
      </c>
      <c r="B965" s="90" t="e">
        <f>INDEX('NEW HIRE ROSTER'!$G:$G,MATCH(RAW!F965,'NEW HIRE ROSTER'!$A:$A,0))</f>
        <v>#N/A</v>
      </c>
      <c r="C965" s="90" t="e">
        <f>INDEX('NEW HIRE ROSTER'!$F:$F,MATCH(RAW!F965,'NEW HIRE ROSTER'!$A:$A,0))</f>
        <v>#N/A</v>
      </c>
      <c r="D965" s="90" t="e">
        <f>INDEX('Validation List'!$H:$H,MATCH(RAW!E965,'Validation List'!$F:$F,0))</f>
        <v>#N/A</v>
      </c>
      <c r="G965" s="90" t="e">
        <f>VLOOKUP(F965,ML!C949:D1547,2,FALSE)</f>
        <v>#N/A</v>
      </c>
      <c r="H965" s="90" t="e">
        <f>VLOOKUP(F965,ML!C949:E1547,3,FALSE)</f>
        <v>#N/A</v>
      </c>
    </row>
    <row r="966" spans="1:8" x14ac:dyDescent="0.35">
      <c r="A966" s="90" t="e">
        <f>VLOOKUP(E966,'Validation List'!F967:G1362,2,FALSE)</f>
        <v>#N/A</v>
      </c>
      <c r="B966" s="90" t="e">
        <f>INDEX('NEW HIRE ROSTER'!$G:$G,MATCH(RAW!F966,'NEW HIRE ROSTER'!$A:$A,0))</f>
        <v>#N/A</v>
      </c>
      <c r="C966" s="90" t="e">
        <f>INDEX('NEW HIRE ROSTER'!$F:$F,MATCH(RAW!F966,'NEW HIRE ROSTER'!$A:$A,0))</f>
        <v>#N/A</v>
      </c>
      <c r="D966" s="90" t="e">
        <f>INDEX('Validation List'!$H:$H,MATCH(RAW!E966,'Validation List'!$F:$F,0))</f>
        <v>#N/A</v>
      </c>
      <c r="G966" s="90" t="e">
        <f>VLOOKUP(F966,ML!C950:D1548,2,FALSE)</f>
        <v>#N/A</v>
      </c>
      <c r="H966" s="90" t="e">
        <f>VLOOKUP(F966,ML!C950:E1548,3,FALSE)</f>
        <v>#N/A</v>
      </c>
    </row>
    <row r="967" spans="1:8" x14ac:dyDescent="0.35">
      <c r="A967" s="90" t="e">
        <f>VLOOKUP(E967,'Validation List'!F968:G1363,2,FALSE)</f>
        <v>#N/A</v>
      </c>
      <c r="B967" s="90" t="e">
        <f>INDEX('NEW HIRE ROSTER'!$G:$G,MATCH(RAW!F967,'NEW HIRE ROSTER'!$A:$A,0))</f>
        <v>#N/A</v>
      </c>
      <c r="C967" s="90" t="e">
        <f>INDEX('NEW HIRE ROSTER'!$F:$F,MATCH(RAW!F967,'NEW HIRE ROSTER'!$A:$A,0))</f>
        <v>#N/A</v>
      </c>
      <c r="D967" s="90" t="e">
        <f>INDEX('Validation List'!$H:$H,MATCH(RAW!E967,'Validation List'!$F:$F,0))</f>
        <v>#N/A</v>
      </c>
      <c r="G967" s="90" t="e">
        <f>VLOOKUP(F967,ML!C951:D1549,2,FALSE)</f>
        <v>#N/A</v>
      </c>
      <c r="H967" s="90" t="e">
        <f>VLOOKUP(F967,ML!C951:E1549,3,FALSE)</f>
        <v>#N/A</v>
      </c>
    </row>
    <row r="968" spans="1:8" x14ac:dyDescent="0.35">
      <c r="A968" s="90" t="e">
        <f>VLOOKUP(E968,'Validation List'!F969:G1364,2,FALSE)</f>
        <v>#N/A</v>
      </c>
      <c r="B968" s="90" t="e">
        <f>INDEX('NEW HIRE ROSTER'!$G:$G,MATCH(RAW!F968,'NEW HIRE ROSTER'!$A:$A,0))</f>
        <v>#N/A</v>
      </c>
      <c r="C968" s="90" t="e">
        <f>INDEX('NEW HIRE ROSTER'!$F:$F,MATCH(RAW!F968,'NEW HIRE ROSTER'!$A:$A,0))</f>
        <v>#N/A</v>
      </c>
      <c r="D968" s="90" t="e">
        <f>INDEX('Validation List'!$H:$H,MATCH(RAW!E968,'Validation List'!$F:$F,0))</f>
        <v>#N/A</v>
      </c>
      <c r="G968" s="90" t="e">
        <f>VLOOKUP(F968,ML!C952:D1550,2,FALSE)</f>
        <v>#N/A</v>
      </c>
      <c r="H968" s="90" t="e">
        <f>VLOOKUP(F968,ML!C952:E1550,3,FALSE)</f>
        <v>#N/A</v>
      </c>
    </row>
    <row r="969" spans="1:8" x14ac:dyDescent="0.35">
      <c r="A969" s="90" t="e">
        <f>VLOOKUP(E969,'Validation List'!F970:G1365,2,FALSE)</f>
        <v>#N/A</v>
      </c>
      <c r="B969" s="90" t="e">
        <f>INDEX('NEW HIRE ROSTER'!$G:$G,MATCH(RAW!F969,'NEW HIRE ROSTER'!$A:$A,0))</f>
        <v>#N/A</v>
      </c>
      <c r="C969" s="90" t="e">
        <f>INDEX('NEW HIRE ROSTER'!$F:$F,MATCH(RAW!F969,'NEW HIRE ROSTER'!$A:$A,0))</f>
        <v>#N/A</v>
      </c>
      <c r="D969" s="90" t="e">
        <f>INDEX('Validation List'!$H:$H,MATCH(RAW!E969,'Validation List'!$F:$F,0))</f>
        <v>#N/A</v>
      </c>
      <c r="G969" s="90" t="e">
        <f>VLOOKUP(F969,ML!C953:D1551,2,FALSE)</f>
        <v>#N/A</v>
      </c>
      <c r="H969" s="90" t="e">
        <f>VLOOKUP(F969,ML!C953:E1551,3,FALSE)</f>
        <v>#N/A</v>
      </c>
    </row>
    <row r="970" spans="1:8" x14ac:dyDescent="0.35">
      <c r="A970" s="90" t="e">
        <f>VLOOKUP(E970,'Validation List'!F971:G1366,2,FALSE)</f>
        <v>#N/A</v>
      </c>
      <c r="B970" s="90" t="e">
        <f>INDEX('NEW HIRE ROSTER'!$G:$G,MATCH(RAW!F970,'NEW HIRE ROSTER'!$A:$A,0))</f>
        <v>#N/A</v>
      </c>
      <c r="C970" s="90" t="e">
        <f>INDEX('NEW HIRE ROSTER'!$F:$F,MATCH(RAW!F970,'NEW HIRE ROSTER'!$A:$A,0))</f>
        <v>#N/A</v>
      </c>
      <c r="D970" s="90" t="e">
        <f>INDEX('Validation List'!$H:$H,MATCH(RAW!E970,'Validation List'!$F:$F,0))</f>
        <v>#N/A</v>
      </c>
      <c r="G970" s="90" t="e">
        <f>VLOOKUP(F970,ML!C954:D1552,2,FALSE)</f>
        <v>#N/A</v>
      </c>
      <c r="H970" s="90" t="e">
        <f>VLOOKUP(F970,ML!C954:E1552,3,FALSE)</f>
        <v>#N/A</v>
      </c>
    </row>
    <row r="971" spans="1:8" x14ac:dyDescent="0.35">
      <c r="A971" s="90" t="e">
        <f>VLOOKUP(E971,'Validation List'!F972:G1367,2,FALSE)</f>
        <v>#N/A</v>
      </c>
      <c r="B971" s="90" t="e">
        <f>INDEX('NEW HIRE ROSTER'!$G:$G,MATCH(RAW!F971,'NEW HIRE ROSTER'!$A:$A,0))</f>
        <v>#N/A</v>
      </c>
      <c r="C971" s="90" t="e">
        <f>INDEX('NEW HIRE ROSTER'!$F:$F,MATCH(RAW!F971,'NEW HIRE ROSTER'!$A:$A,0))</f>
        <v>#N/A</v>
      </c>
      <c r="D971" s="90" t="e">
        <f>INDEX('Validation List'!$H:$H,MATCH(RAW!E971,'Validation List'!$F:$F,0))</f>
        <v>#N/A</v>
      </c>
      <c r="G971" s="90" t="e">
        <f>VLOOKUP(F971,ML!C955:D1553,2,FALSE)</f>
        <v>#N/A</v>
      </c>
      <c r="H971" s="90" t="e">
        <f>VLOOKUP(F971,ML!C955:E1553,3,FALSE)</f>
        <v>#N/A</v>
      </c>
    </row>
    <row r="972" spans="1:8" x14ac:dyDescent="0.35">
      <c r="A972" s="90" t="e">
        <f>VLOOKUP(E972,'Validation List'!F973:G1368,2,FALSE)</f>
        <v>#N/A</v>
      </c>
      <c r="B972" s="90" t="e">
        <f>INDEX('NEW HIRE ROSTER'!$G:$G,MATCH(RAW!F972,'NEW HIRE ROSTER'!$A:$A,0))</f>
        <v>#N/A</v>
      </c>
      <c r="C972" s="90" t="e">
        <f>INDEX('NEW HIRE ROSTER'!$F:$F,MATCH(RAW!F972,'NEW HIRE ROSTER'!$A:$A,0))</f>
        <v>#N/A</v>
      </c>
      <c r="D972" s="90" t="e">
        <f>INDEX('Validation List'!$H:$H,MATCH(RAW!E972,'Validation List'!$F:$F,0))</f>
        <v>#N/A</v>
      </c>
      <c r="G972" s="90" t="e">
        <f>VLOOKUP(F972,ML!C956:D1554,2,FALSE)</f>
        <v>#N/A</v>
      </c>
      <c r="H972" s="90" t="e">
        <f>VLOOKUP(F972,ML!C956:E1554,3,FALSE)</f>
        <v>#N/A</v>
      </c>
    </row>
    <row r="973" spans="1:8" x14ac:dyDescent="0.35">
      <c r="A973" s="90" t="e">
        <f>VLOOKUP(E973,'Validation List'!F974:G1369,2,FALSE)</f>
        <v>#N/A</v>
      </c>
      <c r="B973" s="90" t="e">
        <f>INDEX('NEW HIRE ROSTER'!$G:$G,MATCH(RAW!F973,'NEW HIRE ROSTER'!$A:$A,0))</f>
        <v>#N/A</v>
      </c>
      <c r="C973" s="90" t="e">
        <f>INDEX('NEW HIRE ROSTER'!$F:$F,MATCH(RAW!F973,'NEW HIRE ROSTER'!$A:$A,0))</f>
        <v>#N/A</v>
      </c>
      <c r="D973" s="90" t="e">
        <f>INDEX('Validation List'!$H:$H,MATCH(RAW!E973,'Validation List'!$F:$F,0))</f>
        <v>#N/A</v>
      </c>
      <c r="G973" s="90" t="e">
        <f>VLOOKUP(F973,ML!C957:D1555,2,FALSE)</f>
        <v>#N/A</v>
      </c>
      <c r="H973" s="90" t="e">
        <f>VLOOKUP(F973,ML!C957:E1555,3,FALSE)</f>
        <v>#N/A</v>
      </c>
    </row>
    <row r="974" spans="1:8" x14ac:dyDescent="0.35">
      <c r="A974" s="90" t="e">
        <f>VLOOKUP(E974,'Validation List'!F975:G1370,2,FALSE)</f>
        <v>#N/A</v>
      </c>
      <c r="B974" s="90" t="e">
        <f>INDEX('NEW HIRE ROSTER'!$G:$G,MATCH(RAW!F974,'NEW HIRE ROSTER'!$A:$A,0))</f>
        <v>#N/A</v>
      </c>
      <c r="C974" s="90" t="e">
        <f>INDEX('NEW HIRE ROSTER'!$F:$F,MATCH(RAW!F974,'NEW HIRE ROSTER'!$A:$A,0))</f>
        <v>#N/A</v>
      </c>
      <c r="D974" s="90" t="e">
        <f>INDEX('Validation List'!$H:$H,MATCH(RAW!E974,'Validation List'!$F:$F,0))</f>
        <v>#N/A</v>
      </c>
      <c r="G974" s="90" t="e">
        <f>VLOOKUP(F974,ML!C958:D1556,2,FALSE)</f>
        <v>#N/A</v>
      </c>
      <c r="H974" s="90" t="e">
        <f>VLOOKUP(F974,ML!C958:E1556,3,FALSE)</f>
        <v>#N/A</v>
      </c>
    </row>
    <row r="975" spans="1:8" x14ac:dyDescent="0.35">
      <c r="A975" s="90" t="e">
        <f>VLOOKUP(E975,'Validation List'!F976:G1371,2,FALSE)</f>
        <v>#N/A</v>
      </c>
      <c r="B975" s="90" t="e">
        <f>INDEX('NEW HIRE ROSTER'!$G:$G,MATCH(RAW!F975,'NEW HIRE ROSTER'!$A:$A,0))</f>
        <v>#N/A</v>
      </c>
      <c r="C975" s="90" t="e">
        <f>INDEX('NEW HIRE ROSTER'!$F:$F,MATCH(RAW!F975,'NEW HIRE ROSTER'!$A:$A,0))</f>
        <v>#N/A</v>
      </c>
      <c r="D975" s="90" t="e">
        <f>INDEX('Validation List'!$H:$H,MATCH(RAW!E975,'Validation List'!$F:$F,0))</f>
        <v>#N/A</v>
      </c>
      <c r="G975" s="90" t="e">
        <f>VLOOKUP(F975,ML!C959:D1557,2,FALSE)</f>
        <v>#N/A</v>
      </c>
      <c r="H975" s="90" t="e">
        <f>VLOOKUP(F975,ML!C959:E1557,3,FALSE)</f>
        <v>#N/A</v>
      </c>
    </row>
    <row r="976" spans="1:8" x14ac:dyDescent="0.35">
      <c r="A976" s="90" t="e">
        <f>VLOOKUP(E976,'Validation List'!F977:G1372,2,FALSE)</f>
        <v>#N/A</v>
      </c>
      <c r="B976" s="90" t="e">
        <f>INDEX('NEW HIRE ROSTER'!$G:$G,MATCH(RAW!F976,'NEW HIRE ROSTER'!$A:$A,0))</f>
        <v>#N/A</v>
      </c>
      <c r="C976" s="90" t="e">
        <f>INDEX('NEW HIRE ROSTER'!$F:$F,MATCH(RAW!F976,'NEW HIRE ROSTER'!$A:$A,0))</f>
        <v>#N/A</v>
      </c>
      <c r="D976" s="90" t="e">
        <f>INDEX('Validation List'!$H:$H,MATCH(RAW!E976,'Validation List'!$F:$F,0))</f>
        <v>#N/A</v>
      </c>
      <c r="G976" s="90" t="e">
        <f>VLOOKUP(F976,ML!C960:D1558,2,FALSE)</f>
        <v>#N/A</v>
      </c>
      <c r="H976" s="90" t="e">
        <f>VLOOKUP(F976,ML!C960:E1558,3,FALSE)</f>
        <v>#N/A</v>
      </c>
    </row>
    <row r="977" spans="1:8" x14ac:dyDescent="0.35">
      <c r="A977" s="90" t="e">
        <f>VLOOKUP(E977,'Validation List'!F978:G1373,2,FALSE)</f>
        <v>#N/A</v>
      </c>
      <c r="B977" s="90" t="e">
        <f>INDEX('NEW HIRE ROSTER'!$G:$G,MATCH(RAW!F977,'NEW HIRE ROSTER'!$A:$A,0))</f>
        <v>#N/A</v>
      </c>
      <c r="C977" s="90" t="e">
        <f>INDEX('NEW HIRE ROSTER'!$F:$F,MATCH(RAW!F977,'NEW HIRE ROSTER'!$A:$A,0))</f>
        <v>#N/A</v>
      </c>
      <c r="D977" s="90" t="e">
        <f>INDEX('Validation List'!$H:$H,MATCH(RAW!E977,'Validation List'!$F:$F,0))</f>
        <v>#N/A</v>
      </c>
      <c r="G977" s="90" t="e">
        <f>VLOOKUP(F977,ML!C961:D1559,2,FALSE)</f>
        <v>#N/A</v>
      </c>
      <c r="H977" s="90" t="e">
        <f>VLOOKUP(F977,ML!C961:E1559,3,FALSE)</f>
        <v>#N/A</v>
      </c>
    </row>
    <row r="978" spans="1:8" x14ac:dyDescent="0.35">
      <c r="A978" s="90" t="e">
        <f>VLOOKUP(E978,'Validation List'!F979:G1374,2,FALSE)</f>
        <v>#N/A</v>
      </c>
      <c r="B978" s="90" t="e">
        <f>INDEX('NEW HIRE ROSTER'!$G:$G,MATCH(RAW!F978,'NEW HIRE ROSTER'!$A:$A,0))</f>
        <v>#N/A</v>
      </c>
      <c r="C978" s="90" t="e">
        <f>INDEX('NEW HIRE ROSTER'!$F:$F,MATCH(RAW!F978,'NEW HIRE ROSTER'!$A:$A,0))</f>
        <v>#N/A</v>
      </c>
      <c r="D978" s="90" t="e">
        <f>INDEX('Validation List'!$H:$H,MATCH(RAW!E978,'Validation List'!$F:$F,0))</f>
        <v>#N/A</v>
      </c>
      <c r="G978" s="90" t="e">
        <f>VLOOKUP(F978,ML!C962:D1560,2,FALSE)</f>
        <v>#N/A</v>
      </c>
      <c r="H978" s="90" t="e">
        <f>VLOOKUP(F978,ML!C962:E1560,3,FALSE)</f>
        <v>#N/A</v>
      </c>
    </row>
    <row r="979" spans="1:8" x14ac:dyDescent="0.35">
      <c r="A979" s="90" t="e">
        <f>VLOOKUP(E979,'Validation List'!F980:G1375,2,FALSE)</f>
        <v>#N/A</v>
      </c>
      <c r="B979" s="90" t="e">
        <f>INDEX('NEW HIRE ROSTER'!$G:$G,MATCH(RAW!F979,'NEW HIRE ROSTER'!$A:$A,0))</f>
        <v>#N/A</v>
      </c>
      <c r="C979" s="90" t="e">
        <f>INDEX('NEW HIRE ROSTER'!$F:$F,MATCH(RAW!F979,'NEW HIRE ROSTER'!$A:$A,0))</f>
        <v>#N/A</v>
      </c>
      <c r="D979" s="90" t="e">
        <f>INDEX('Validation List'!$H:$H,MATCH(RAW!E979,'Validation List'!$F:$F,0))</f>
        <v>#N/A</v>
      </c>
      <c r="G979" s="90" t="e">
        <f>VLOOKUP(F979,ML!C963:D1561,2,FALSE)</f>
        <v>#N/A</v>
      </c>
      <c r="H979" s="90" t="e">
        <f>VLOOKUP(F979,ML!C963:E1561,3,FALSE)</f>
        <v>#N/A</v>
      </c>
    </row>
    <row r="980" spans="1:8" x14ac:dyDescent="0.35">
      <c r="A980" s="90" t="e">
        <f>VLOOKUP(E980,'Validation List'!F981:G1376,2,FALSE)</f>
        <v>#N/A</v>
      </c>
      <c r="B980" s="90" t="e">
        <f>INDEX('NEW HIRE ROSTER'!$G:$G,MATCH(RAW!F980,'NEW HIRE ROSTER'!$A:$A,0))</f>
        <v>#N/A</v>
      </c>
      <c r="C980" s="90" t="e">
        <f>INDEX('NEW HIRE ROSTER'!$F:$F,MATCH(RAW!F980,'NEW HIRE ROSTER'!$A:$A,0))</f>
        <v>#N/A</v>
      </c>
      <c r="D980" s="90" t="e">
        <f>INDEX('Validation List'!$H:$H,MATCH(RAW!E980,'Validation List'!$F:$F,0))</f>
        <v>#N/A</v>
      </c>
      <c r="G980" s="90" t="e">
        <f>VLOOKUP(F980,ML!C964:D1562,2,FALSE)</f>
        <v>#N/A</v>
      </c>
      <c r="H980" s="90" t="e">
        <f>VLOOKUP(F980,ML!C964:E1562,3,FALSE)</f>
        <v>#N/A</v>
      </c>
    </row>
    <row r="981" spans="1:8" x14ac:dyDescent="0.35">
      <c r="A981" s="90" t="e">
        <f>VLOOKUP(E981,'Validation List'!F982:G1377,2,FALSE)</f>
        <v>#N/A</v>
      </c>
      <c r="B981" s="90" t="e">
        <f>INDEX('NEW HIRE ROSTER'!$G:$G,MATCH(RAW!F981,'NEW HIRE ROSTER'!$A:$A,0))</f>
        <v>#N/A</v>
      </c>
      <c r="C981" s="90" t="e">
        <f>INDEX('NEW HIRE ROSTER'!$F:$F,MATCH(RAW!F981,'NEW HIRE ROSTER'!$A:$A,0))</f>
        <v>#N/A</v>
      </c>
      <c r="D981" s="90" t="e">
        <f>INDEX('Validation List'!$H:$H,MATCH(RAW!E981,'Validation List'!$F:$F,0))</f>
        <v>#N/A</v>
      </c>
      <c r="G981" s="90" t="e">
        <f>VLOOKUP(F981,ML!C965:D1563,2,FALSE)</f>
        <v>#N/A</v>
      </c>
      <c r="H981" s="90" t="e">
        <f>VLOOKUP(F981,ML!C965:E1563,3,FALSE)</f>
        <v>#N/A</v>
      </c>
    </row>
    <row r="982" spans="1:8" x14ac:dyDescent="0.35">
      <c r="A982" s="90" t="e">
        <f>VLOOKUP(E982,'Validation List'!F983:G1378,2,FALSE)</f>
        <v>#N/A</v>
      </c>
      <c r="B982" s="90" t="e">
        <f>INDEX('NEW HIRE ROSTER'!$G:$G,MATCH(RAW!F982,'NEW HIRE ROSTER'!$A:$A,0))</f>
        <v>#N/A</v>
      </c>
      <c r="C982" s="90" t="e">
        <f>INDEX('NEW HIRE ROSTER'!$F:$F,MATCH(RAW!F982,'NEW HIRE ROSTER'!$A:$A,0))</f>
        <v>#N/A</v>
      </c>
      <c r="D982" s="90" t="e">
        <f>INDEX('Validation List'!$H:$H,MATCH(RAW!E982,'Validation List'!$F:$F,0))</f>
        <v>#N/A</v>
      </c>
      <c r="G982" s="90" t="e">
        <f>VLOOKUP(F982,ML!C966:D1564,2,FALSE)</f>
        <v>#N/A</v>
      </c>
      <c r="H982" s="90" t="e">
        <f>VLOOKUP(F982,ML!C966:E1564,3,FALSE)</f>
        <v>#N/A</v>
      </c>
    </row>
    <row r="983" spans="1:8" x14ac:dyDescent="0.35">
      <c r="A983" s="90" t="e">
        <f>VLOOKUP(E983,'Validation List'!F984:G1379,2,FALSE)</f>
        <v>#N/A</v>
      </c>
      <c r="B983" s="90" t="e">
        <f>INDEX('NEW HIRE ROSTER'!$G:$G,MATCH(RAW!F983,'NEW HIRE ROSTER'!$A:$A,0))</f>
        <v>#N/A</v>
      </c>
      <c r="C983" s="90" t="e">
        <f>INDEX('NEW HIRE ROSTER'!$F:$F,MATCH(RAW!F983,'NEW HIRE ROSTER'!$A:$A,0))</f>
        <v>#N/A</v>
      </c>
      <c r="D983" s="90" t="e">
        <f>INDEX('Validation List'!$H:$H,MATCH(RAW!E983,'Validation List'!$F:$F,0))</f>
        <v>#N/A</v>
      </c>
      <c r="G983" s="90" t="e">
        <f>VLOOKUP(F983,ML!C967:D1565,2,FALSE)</f>
        <v>#N/A</v>
      </c>
      <c r="H983" s="90" t="e">
        <f>VLOOKUP(F983,ML!C967:E1565,3,FALSE)</f>
        <v>#N/A</v>
      </c>
    </row>
    <row r="984" spans="1:8" x14ac:dyDescent="0.35">
      <c r="A984" s="90" t="e">
        <f>VLOOKUP(E984,'Validation List'!F985:G1380,2,FALSE)</f>
        <v>#N/A</v>
      </c>
      <c r="B984" s="90" t="e">
        <f>INDEX('NEW HIRE ROSTER'!$G:$G,MATCH(RAW!F984,'NEW HIRE ROSTER'!$A:$A,0))</f>
        <v>#N/A</v>
      </c>
      <c r="C984" s="90" t="e">
        <f>INDEX('NEW HIRE ROSTER'!$F:$F,MATCH(RAW!F984,'NEW HIRE ROSTER'!$A:$A,0))</f>
        <v>#N/A</v>
      </c>
      <c r="D984" s="90" t="e">
        <f>INDEX('Validation List'!$H:$H,MATCH(RAW!E984,'Validation List'!$F:$F,0))</f>
        <v>#N/A</v>
      </c>
      <c r="G984" s="90" t="e">
        <f>VLOOKUP(F984,ML!C968:D1566,2,FALSE)</f>
        <v>#N/A</v>
      </c>
      <c r="H984" s="90" t="e">
        <f>VLOOKUP(F984,ML!C968:E1566,3,FALSE)</f>
        <v>#N/A</v>
      </c>
    </row>
    <row r="985" spans="1:8" x14ac:dyDescent="0.35">
      <c r="A985" s="90" t="e">
        <f>VLOOKUP(E985,'Validation List'!F986:G1381,2,FALSE)</f>
        <v>#N/A</v>
      </c>
      <c r="B985" s="90" t="e">
        <f>INDEX('NEW HIRE ROSTER'!$G:$G,MATCH(RAW!F985,'NEW HIRE ROSTER'!$A:$A,0))</f>
        <v>#N/A</v>
      </c>
      <c r="C985" s="90" t="e">
        <f>INDEX('NEW HIRE ROSTER'!$F:$F,MATCH(RAW!F985,'NEW HIRE ROSTER'!$A:$A,0))</f>
        <v>#N/A</v>
      </c>
      <c r="D985" s="90" t="e">
        <f>INDEX('Validation List'!$H:$H,MATCH(RAW!E985,'Validation List'!$F:$F,0))</f>
        <v>#N/A</v>
      </c>
      <c r="G985" s="90" t="e">
        <f>VLOOKUP(F985,ML!C969:D1567,2,FALSE)</f>
        <v>#N/A</v>
      </c>
      <c r="H985" s="90" t="e">
        <f>VLOOKUP(F985,ML!C969:E1567,3,FALSE)</f>
        <v>#N/A</v>
      </c>
    </row>
    <row r="986" spans="1:8" x14ac:dyDescent="0.35">
      <c r="A986" s="90" t="e">
        <f>VLOOKUP(E986,'Validation List'!F987:G1382,2,FALSE)</f>
        <v>#N/A</v>
      </c>
      <c r="B986" s="90" t="e">
        <f>INDEX('NEW HIRE ROSTER'!$G:$G,MATCH(RAW!F986,'NEW HIRE ROSTER'!$A:$A,0))</f>
        <v>#N/A</v>
      </c>
      <c r="C986" s="90" t="e">
        <f>INDEX('NEW HIRE ROSTER'!$F:$F,MATCH(RAW!F986,'NEW HIRE ROSTER'!$A:$A,0))</f>
        <v>#N/A</v>
      </c>
      <c r="D986" s="90" t="e">
        <f>INDEX('Validation List'!$H:$H,MATCH(RAW!E986,'Validation List'!$F:$F,0))</f>
        <v>#N/A</v>
      </c>
      <c r="G986" s="90" t="e">
        <f>VLOOKUP(F986,ML!C970:D1568,2,FALSE)</f>
        <v>#N/A</v>
      </c>
      <c r="H986" s="90" t="e">
        <f>VLOOKUP(F986,ML!C970:E1568,3,FALSE)</f>
        <v>#N/A</v>
      </c>
    </row>
    <row r="987" spans="1:8" x14ac:dyDescent="0.35">
      <c r="A987" s="90" t="e">
        <f>VLOOKUP(E987,'Validation List'!F988:G1383,2,FALSE)</f>
        <v>#N/A</v>
      </c>
      <c r="B987" s="90" t="e">
        <f>INDEX('NEW HIRE ROSTER'!$G:$G,MATCH(RAW!F987,'NEW HIRE ROSTER'!$A:$A,0))</f>
        <v>#N/A</v>
      </c>
      <c r="C987" s="90" t="e">
        <f>INDEX('NEW HIRE ROSTER'!$F:$F,MATCH(RAW!F987,'NEW HIRE ROSTER'!$A:$A,0))</f>
        <v>#N/A</v>
      </c>
      <c r="D987" s="90" t="e">
        <f>INDEX('Validation List'!$H:$H,MATCH(RAW!E987,'Validation List'!$F:$F,0))</f>
        <v>#N/A</v>
      </c>
      <c r="G987" s="90" t="e">
        <f>VLOOKUP(F987,ML!C971:D1569,2,FALSE)</f>
        <v>#N/A</v>
      </c>
      <c r="H987" s="90" t="e">
        <f>VLOOKUP(F987,ML!C971:E1569,3,FALSE)</f>
        <v>#N/A</v>
      </c>
    </row>
    <row r="988" spans="1:8" x14ac:dyDescent="0.35">
      <c r="A988" s="90" t="e">
        <f>VLOOKUP(E988,'Validation List'!F989:G1384,2,FALSE)</f>
        <v>#N/A</v>
      </c>
      <c r="B988" s="90" t="e">
        <f>INDEX('NEW HIRE ROSTER'!$G:$G,MATCH(RAW!F988,'NEW HIRE ROSTER'!$A:$A,0))</f>
        <v>#N/A</v>
      </c>
      <c r="C988" s="90" t="e">
        <f>INDEX('NEW HIRE ROSTER'!$F:$F,MATCH(RAW!F988,'NEW HIRE ROSTER'!$A:$A,0))</f>
        <v>#N/A</v>
      </c>
      <c r="D988" s="90" t="e">
        <f>INDEX('Validation List'!$H:$H,MATCH(RAW!E988,'Validation List'!$F:$F,0))</f>
        <v>#N/A</v>
      </c>
      <c r="G988" s="90" t="e">
        <f>VLOOKUP(F988,ML!C972:D1570,2,FALSE)</f>
        <v>#N/A</v>
      </c>
      <c r="H988" s="90" t="e">
        <f>VLOOKUP(F988,ML!C972:E1570,3,FALSE)</f>
        <v>#N/A</v>
      </c>
    </row>
    <row r="989" spans="1:8" x14ac:dyDescent="0.35">
      <c r="A989" s="90" t="e">
        <f>VLOOKUP(E989,'Validation List'!F990:G1385,2,FALSE)</f>
        <v>#N/A</v>
      </c>
      <c r="B989" s="90" t="e">
        <f>INDEX('NEW HIRE ROSTER'!$G:$G,MATCH(RAW!F989,'NEW HIRE ROSTER'!$A:$A,0))</f>
        <v>#N/A</v>
      </c>
      <c r="C989" s="90" t="e">
        <f>INDEX('NEW HIRE ROSTER'!$F:$F,MATCH(RAW!F989,'NEW HIRE ROSTER'!$A:$A,0))</f>
        <v>#N/A</v>
      </c>
      <c r="D989" s="90" t="e">
        <f>INDEX('Validation List'!$H:$H,MATCH(RAW!E989,'Validation List'!$F:$F,0))</f>
        <v>#N/A</v>
      </c>
      <c r="G989" s="90" t="e">
        <f>VLOOKUP(F989,ML!C973:D1571,2,FALSE)</f>
        <v>#N/A</v>
      </c>
      <c r="H989" s="90" t="e">
        <f>VLOOKUP(F989,ML!C973:E1571,3,FALSE)</f>
        <v>#N/A</v>
      </c>
    </row>
    <row r="990" spans="1:8" x14ac:dyDescent="0.35">
      <c r="A990" s="90" t="e">
        <f>VLOOKUP(E990,'Validation List'!F991:G1386,2,FALSE)</f>
        <v>#N/A</v>
      </c>
      <c r="B990" s="90" t="e">
        <f>INDEX('NEW HIRE ROSTER'!$G:$G,MATCH(RAW!F990,'NEW HIRE ROSTER'!$A:$A,0))</f>
        <v>#N/A</v>
      </c>
      <c r="C990" s="90" t="e">
        <f>INDEX('NEW HIRE ROSTER'!$F:$F,MATCH(RAW!F990,'NEW HIRE ROSTER'!$A:$A,0))</f>
        <v>#N/A</v>
      </c>
      <c r="D990" s="90" t="e">
        <f>INDEX('Validation List'!$H:$H,MATCH(RAW!E990,'Validation List'!$F:$F,0))</f>
        <v>#N/A</v>
      </c>
      <c r="G990" s="90" t="e">
        <f>VLOOKUP(F990,ML!C974:D1572,2,FALSE)</f>
        <v>#N/A</v>
      </c>
      <c r="H990" s="90" t="e">
        <f>VLOOKUP(F990,ML!C974:E1572,3,FALSE)</f>
        <v>#N/A</v>
      </c>
    </row>
    <row r="991" spans="1:8" x14ac:dyDescent="0.35">
      <c r="A991" s="90" t="e">
        <f>VLOOKUP(E991,'Validation List'!F992:G1387,2,FALSE)</f>
        <v>#N/A</v>
      </c>
      <c r="B991" s="90" t="e">
        <f>INDEX('NEW HIRE ROSTER'!$G:$G,MATCH(RAW!F991,'NEW HIRE ROSTER'!$A:$A,0))</f>
        <v>#N/A</v>
      </c>
      <c r="C991" s="90" t="e">
        <f>INDEX('NEW HIRE ROSTER'!$F:$F,MATCH(RAW!F991,'NEW HIRE ROSTER'!$A:$A,0))</f>
        <v>#N/A</v>
      </c>
      <c r="D991" s="90" t="e">
        <f>INDEX('Validation List'!$H:$H,MATCH(RAW!E991,'Validation List'!$F:$F,0))</f>
        <v>#N/A</v>
      </c>
      <c r="G991" s="90" t="e">
        <f>VLOOKUP(F991,ML!C975:D1573,2,FALSE)</f>
        <v>#N/A</v>
      </c>
      <c r="H991" s="90" t="e">
        <f>VLOOKUP(F991,ML!C975:E1573,3,FALSE)</f>
        <v>#N/A</v>
      </c>
    </row>
    <row r="992" spans="1:8" x14ac:dyDescent="0.35">
      <c r="A992" s="90" t="e">
        <f>VLOOKUP(E992,'Validation List'!F993:G1388,2,FALSE)</f>
        <v>#N/A</v>
      </c>
      <c r="B992" s="90" t="e">
        <f>INDEX('NEW HIRE ROSTER'!$G:$G,MATCH(RAW!F992,'NEW HIRE ROSTER'!$A:$A,0))</f>
        <v>#N/A</v>
      </c>
      <c r="C992" s="90" t="e">
        <f>INDEX('NEW HIRE ROSTER'!$F:$F,MATCH(RAW!F992,'NEW HIRE ROSTER'!$A:$A,0))</f>
        <v>#N/A</v>
      </c>
      <c r="D992" s="90" t="e">
        <f>INDEX('Validation List'!$H:$H,MATCH(RAW!E992,'Validation List'!$F:$F,0))</f>
        <v>#N/A</v>
      </c>
      <c r="G992" s="90" t="e">
        <f>VLOOKUP(F992,ML!C976:D1574,2,FALSE)</f>
        <v>#N/A</v>
      </c>
      <c r="H992" s="90" t="e">
        <f>VLOOKUP(F992,ML!C976:E1574,3,FALSE)</f>
        <v>#N/A</v>
      </c>
    </row>
    <row r="993" spans="1:8" x14ac:dyDescent="0.35">
      <c r="A993" s="90" t="e">
        <f>VLOOKUP(E993,'Validation List'!F994:G1389,2,FALSE)</f>
        <v>#N/A</v>
      </c>
      <c r="B993" s="90" t="e">
        <f>INDEX('NEW HIRE ROSTER'!$G:$G,MATCH(RAW!F993,'NEW HIRE ROSTER'!$A:$A,0))</f>
        <v>#N/A</v>
      </c>
      <c r="C993" s="90" t="e">
        <f>INDEX('NEW HIRE ROSTER'!$F:$F,MATCH(RAW!F993,'NEW HIRE ROSTER'!$A:$A,0))</f>
        <v>#N/A</v>
      </c>
      <c r="D993" s="90" t="e">
        <f>INDEX('Validation List'!$H:$H,MATCH(RAW!E993,'Validation List'!$F:$F,0))</f>
        <v>#N/A</v>
      </c>
      <c r="G993" s="90" t="e">
        <f>VLOOKUP(F993,ML!C977:D1575,2,FALSE)</f>
        <v>#N/A</v>
      </c>
      <c r="H993" s="90" t="e">
        <f>VLOOKUP(F993,ML!C977:E1575,3,FALSE)</f>
        <v>#N/A</v>
      </c>
    </row>
    <row r="994" spans="1:8" x14ac:dyDescent="0.35">
      <c r="A994" s="90" t="e">
        <f>VLOOKUP(E994,'Validation List'!F995:G1390,2,FALSE)</f>
        <v>#N/A</v>
      </c>
      <c r="B994" s="90" t="e">
        <f>INDEX('NEW HIRE ROSTER'!$G:$G,MATCH(RAW!F994,'NEW HIRE ROSTER'!$A:$A,0))</f>
        <v>#N/A</v>
      </c>
      <c r="C994" s="90" t="e">
        <f>INDEX('NEW HIRE ROSTER'!$F:$F,MATCH(RAW!F994,'NEW HIRE ROSTER'!$A:$A,0))</f>
        <v>#N/A</v>
      </c>
      <c r="D994" s="90" t="e">
        <f>INDEX('Validation List'!$H:$H,MATCH(RAW!E994,'Validation List'!$F:$F,0))</f>
        <v>#N/A</v>
      </c>
      <c r="G994" s="90" t="e">
        <f>VLOOKUP(F994,ML!C978:D1576,2,FALSE)</f>
        <v>#N/A</v>
      </c>
      <c r="H994" s="90" t="e">
        <f>VLOOKUP(F994,ML!C978:E1576,3,FALSE)</f>
        <v>#N/A</v>
      </c>
    </row>
    <row r="995" spans="1:8" x14ac:dyDescent="0.35">
      <c r="A995" s="90" t="e">
        <f>VLOOKUP(E995,'Validation List'!F996:G1391,2,FALSE)</f>
        <v>#N/A</v>
      </c>
      <c r="B995" s="90" t="e">
        <f>INDEX('NEW HIRE ROSTER'!$G:$G,MATCH(RAW!F995,'NEW HIRE ROSTER'!$A:$A,0))</f>
        <v>#N/A</v>
      </c>
      <c r="C995" s="90" t="e">
        <f>INDEX('NEW HIRE ROSTER'!$F:$F,MATCH(RAW!F995,'NEW HIRE ROSTER'!$A:$A,0))</f>
        <v>#N/A</v>
      </c>
      <c r="D995" s="90" t="e">
        <f>INDEX('Validation List'!$H:$H,MATCH(RAW!E995,'Validation List'!$F:$F,0))</f>
        <v>#N/A</v>
      </c>
      <c r="G995" s="90" t="e">
        <f>VLOOKUP(F995,ML!C979:D1577,2,FALSE)</f>
        <v>#N/A</v>
      </c>
      <c r="H995" s="90" t="e">
        <f>VLOOKUP(F995,ML!C979:E1577,3,FALSE)</f>
        <v>#N/A</v>
      </c>
    </row>
    <row r="996" spans="1:8" x14ac:dyDescent="0.35">
      <c r="A996" s="90" t="e">
        <f>VLOOKUP(E996,'Validation List'!F997:G1392,2,FALSE)</f>
        <v>#N/A</v>
      </c>
      <c r="B996" s="90" t="e">
        <f>INDEX('NEW HIRE ROSTER'!$G:$G,MATCH(RAW!F996,'NEW HIRE ROSTER'!$A:$A,0))</f>
        <v>#N/A</v>
      </c>
      <c r="C996" s="90" t="e">
        <f>INDEX('NEW HIRE ROSTER'!$F:$F,MATCH(RAW!F996,'NEW HIRE ROSTER'!$A:$A,0))</f>
        <v>#N/A</v>
      </c>
      <c r="D996" s="90" t="e">
        <f>INDEX('Validation List'!$H:$H,MATCH(RAW!E996,'Validation List'!$F:$F,0))</f>
        <v>#N/A</v>
      </c>
      <c r="G996" s="90" t="e">
        <f>VLOOKUP(F996,ML!C980:D1578,2,FALSE)</f>
        <v>#N/A</v>
      </c>
      <c r="H996" s="90" t="e">
        <f>VLOOKUP(F996,ML!C980:E1578,3,FALSE)</f>
        <v>#N/A</v>
      </c>
    </row>
    <row r="997" spans="1:8" x14ac:dyDescent="0.35">
      <c r="A997" s="90" t="e">
        <f>VLOOKUP(E997,'Validation List'!F998:G1393,2,FALSE)</f>
        <v>#N/A</v>
      </c>
      <c r="B997" s="90" t="e">
        <f>INDEX('NEW HIRE ROSTER'!$G:$G,MATCH(RAW!F997,'NEW HIRE ROSTER'!$A:$A,0))</f>
        <v>#N/A</v>
      </c>
      <c r="C997" s="90" t="e">
        <f>INDEX('NEW HIRE ROSTER'!$F:$F,MATCH(RAW!F997,'NEW HIRE ROSTER'!$A:$A,0))</f>
        <v>#N/A</v>
      </c>
      <c r="D997" s="90" t="e">
        <f>INDEX('Validation List'!$H:$H,MATCH(RAW!E997,'Validation List'!$F:$F,0))</f>
        <v>#N/A</v>
      </c>
      <c r="G997" s="90" t="e">
        <f>VLOOKUP(F997,ML!C981:D1579,2,FALSE)</f>
        <v>#N/A</v>
      </c>
      <c r="H997" s="90" t="e">
        <f>VLOOKUP(F997,ML!C981:E1579,3,FALSE)</f>
        <v>#N/A</v>
      </c>
    </row>
    <row r="998" spans="1:8" x14ac:dyDescent="0.35">
      <c r="A998" s="90" t="e">
        <f>VLOOKUP(E998,'Validation List'!F999:G1394,2,FALSE)</f>
        <v>#N/A</v>
      </c>
      <c r="B998" s="90" t="e">
        <f>INDEX('NEW HIRE ROSTER'!$G:$G,MATCH(RAW!F998,'NEW HIRE ROSTER'!$A:$A,0))</f>
        <v>#N/A</v>
      </c>
      <c r="C998" s="90" t="e">
        <f>INDEX('NEW HIRE ROSTER'!$F:$F,MATCH(RAW!F998,'NEW HIRE ROSTER'!$A:$A,0))</f>
        <v>#N/A</v>
      </c>
      <c r="D998" s="90" t="e">
        <f>INDEX('Validation List'!$H:$H,MATCH(RAW!E998,'Validation List'!$F:$F,0))</f>
        <v>#N/A</v>
      </c>
      <c r="G998" s="90" t="e">
        <f>VLOOKUP(F998,ML!C982:D1580,2,FALSE)</f>
        <v>#N/A</v>
      </c>
      <c r="H998" s="90" t="e">
        <f>VLOOKUP(F998,ML!C982:E1580,3,FALSE)</f>
        <v>#N/A</v>
      </c>
    </row>
    <row r="999" spans="1:8" x14ac:dyDescent="0.35">
      <c r="A999" s="90" t="e">
        <f>VLOOKUP(E999,'Validation List'!F1000:G1395,2,FALSE)</f>
        <v>#N/A</v>
      </c>
      <c r="B999" s="90" t="e">
        <f>INDEX('NEW HIRE ROSTER'!$G:$G,MATCH(RAW!F999,'NEW HIRE ROSTER'!$A:$A,0))</f>
        <v>#N/A</v>
      </c>
      <c r="C999" s="90" t="e">
        <f>INDEX('NEW HIRE ROSTER'!$F:$F,MATCH(RAW!F999,'NEW HIRE ROSTER'!$A:$A,0))</f>
        <v>#N/A</v>
      </c>
      <c r="D999" s="90" t="e">
        <f>INDEX('Validation List'!$H:$H,MATCH(RAW!E999,'Validation List'!$F:$F,0))</f>
        <v>#N/A</v>
      </c>
      <c r="G999" s="90" t="e">
        <f>VLOOKUP(F999,ML!C983:D1581,2,FALSE)</f>
        <v>#N/A</v>
      </c>
      <c r="H999" s="90" t="e">
        <f>VLOOKUP(F999,ML!C983:E1581,3,FALSE)</f>
        <v>#N/A</v>
      </c>
    </row>
    <row r="1000" spans="1:8" x14ac:dyDescent="0.35">
      <c r="A1000" s="90" t="e">
        <f>VLOOKUP(E1000,'Validation List'!F1001:G1396,2,FALSE)</f>
        <v>#N/A</v>
      </c>
      <c r="B1000" s="90" t="e">
        <f>INDEX('NEW HIRE ROSTER'!$G:$G,MATCH(RAW!F1000,'NEW HIRE ROSTER'!$A:$A,0))</f>
        <v>#N/A</v>
      </c>
      <c r="C1000" s="90" t="e">
        <f>INDEX('NEW HIRE ROSTER'!$F:$F,MATCH(RAW!F1000,'NEW HIRE ROSTER'!$A:$A,0))</f>
        <v>#N/A</v>
      </c>
      <c r="D1000" s="90" t="e">
        <f>INDEX('Validation List'!$H:$H,MATCH(RAW!E1000,'Validation List'!$F:$F,0))</f>
        <v>#N/A</v>
      </c>
      <c r="G1000" s="90" t="e">
        <f>VLOOKUP(F1000,ML!C984:D1582,2,FALSE)</f>
        <v>#N/A</v>
      </c>
      <c r="H1000" s="90" t="e">
        <f>VLOOKUP(F1000,ML!C984:E1582,3,FALSE)</f>
        <v>#N/A</v>
      </c>
    </row>
    <row r="1001" spans="1:8" x14ac:dyDescent="0.35">
      <c r="A1001" s="90" t="e">
        <f>VLOOKUP(E1001,'Validation List'!F1002:G1397,2,FALSE)</f>
        <v>#N/A</v>
      </c>
      <c r="B1001" s="90" t="e">
        <f>INDEX('NEW HIRE ROSTER'!$G:$G,MATCH(RAW!F1001,'NEW HIRE ROSTER'!$A:$A,0))</f>
        <v>#N/A</v>
      </c>
      <c r="C1001" s="90" t="e">
        <f>INDEX('NEW HIRE ROSTER'!$F:$F,MATCH(RAW!F1001,'NEW HIRE ROSTER'!$A:$A,0))</f>
        <v>#N/A</v>
      </c>
      <c r="D1001" s="90" t="e">
        <f>INDEX('Validation List'!$H:$H,MATCH(RAW!E1001,'Validation List'!$F:$F,0))</f>
        <v>#N/A</v>
      </c>
      <c r="G1001" s="90" t="e">
        <f>VLOOKUP(F1001,ML!C985:D1583,2,FALSE)</f>
        <v>#N/A</v>
      </c>
      <c r="H1001" s="90" t="e">
        <f>VLOOKUP(F1001,ML!C985:E1583,3,FALSE)</f>
        <v>#N/A</v>
      </c>
    </row>
    <row r="1002" spans="1:8" x14ac:dyDescent="0.35">
      <c r="A1002" s="90" t="e">
        <f>VLOOKUP(E1002,'Validation List'!F1003:G1398,2,FALSE)</f>
        <v>#N/A</v>
      </c>
      <c r="B1002" s="90" t="e">
        <f>INDEX('NEW HIRE ROSTER'!$G:$G,MATCH(RAW!F1002,'NEW HIRE ROSTER'!$A:$A,0))</f>
        <v>#N/A</v>
      </c>
      <c r="C1002" s="90" t="e">
        <f>INDEX('NEW HIRE ROSTER'!$F:$F,MATCH(RAW!F1002,'NEW HIRE ROSTER'!$A:$A,0))</f>
        <v>#N/A</v>
      </c>
      <c r="D1002" s="90" t="e">
        <f>INDEX('Validation List'!$H:$H,MATCH(RAW!E1002,'Validation List'!$F:$F,0))</f>
        <v>#N/A</v>
      </c>
      <c r="G1002" s="90" t="e">
        <f>VLOOKUP(F1002,ML!C986:D1584,2,FALSE)</f>
        <v>#N/A</v>
      </c>
      <c r="H1002" s="90" t="e">
        <f>VLOOKUP(F1002,ML!C986:E1584,3,FALSE)</f>
        <v>#N/A</v>
      </c>
    </row>
    <row r="1003" spans="1:8" x14ac:dyDescent="0.35">
      <c r="A1003" s="90" t="e">
        <f>VLOOKUP(E1003,'Validation List'!F1004:G1399,2,FALSE)</f>
        <v>#N/A</v>
      </c>
      <c r="B1003" s="90" t="e">
        <f>INDEX('NEW HIRE ROSTER'!$G:$G,MATCH(RAW!F1003,'NEW HIRE ROSTER'!$A:$A,0))</f>
        <v>#N/A</v>
      </c>
      <c r="C1003" s="90" t="e">
        <f>INDEX('NEW HIRE ROSTER'!$F:$F,MATCH(RAW!F1003,'NEW HIRE ROSTER'!$A:$A,0))</f>
        <v>#N/A</v>
      </c>
      <c r="D1003" s="90" t="e">
        <f>INDEX('Validation List'!$H:$H,MATCH(RAW!E1003,'Validation List'!$F:$F,0))</f>
        <v>#N/A</v>
      </c>
      <c r="G1003" s="90" t="e">
        <f>VLOOKUP(F1003,ML!C987:D1585,2,FALSE)</f>
        <v>#N/A</v>
      </c>
      <c r="H1003" s="90" t="e">
        <f>VLOOKUP(F1003,ML!C987:E1585,3,FALSE)</f>
        <v>#N/A</v>
      </c>
    </row>
    <row r="1004" spans="1:8" x14ac:dyDescent="0.35">
      <c r="A1004" s="90" t="e">
        <f>VLOOKUP(E1004,'Validation List'!F1005:G1400,2,FALSE)</f>
        <v>#N/A</v>
      </c>
      <c r="B1004" s="90" t="e">
        <f>INDEX('NEW HIRE ROSTER'!$G:$G,MATCH(RAW!F1004,'NEW HIRE ROSTER'!$A:$A,0))</f>
        <v>#N/A</v>
      </c>
      <c r="C1004" s="90" t="e">
        <f>INDEX('NEW HIRE ROSTER'!$F:$F,MATCH(RAW!F1004,'NEW HIRE ROSTER'!$A:$A,0))</f>
        <v>#N/A</v>
      </c>
      <c r="D1004" s="90" t="e">
        <f>INDEX('Validation List'!$H:$H,MATCH(RAW!E1004,'Validation List'!$F:$F,0))</f>
        <v>#N/A</v>
      </c>
      <c r="G1004" s="90" t="e">
        <f>VLOOKUP(F1004,ML!C988:D1586,2,FALSE)</f>
        <v>#N/A</v>
      </c>
      <c r="H1004" s="90" t="e">
        <f>VLOOKUP(F1004,ML!C988:E1586,3,FALSE)</f>
        <v>#N/A</v>
      </c>
    </row>
    <row r="1005" spans="1:8" x14ac:dyDescent="0.35">
      <c r="A1005" s="90" t="e">
        <f>VLOOKUP(E1005,'Validation List'!F1006:G1401,2,FALSE)</f>
        <v>#N/A</v>
      </c>
      <c r="B1005" s="90" t="e">
        <f>INDEX('NEW HIRE ROSTER'!$G:$G,MATCH(RAW!F1005,'NEW HIRE ROSTER'!$A:$A,0))</f>
        <v>#N/A</v>
      </c>
      <c r="C1005" s="90" t="e">
        <f>INDEX('NEW HIRE ROSTER'!$F:$F,MATCH(RAW!F1005,'NEW HIRE ROSTER'!$A:$A,0))</f>
        <v>#N/A</v>
      </c>
      <c r="D1005" s="90" t="e">
        <f>INDEX('Validation List'!$H:$H,MATCH(RAW!E1005,'Validation List'!$F:$F,0))</f>
        <v>#N/A</v>
      </c>
      <c r="G1005" s="90" t="e">
        <f>VLOOKUP(F1005,ML!C989:D1587,2,FALSE)</f>
        <v>#N/A</v>
      </c>
      <c r="H1005" s="90" t="e">
        <f>VLOOKUP(F1005,ML!C989:E1587,3,FALSE)</f>
        <v>#N/A</v>
      </c>
    </row>
    <row r="1006" spans="1:8" x14ac:dyDescent="0.35">
      <c r="A1006" s="90" t="e">
        <f>VLOOKUP(E1006,'Validation List'!F1007:G1402,2,FALSE)</f>
        <v>#N/A</v>
      </c>
      <c r="B1006" s="90" t="e">
        <f>INDEX('NEW HIRE ROSTER'!$G:$G,MATCH(RAW!F1006,'NEW HIRE ROSTER'!$A:$A,0))</f>
        <v>#N/A</v>
      </c>
      <c r="C1006" s="90" t="e">
        <f>INDEX('NEW HIRE ROSTER'!$F:$F,MATCH(RAW!F1006,'NEW HIRE ROSTER'!$A:$A,0))</f>
        <v>#N/A</v>
      </c>
      <c r="D1006" s="90" t="e">
        <f>INDEX('Validation List'!$H:$H,MATCH(RAW!E1006,'Validation List'!$F:$F,0))</f>
        <v>#N/A</v>
      </c>
      <c r="G1006" s="90" t="e">
        <f>VLOOKUP(F1006,ML!C990:D1588,2,FALSE)</f>
        <v>#N/A</v>
      </c>
      <c r="H1006" s="90" t="e">
        <f>VLOOKUP(F1006,ML!C990:E1588,3,FALSE)</f>
        <v>#N/A</v>
      </c>
    </row>
    <row r="1007" spans="1:8" x14ac:dyDescent="0.35">
      <c r="A1007" s="90" t="e">
        <f>VLOOKUP(E1007,'Validation List'!F1008:G1403,2,FALSE)</f>
        <v>#N/A</v>
      </c>
      <c r="B1007" s="90" t="e">
        <f>INDEX('NEW HIRE ROSTER'!$G:$G,MATCH(RAW!F1007,'NEW HIRE ROSTER'!$A:$A,0))</f>
        <v>#N/A</v>
      </c>
      <c r="C1007" s="90" t="e">
        <f>INDEX('NEW HIRE ROSTER'!$F:$F,MATCH(RAW!F1007,'NEW HIRE ROSTER'!$A:$A,0))</f>
        <v>#N/A</v>
      </c>
      <c r="D1007" s="90" t="e">
        <f>INDEX('Validation List'!$H:$H,MATCH(RAW!E1007,'Validation List'!$F:$F,0))</f>
        <v>#N/A</v>
      </c>
      <c r="G1007" s="90" t="e">
        <f>VLOOKUP(F1007,ML!C991:D1589,2,FALSE)</f>
        <v>#N/A</v>
      </c>
      <c r="H1007" s="90" t="e">
        <f>VLOOKUP(F1007,ML!C991:E1589,3,FALSE)</f>
        <v>#N/A</v>
      </c>
    </row>
    <row r="1008" spans="1:8" x14ac:dyDescent="0.35">
      <c r="A1008" s="90" t="e">
        <f>VLOOKUP(E1008,'Validation List'!F1009:G1404,2,FALSE)</f>
        <v>#N/A</v>
      </c>
      <c r="B1008" s="90" t="e">
        <f>INDEX('NEW HIRE ROSTER'!$G:$G,MATCH(RAW!F1008,'NEW HIRE ROSTER'!$A:$A,0))</f>
        <v>#N/A</v>
      </c>
      <c r="C1008" s="90" t="e">
        <f>INDEX('NEW HIRE ROSTER'!$F:$F,MATCH(RAW!F1008,'NEW HIRE ROSTER'!$A:$A,0))</f>
        <v>#N/A</v>
      </c>
      <c r="D1008" s="90" t="e">
        <f>INDEX('Validation List'!$H:$H,MATCH(RAW!E1008,'Validation List'!$F:$F,0))</f>
        <v>#N/A</v>
      </c>
      <c r="G1008" s="90" t="e">
        <f>VLOOKUP(F1008,ML!C992:D1590,2,FALSE)</f>
        <v>#N/A</v>
      </c>
      <c r="H1008" s="90" t="e">
        <f>VLOOKUP(F1008,ML!C992:E1590,3,FALSE)</f>
        <v>#N/A</v>
      </c>
    </row>
    <row r="1009" spans="1:8" x14ac:dyDescent="0.35">
      <c r="A1009" s="90" t="e">
        <f>VLOOKUP(E1009,'Validation List'!F1010:G1405,2,FALSE)</f>
        <v>#N/A</v>
      </c>
      <c r="B1009" s="90" t="e">
        <f>INDEX('NEW HIRE ROSTER'!$G:$G,MATCH(RAW!F1009,'NEW HIRE ROSTER'!$A:$A,0))</f>
        <v>#N/A</v>
      </c>
      <c r="C1009" s="90" t="e">
        <f>INDEX('NEW HIRE ROSTER'!$F:$F,MATCH(RAW!F1009,'NEW HIRE ROSTER'!$A:$A,0))</f>
        <v>#N/A</v>
      </c>
      <c r="D1009" s="90" t="e">
        <f>INDEX('Validation List'!$H:$H,MATCH(RAW!E1009,'Validation List'!$F:$F,0))</f>
        <v>#N/A</v>
      </c>
      <c r="G1009" s="90" t="e">
        <f>VLOOKUP(F1009,ML!C993:D1591,2,FALSE)</f>
        <v>#N/A</v>
      </c>
      <c r="H1009" s="90" t="e">
        <f>VLOOKUP(F1009,ML!C993:E1591,3,FALSE)</f>
        <v>#N/A</v>
      </c>
    </row>
    <row r="1010" spans="1:8" x14ac:dyDescent="0.35">
      <c r="A1010" s="90" t="e">
        <f>VLOOKUP(E1010,'Validation List'!F1011:G1406,2,FALSE)</f>
        <v>#N/A</v>
      </c>
      <c r="B1010" s="90" t="e">
        <f>INDEX('NEW HIRE ROSTER'!$G:$G,MATCH(RAW!F1010,'NEW HIRE ROSTER'!$A:$A,0))</f>
        <v>#N/A</v>
      </c>
      <c r="C1010" s="90" t="e">
        <f>INDEX('NEW HIRE ROSTER'!$F:$F,MATCH(RAW!F1010,'NEW HIRE ROSTER'!$A:$A,0))</f>
        <v>#N/A</v>
      </c>
      <c r="D1010" s="90" t="e">
        <f>INDEX('Validation List'!$H:$H,MATCH(RAW!E1010,'Validation List'!$F:$F,0))</f>
        <v>#N/A</v>
      </c>
      <c r="G1010" s="90" t="e">
        <f>VLOOKUP(F1010,ML!C994:D1592,2,FALSE)</f>
        <v>#N/A</v>
      </c>
      <c r="H1010" s="90" t="e">
        <f>VLOOKUP(F1010,ML!C994:E1592,3,FALSE)</f>
        <v>#N/A</v>
      </c>
    </row>
    <row r="1011" spans="1:8" x14ac:dyDescent="0.35">
      <c r="A1011" s="90" t="e">
        <f>VLOOKUP(E1011,'Validation List'!F1012:G1407,2,FALSE)</f>
        <v>#N/A</v>
      </c>
      <c r="B1011" s="90" t="e">
        <f>INDEX('NEW HIRE ROSTER'!$G:$G,MATCH(RAW!F1011,'NEW HIRE ROSTER'!$A:$A,0))</f>
        <v>#N/A</v>
      </c>
      <c r="C1011" s="90" t="e">
        <f>INDEX('NEW HIRE ROSTER'!$F:$F,MATCH(RAW!F1011,'NEW HIRE ROSTER'!$A:$A,0))</f>
        <v>#N/A</v>
      </c>
      <c r="D1011" s="90" t="e">
        <f>INDEX('Validation List'!$H:$H,MATCH(RAW!E1011,'Validation List'!$F:$F,0))</f>
        <v>#N/A</v>
      </c>
      <c r="G1011" s="90" t="e">
        <f>VLOOKUP(F1011,ML!C995:D1593,2,FALSE)</f>
        <v>#N/A</v>
      </c>
      <c r="H1011" s="90" t="e">
        <f>VLOOKUP(F1011,ML!C995:E1593,3,FALSE)</f>
        <v>#N/A</v>
      </c>
    </row>
    <row r="1012" spans="1:8" x14ac:dyDescent="0.35">
      <c r="A1012" s="90" t="e">
        <f>VLOOKUP(E1012,'Validation List'!F1013:G1408,2,FALSE)</f>
        <v>#N/A</v>
      </c>
      <c r="B1012" s="90" t="e">
        <f>INDEX('NEW HIRE ROSTER'!$G:$G,MATCH(RAW!F1012,'NEW HIRE ROSTER'!$A:$A,0))</f>
        <v>#N/A</v>
      </c>
      <c r="C1012" s="90" t="e">
        <f>INDEX('NEW HIRE ROSTER'!$F:$F,MATCH(RAW!F1012,'NEW HIRE ROSTER'!$A:$A,0))</f>
        <v>#N/A</v>
      </c>
      <c r="D1012" s="90" t="e">
        <f>INDEX('Validation List'!$H:$H,MATCH(RAW!E1012,'Validation List'!$F:$F,0))</f>
        <v>#N/A</v>
      </c>
      <c r="G1012" s="90" t="e">
        <f>VLOOKUP(F1012,ML!C996:D1594,2,FALSE)</f>
        <v>#N/A</v>
      </c>
      <c r="H1012" s="90" t="e">
        <f>VLOOKUP(F1012,ML!C996:E1594,3,FALSE)</f>
        <v>#N/A</v>
      </c>
    </row>
    <row r="1013" spans="1:8" x14ac:dyDescent="0.35">
      <c r="A1013" s="90" t="e">
        <f>VLOOKUP(E1013,'Validation List'!F1014:G1409,2,FALSE)</f>
        <v>#N/A</v>
      </c>
      <c r="B1013" s="90" t="e">
        <f>INDEX('NEW HIRE ROSTER'!$G:$G,MATCH(RAW!F1013,'NEW HIRE ROSTER'!$A:$A,0))</f>
        <v>#N/A</v>
      </c>
      <c r="C1013" s="90" t="e">
        <f>INDEX('NEW HIRE ROSTER'!$F:$F,MATCH(RAW!F1013,'NEW HIRE ROSTER'!$A:$A,0))</f>
        <v>#N/A</v>
      </c>
      <c r="D1013" s="90" t="e">
        <f>INDEX('Validation List'!$H:$H,MATCH(RAW!E1013,'Validation List'!$F:$F,0))</f>
        <v>#N/A</v>
      </c>
      <c r="G1013" s="90" t="e">
        <f>VLOOKUP(F1013,ML!C997:D1595,2,FALSE)</f>
        <v>#N/A</v>
      </c>
      <c r="H1013" s="90" t="e">
        <f>VLOOKUP(F1013,ML!C997:E1595,3,FALSE)</f>
        <v>#N/A</v>
      </c>
    </row>
    <row r="1014" spans="1:8" x14ac:dyDescent="0.35">
      <c r="A1014" s="90" t="e">
        <f>VLOOKUP(E1014,'Validation List'!F1015:G1410,2,FALSE)</f>
        <v>#N/A</v>
      </c>
      <c r="B1014" s="90" t="e">
        <f>INDEX('NEW HIRE ROSTER'!$G:$G,MATCH(RAW!F1014,'NEW HIRE ROSTER'!$A:$A,0))</f>
        <v>#N/A</v>
      </c>
      <c r="C1014" s="90" t="e">
        <f>INDEX('NEW HIRE ROSTER'!$F:$F,MATCH(RAW!F1014,'NEW HIRE ROSTER'!$A:$A,0))</f>
        <v>#N/A</v>
      </c>
      <c r="D1014" s="90" t="e">
        <f>INDEX('Validation List'!$H:$H,MATCH(RAW!E1014,'Validation List'!$F:$F,0))</f>
        <v>#N/A</v>
      </c>
      <c r="G1014" s="90" t="e">
        <f>VLOOKUP(F1014,ML!C998:D1596,2,FALSE)</f>
        <v>#N/A</v>
      </c>
      <c r="H1014" s="90" t="e">
        <f>VLOOKUP(F1014,ML!C998:E1596,3,FALSE)</f>
        <v>#N/A</v>
      </c>
    </row>
    <row r="1015" spans="1:8" x14ac:dyDescent="0.35">
      <c r="A1015" s="90" t="e">
        <f>VLOOKUP(E1015,'Validation List'!F1016:G1411,2,FALSE)</f>
        <v>#N/A</v>
      </c>
      <c r="B1015" s="90" t="e">
        <f>INDEX('NEW HIRE ROSTER'!$G:$G,MATCH(RAW!F1015,'NEW HIRE ROSTER'!$A:$A,0))</f>
        <v>#N/A</v>
      </c>
      <c r="C1015" s="90" t="e">
        <f>INDEX('NEW HIRE ROSTER'!$F:$F,MATCH(RAW!F1015,'NEW HIRE ROSTER'!$A:$A,0))</f>
        <v>#N/A</v>
      </c>
      <c r="D1015" s="90" t="e">
        <f>INDEX('Validation List'!$H:$H,MATCH(RAW!E1015,'Validation List'!$F:$F,0))</f>
        <v>#N/A</v>
      </c>
      <c r="G1015" s="90" t="e">
        <f>VLOOKUP(F1015,ML!C999:D1597,2,FALSE)</f>
        <v>#N/A</v>
      </c>
      <c r="H1015" s="90" t="e">
        <f>VLOOKUP(F1015,ML!C999:E1597,3,FALSE)</f>
        <v>#N/A</v>
      </c>
    </row>
    <row r="1016" spans="1:8" x14ac:dyDescent="0.35">
      <c r="A1016" s="90" t="e">
        <f>VLOOKUP(E1016,'Validation List'!F1017:G1412,2,FALSE)</f>
        <v>#N/A</v>
      </c>
      <c r="B1016" s="90" t="e">
        <f>INDEX('NEW HIRE ROSTER'!$G:$G,MATCH(RAW!F1016,'NEW HIRE ROSTER'!$A:$A,0))</f>
        <v>#N/A</v>
      </c>
      <c r="C1016" s="90" t="e">
        <f>INDEX('NEW HIRE ROSTER'!$F:$F,MATCH(RAW!F1016,'NEW HIRE ROSTER'!$A:$A,0))</f>
        <v>#N/A</v>
      </c>
      <c r="D1016" s="90" t="e">
        <f>INDEX('Validation List'!$H:$H,MATCH(RAW!E1016,'Validation List'!$F:$F,0))</f>
        <v>#N/A</v>
      </c>
      <c r="G1016" s="90" t="e">
        <f>VLOOKUP(F1016,ML!C1000:D1598,2,FALSE)</f>
        <v>#N/A</v>
      </c>
      <c r="H1016" s="90" t="e">
        <f>VLOOKUP(F1016,ML!C1000:E1598,3,FALSE)</f>
        <v>#N/A</v>
      </c>
    </row>
    <row r="1017" spans="1:8" x14ac:dyDescent="0.35">
      <c r="A1017" s="90" t="e">
        <f>VLOOKUP(E1017,'Validation List'!F1018:G1413,2,FALSE)</f>
        <v>#N/A</v>
      </c>
      <c r="B1017" s="90" t="e">
        <f>INDEX('NEW HIRE ROSTER'!$G:$G,MATCH(RAW!F1017,'NEW HIRE ROSTER'!$A:$A,0))</f>
        <v>#N/A</v>
      </c>
      <c r="C1017" s="90" t="e">
        <f>INDEX('NEW HIRE ROSTER'!$F:$F,MATCH(RAW!F1017,'NEW HIRE ROSTER'!$A:$A,0))</f>
        <v>#N/A</v>
      </c>
      <c r="D1017" s="90" t="e">
        <f>INDEX('Validation List'!$H:$H,MATCH(RAW!E1017,'Validation List'!$F:$F,0))</f>
        <v>#N/A</v>
      </c>
      <c r="G1017" s="90" t="e">
        <f>VLOOKUP(F1017,ML!C1001:D1599,2,FALSE)</f>
        <v>#N/A</v>
      </c>
      <c r="H1017" s="90" t="e">
        <f>VLOOKUP(F1017,ML!C1001:E1599,3,FALSE)</f>
        <v>#N/A</v>
      </c>
    </row>
    <row r="1018" spans="1:8" x14ac:dyDescent="0.35">
      <c r="A1018" s="90" t="e">
        <f>VLOOKUP(E1018,'Validation List'!F1019:G1414,2,FALSE)</f>
        <v>#N/A</v>
      </c>
      <c r="B1018" s="90" t="e">
        <f>INDEX('NEW HIRE ROSTER'!$G:$G,MATCH(RAW!F1018,'NEW HIRE ROSTER'!$A:$A,0))</f>
        <v>#N/A</v>
      </c>
      <c r="C1018" s="90" t="e">
        <f>INDEX('NEW HIRE ROSTER'!$F:$F,MATCH(RAW!F1018,'NEW HIRE ROSTER'!$A:$A,0))</f>
        <v>#N/A</v>
      </c>
      <c r="D1018" s="90" t="e">
        <f>INDEX('Validation List'!$H:$H,MATCH(RAW!E1018,'Validation List'!$F:$F,0))</f>
        <v>#N/A</v>
      </c>
      <c r="G1018" s="90" t="e">
        <f>VLOOKUP(F1018,ML!C1002:D1600,2,FALSE)</f>
        <v>#N/A</v>
      </c>
      <c r="H1018" s="90" t="e">
        <f>VLOOKUP(F1018,ML!C1002:E1600,3,FALSE)</f>
        <v>#N/A</v>
      </c>
    </row>
    <row r="1019" spans="1:8" x14ac:dyDescent="0.35">
      <c r="A1019" s="90" t="e">
        <f>VLOOKUP(E1019,'Validation List'!F1020:G1415,2,FALSE)</f>
        <v>#N/A</v>
      </c>
      <c r="B1019" s="90" t="e">
        <f>INDEX('NEW HIRE ROSTER'!$G:$G,MATCH(RAW!F1019,'NEW HIRE ROSTER'!$A:$A,0))</f>
        <v>#N/A</v>
      </c>
      <c r="C1019" s="90" t="e">
        <f>INDEX('NEW HIRE ROSTER'!$F:$F,MATCH(RAW!F1019,'NEW HIRE ROSTER'!$A:$A,0))</f>
        <v>#N/A</v>
      </c>
      <c r="D1019" s="90" t="e">
        <f>INDEX('Validation List'!$H:$H,MATCH(RAW!E1019,'Validation List'!$F:$F,0))</f>
        <v>#N/A</v>
      </c>
      <c r="G1019" s="90" t="e">
        <f>VLOOKUP(F1019,ML!C1003:D1601,2,FALSE)</f>
        <v>#N/A</v>
      </c>
      <c r="H1019" s="90" t="e">
        <f>VLOOKUP(F1019,ML!C1003:E1601,3,FALSE)</f>
        <v>#N/A</v>
      </c>
    </row>
    <row r="1020" spans="1:8" x14ac:dyDescent="0.35">
      <c r="A1020" s="90" t="e">
        <f>VLOOKUP(E1020,'Validation List'!F1021:G1416,2,FALSE)</f>
        <v>#N/A</v>
      </c>
      <c r="B1020" s="90" t="e">
        <f>INDEX('NEW HIRE ROSTER'!$G:$G,MATCH(RAW!F1020,'NEW HIRE ROSTER'!$A:$A,0))</f>
        <v>#N/A</v>
      </c>
      <c r="C1020" s="90" t="e">
        <f>INDEX('NEW HIRE ROSTER'!$F:$F,MATCH(RAW!F1020,'NEW HIRE ROSTER'!$A:$A,0))</f>
        <v>#N/A</v>
      </c>
      <c r="D1020" s="90" t="e">
        <f>INDEX('Validation List'!$H:$H,MATCH(RAW!E1020,'Validation List'!$F:$F,0))</f>
        <v>#N/A</v>
      </c>
      <c r="G1020" s="90" t="e">
        <f>VLOOKUP(F1020,ML!C1004:D1602,2,FALSE)</f>
        <v>#N/A</v>
      </c>
      <c r="H1020" s="90" t="e">
        <f>VLOOKUP(F1020,ML!C1004:E1602,3,FALSE)</f>
        <v>#N/A</v>
      </c>
    </row>
    <row r="1021" spans="1:8" x14ac:dyDescent="0.35">
      <c r="A1021" s="90" t="e">
        <f>VLOOKUP(E1021,'Validation List'!F1022:G1417,2,FALSE)</f>
        <v>#N/A</v>
      </c>
      <c r="B1021" s="90" t="e">
        <f>INDEX('NEW HIRE ROSTER'!$G:$G,MATCH(RAW!F1021,'NEW HIRE ROSTER'!$A:$A,0))</f>
        <v>#N/A</v>
      </c>
      <c r="C1021" s="90" t="e">
        <f>INDEX('NEW HIRE ROSTER'!$F:$F,MATCH(RAW!F1021,'NEW HIRE ROSTER'!$A:$A,0))</f>
        <v>#N/A</v>
      </c>
      <c r="D1021" s="90" t="e">
        <f>INDEX('Validation List'!$H:$H,MATCH(RAW!E1021,'Validation List'!$F:$F,0))</f>
        <v>#N/A</v>
      </c>
      <c r="G1021" s="90" t="e">
        <f>VLOOKUP(F1021,ML!C1005:D1603,2,FALSE)</f>
        <v>#N/A</v>
      </c>
      <c r="H1021" s="90" t="e">
        <f>VLOOKUP(F1021,ML!C1005:E1603,3,FALSE)</f>
        <v>#N/A</v>
      </c>
    </row>
    <row r="1022" spans="1:8" x14ac:dyDescent="0.35">
      <c r="A1022" s="90" t="e">
        <f>VLOOKUP(E1022,'Validation List'!F1023:G1418,2,FALSE)</f>
        <v>#N/A</v>
      </c>
      <c r="B1022" s="90" t="e">
        <f>INDEX('NEW HIRE ROSTER'!$G:$G,MATCH(RAW!F1022,'NEW HIRE ROSTER'!$A:$A,0))</f>
        <v>#N/A</v>
      </c>
      <c r="C1022" s="90" t="e">
        <f>INDEX('NEW HIRE ROSTER'!$F:$F,MATCH(RAW!F1022,'NEW HIRE ROSTER'!$A:$A,0))</f>
        <v>#N/A</v>
      </c>
      <c r="D1022" s="90" t="e">
        <f>INDEX('Validation List'!$H:$H,MATCH(RAW!E1022,'Validation List'!$F:$F,0))</f>
        <v>#N/A</v>
      </c>
      <c r="G1022" s="90" t="e">
        <f>VLOOKUP(F1022,ML!C1006:D1604,2,FALSE)</f>
        <v>#N/A</v>
      </c>
      <c r="H1022" s="90" t="e">
        <f>VLOOKUP(F1022,ML!C1006:E1604,3,FALSE)</f>
        <v>#N/A</v>
      </c>
    </row>
    <row r="1023" spans="1:8" x14ac:dyDescent="0.35">
      <c r="A1023" s="90" t="e">
        <f>VLOOKUP(E1023,'Validation List'!F1024:G1419,2,FALSE)</f>
        <v>#N/A</v>
      </c>
      <c r="B1023" s="90" t="e">
        <f>INDEX('NEW HIRE ROSTER'!$G:$G,MATCH(RAW!F1023,'NEW HIRE ROSTER'!$A:$A,0))</f>
        <v>#N/A</v>
      </c>
      <c r="C1023" s="90" t="e">
        <f>INDEX('NEW HIRE ROSTER'!$F:$F,MATCH(RAW!F1023,'NEW HIRE ROSTER'!$A:$A,0))</f>
        <v>#N/A</v>
      </c>
      <c r="D1023" s="90" t="e">
        <f>INDEX('Validation List'!$H:$H,MATCH(RAW!E1023,'Validation List'!$F:$F,0))</f>
        <v>#N/A</v>
      </c>
      <c r="G1023" s="90" t="e">
        <f>VLOOKUP(F1023,ML!C1007:D1605,2,FALSE)</f>
        <v>#N/A</v>
      </c>
      <c r="H1023" s="90" t="e">
        <f>VLOOKUP(F1023,ML!C1007:E1605,3,FALSE)</f>
        <v>#N/A</v>
      </c>
    </row>
    <row r="1024" spans="1:8" x14ac:dyDescent="0.35">
      <c r="A1024" s="90" t="e">
        <f>VLOOKUP(E1024,'Validation List'!F1025:G1420,2,FALSE)</f>
        <v>#N/A</v>
      </c>
      <c r="B1024" s="90" t="e">
        <f>INDEX('NEW HIRE ROSTER'!$G:$G,MATCH(RAW!F1024,'NEW HIRE ROSTER'!$A:$A,0))</f>
        <v>#N/A</v>
      </c>
      <c r="C1024" s="90" t="e">
        <f>INDEX('NEW HIRE ROSTER'!$F:$F,MATCH(RAW!F1024,'NEW HIRE ROSTER'!$A:$A,0))</f>
        <v>#N/A</v>
      </c>
      <c r="D1024" s="90" t="e">
        <f>INDEX('Validation List'!$H:$H,MATCH(RAW!E1024,'Validation List'!$F:$F,0))</f>
        <v>#N/A</v>
      </c>
      <c r="G1024" s="90" t="e">
        <f>VLOOKUP(F1024,ML!C1008:D1606,2,FALSE)</f>
        <v>#N/A</v>
      </c>
      <c r="H1024" s="90" t="e">
        <f>VLOOKUP(F1024,ML!C1008:E1606,3,FALSE)</f>
        <v>#N/A</v>
      </c>
    </row>
    <row r="1025" spans="1:8" x14ac:dyDescent="0.35">
      <c r="A1025" s="90" t="e">
        <f>VLOOKUP(E1025,'Validation List'!F1026:G1421,2,FALSE)</f>
        <v>#N/A</v>
      </c>
      <c r="B1025" s="90" t="e">
        <f>INDEX('NEW HIRE ROSTER'!$G:$G,MATCH(RAW!F1025,'NEW HIRE ROSTER'!$A:$A,0))</f>
        <v>#N/A</v>
      </c>
      <c r="C1025" s="90" t="e">
        <f>INDEX('NEW HIRE ROSTER'!$F:$F,MATCH(RAW!F1025,'NEW HIRE ROSTER'!$A:$A,0))</f>
        <v>#N/A</v>
      </c>
      <c r="D1025" s="90" t="e">
        <f>INDEX('Validation List'!$H:$H,MATCH(RAW!E1025,'Validation List'!$F:$F,0))</f>
        <v>#N/A</v>
      </c>
      <c r="G1025" s="90" t="e">
        <f>VLOOKUP(F1025,ML!C1009:D1607,2,FALSE)</f>
        <v>#N/A</v>
      </c>
      <c r="H1025" s="90" t="e">
        <f>VLOOKUP(F1025,ML!C1009:E1607,3,FALSE)</f>
        <v>#N/A</v>
      </c>
    </row>
    <row r="1026" spans="1:8" x14ac:dyDescent="0.35">
      <c r="A1026" s="90" t="e">
        <f>VLOOKUP(E1026,'Validation List'!F1027:G1422,2,FALSE)</f>
        <v>#N/A</v>
      </c>
      <c r="B1026" s="90" t="e">
        <f>INDEX('NEW HIRE ROSTER'!$G:$G,MATCH(RAW!F1026,'NEW HIRE ROSTER'!$A:$A,0))</f>
        <v>#N/A</v>
      </c>
      <c r="C1026" s="90" t="e">
        <f>INDEX('NEW HIRE ROSTER'!$F:$F,MATCH(RAW!F1026,'NEW HIRE ROSTER'!$A:$A,0))</f>
        <v>#N/A</v>
      </c>
      <c r="D1026" s="90" t="e">
        <f>INDEX('Validation List'!$H:$H,MATCH(RAW!E1026,'Validation List'!$F:$F,0))</f>
        <v>#N/A</v>
      </c>
      <c r="G1026" s="90" t="e">
        <f>VLOOKUP(F1026,ML!C1010:D1608,2,FALSE)</f>
        <v>#N/A</v>
      </c>
      <c r="H1026" s="90" t="e">
        <f>VLOOKUP(F1026,ML!C1010:E1608,3,FALSE)</f>
        <v>#N/A</v>
      </c>
    </row>
    <row r="1027" spans="1:8" x14ac:dyDescent="0.35">
      <c r="A1027" s="90" t="e">
        <f>VLOOKUP(E1027,'Validation List'!F1028:G1423,2,FALSE)</f>
        <v>#N/A</v>
      </c>
      <c r="B1027" s="90" t="e">
        <f>INDEX('NEW HIRE ROSTER'!$G:$G,MATCH(RAW!F1027,'NEW HIRE ROSTER'!$A:$A,0))</f>
        <v>#N/A</v>
      </c>
      <c r="C1027" s="90" t="e">
        <f>INDEX('NEW HIRE ROSTER'!$F:$F,MATCH(RAW!F1027,'NEW HIRE ROSTER'!$A:$A,0))</f>
        <v>#N/A</v>
      </c>
      <c r="D1027" s="90" t="e">
        <f>INDEX('Validation List'!$H:$H,MATCH(RAW!E1027,'Validation List'!$F:$F,0))</f>
        <v>#N/A</v>
      </c>
      <c r="G1027" s="90" t="e">
        <f>VLOOKUP(F1027,ML!C1011:D1609,2,FALSE)</f>
        <v>#N/A</v>
      </c>
      <c r="H1027" s="90" t="e">
        <f>VLOOKUP(F1027,ML!C1011:E1609,3,FALSE)</f>
        <v>#N/A</v>
      </c>
    </row>
    <row r="1028" spans="1:8" x14ac:dyDescent="0.35">
      <c r="A1028" s="90" t="e">
        <f>VLOOKUP(E1028,'Validation List'!F1029:G1424,2,FALSE)</f>
        <v>#N/A</v>
      </c>
      <c r="B1028" s="90" t="e">
        <f>INDEX('NEW HIRE ROSTER'!$G:$G,MATCH(RAW!F1028,'NEW HIRE ROSTER'!$A:$A,0))</f>
        <v>#N/A</v>
      </c>
      <c r="C1028" s="90" t="e">
        <f>INDEX('NEW HIRE ROSTER'!$F:$F,MATCH(RAW!F1028,'NEW HIRE ROSTER'!$A:$A,0))</f>
        <v>#N/A</v>
      </c>
      <c r="D1028" s="90" t="e">
        <f>INDEX('Validation List'!$H:$H,MATCH(RAW!E1028,'Validation List'!$F:$F,0))</f>
        <v>#N/A</v>
      </c>
      <c r="G1028" s="90" t="e">
        <f>VLOOKUP(F1028,ML!C1012:D1610,2,FALSE)</f>
        <v>#N/A</v>
      </c>
      <c r="H1028" s="90" t="e">
        <f>VLOOKUP(F1028,ML!C1012:E1610,3,FALSE)</f>
        <v>#N/A</v>
      </c>
    </row>
    <row r="1029" spans="1:8" x14ac:dyDescent="0.35">
      <c r="A1029" s="90" t="e">
        <f>VLOOKUP(E1029,'Validation List'!F1030:G1425,2,FALSE)</f>
        <v>#N/A</v>
      </c>
      <c r="B1029" s="90" t="e">
        <f>INDEX('NEW HIRE ROSTER'!$G:$G,MATCH(RAW!F1029,'NEW HIRE ROSTER'!$A:$A,0))</f>
        <v>#N/A</v>
      </c>
      <c r="C1029" s="90" t="e">
        <f>INDEX('NEW HIRE ROSTER'!$F:$F,MATCH(RAW!F1029,'NEW HIRE ROSTER'!$A:$A,0))</f>
        <v>#N/A</v>
      </c>
      <c r="D1029" s="90" t="e">
        <f>INDEX('Validation List'!$H:$H,MATCH(RAW!E1029,'Validation List'!$F:$F,0))</f>
        <v>#N/A</v>
      </c>
      <c r="G1029" s="90" t="e">
        <f>VLOOKUP(F1029,ML!C1013:D1611,2,FALSE)</f>
        <v>#N/A</v>
      </c>
      <c r="H1029" s="90" t="e">
        <f>VLOOKUP(F1029,ML!C1013:E1611,3,FALSE)</f>
        <v>#N/A</v>
      </c>
    </row>
    <row r="1030" spans="1:8" x14ac:dyDescent="0.35">
      <c r="A1030" s="90" t="e">
        <f>VLOOKUP(E1030,'Validation List'!F1031:G1426,2,FALSE)</f>
        <v>#N/A</v>
      </c>
      <c r="B1030" s="90" t="e">
        <f>INDEX('NEW HIRE ROSTER'!$G:$G,MATCH(RAW!F1030,'NEW HIRE ROSTER'!$A:$A,0))</f>
        <v>#N/A</v>
      </c>
      <c r="C1030" s="90" t="e">
        <f>INDEX('NEW HIRE ROSTER'!$F:$F,MATCH(RAW!F1030,'NEW HIRE ROSTER'!$A:$A,0))</f>
        <v>#N/A</v>
      </c>
      <c r="D1030" s="90" t="e">
        <f>INDEX('Validation List'!$H:$H,MATCH(RAW!E1030,'Validation List'!$F:$F,0))</f>
        <v>#N/A</v>
      </c>
      <c r="G1030" s="90" t="e">
        <f>VLOOKUP(F1030,ML!C1014:D1612,2,FALSE)</f>
        <v>#N/A</v>
      </c>
      <c r="H1030" s="90" t="e">
        <f>VLOOKUP(F1030,ML!C1014:E1612,3,FALSE)</f>
        <v>#N/A</v>
      </c>
    </row>
    <row r="1031" spans="1:8" x14ac:dyDescent="0.35">
      <c r="A1031" s="90" t="e">
        <f>VLOOKUP(E1031,'Validation List'!F1032:G1427,2,FALSE)</f>
        <v>#N/A</v>
      </c>
      <c r="B1031" s="90" t="e">
        <f>INDEX('NEW HIRE ROSTER'!$G:$G,MATCH(RAW!F1031,'NEW HIRE ROSTER'!$A:$A,0))</f>
        <v>#N/A</v>
      </c>
      <c r="C1031" s="90" t="e">
        <f>INDEX('NEW HIRE ROSTER'!$F:$F,MATCH(RAW!F1031,'NEW HIRE ROSTER'!$A:$A,0))</f>
        <v>#N/A</v>
      </c>
      <c r="D1031" s="90" t="e">
        <f>INDEX('Validation List'!$H:$H,MATCH(RAW!E1031,'Validation List'!$F:$F,0))</f>
        <v>#N/A</v>
      </c>
      <c r="G1031" s="90" t="e">
        <f>VLOOKUP(F1031,ML!C1015:D1613,2,FALSE)</f>
        <v>#N/A</v>
      </c>
      <c r="H1031" s="90" t="e">
        <f>VLOOKUP(F1031,ML!C1015:E1613,3,FALSE)</f>
        <v>#N/A</v>
      </c>
    </row>
    <row r="1032" spans="1:8" x14ac:dyDescent="0.35">
      <c r="A1032" s="90" t="e">
        <f>VLOOKUP(E1032,'Validation List'!F1033:G1428,2,FALSE)</f>
        <v>#N/A</v>
      </c>
      <c r="B1032" s="90" t="e">
        <f>INDEX('NEW HIRE ROSTER'!$G:$G,MATCH(RAW!F1032,'NEW HIRE ROSTER'!$A:$A,0))</f>
        <v>#N/A</v>
      </c>
      <c r="C1032" s="90" t="e">
        <f>INDEX('NEW HIRE ROSTER'!$F:$F,MATCH(RAW!F1032,'NEW HIRE ROSTER'!$A:$A,0))</f>
        <v>#N/A</v>
      </c>
      <c r="D1032" s="90" t="e">
        <f>INDEX('Validation List'!$H:$H,MATCH(RAW!E1032,'Validation List'!$F:$F,0))</f>
        <v>#N/A</v>
      </c>
      <c r="G1032" s="90" t="e">
        <f>VLOOKUP(F1032,ML!C1016:D1614,2,FALSE)</f>
        <v>#N/A</v>
      </c>
      <c r="H1032" s="90" t="e">
        <f>VLOOKUP(F1032,ML!C1016:E1614,3,FALSE)</f>
        <v>#N/A</v>
      </c>
    </row>
    <row r="1033" spans="1:8" x14ac:dyDescent="0.35">
      <c r="A1033" s="90" t="e">
        <f>VLOOKUP(E1033,'Validation List'!F1034:G1429,2,FALSE)</f>
        <v>#N/A</v>
      </c>
      <c r="B1033" s="90" t="e">
        <f>INDEX('NEW HIRE ROSTER'!$G:$G,MATCH(RAW!F1033,'NEW HIRE ROSTER'!$A:$A,0))</f>
        <v>#N/A</v>
      </c>
      <c r="C1033" s="90" t="e">
        <f>INDEX('NEW HIRE ROSTER'!$F:$F,MATCH(RAW!F1033,'NEW HIRE ROSTER'!$A:$A,0))</f>
        <v>#N/A</v>
      </c>
      <c r="D1033" s="90" t="e">
        <f>INDEX('Validation List'!$H:$H,MATCH(RAW!E1033,'Validation List'!$F:$F,0))</f>
        <v>#N/A</v>
      </c>
      <c r="G1033" s="90" t="e">
        <f>VLOOKUP(F1033,ML!C1017:D1615,2,FALSE)</f>
        <v>#N/A</v>
      </c>
      <c r="H1033" s="90" t="e">
        <f>VLOOKUP(F1033,ML!C1017:E1615,3,FALSE)</f>
        <v>#N/A</v>
      </c>
    </row>
    <row r="1034" spans="1:8" x14ac:dyDescent="0.35">
      <c r="A1034" s="90" t="e">
        <f>VLOOKUP(E1034,'Validation List'!F1035:G1430,2,FALSE)</f>
        <v>#N/A</v>
      </c>
      <c r="B1034" s="90" t="e">
        <f>INDEX('NEW HIRE ROSTER'!$G:$G,MATCH(RAW!F1034,'NEW HIRE ROSTER'!$A:$A,0))</f>
        <v>#N/A</v>
      </c>
      <c r="C1034" s="90" t="e">
        <f>INDEX('NEW HIRE ROSTER'!$F:$F,MATCH(RAW!F1034,'NEW HIRE ROSTER'!$A:$A,0))</f>
        <v>#N/A</v>
      </c>
      <c r="D1034" s="90" t="e">
        <f>INDEX('Validation List'!$H:$H,MATCH(RAW!E1034,'Validation List'!$F:$F,0))</f>
        <v>#N/A</v>
      </c>
      <c r="G1034" s="90" t="e">
        <f>VLOOKUP(F1034,ML!C1018:D1616,2,FALSE)</f>
        <v>#N/A</v>
      </c>
      <c r="H1034" s="90" t="e">
        <f>VLOOKUP(F1034,ML!C1018:E1616,3,FALSE)</f>
        <v>#N/A</v>
      </c>
    </row>
    <row r="1035" spans="1:8" x14ac:dyDescent="0.35">
      <c r="A1035" s="90" t="e">
        <f>VLOOKUP(E1035,'Validation List'!F1036:G1431,2,FALSE)</f>
        <v>#N/A</v>
      </c>
      <c r="B1035" s="90" t="e">
        <f>INDEX('NEW HIRE ROSTER'!$G:$G,MATCH(RAW!F1035,'NEW HIRE ROSTER'!$A:$A,0))</f>
        <v>#N/A</v>
      </c>
      <c r="C1035" s="90" t="e">
        <f>INDEX('NEW HIRE ROSTER'!$F:$F,MATCH(RAW!F1035,'NEW HIRE ROSTER'!$A:$A,0))</f>
        <v>#N/A</v>
      </c>
      <c r="D1035" s="90" t="e">
        <f>INDEX('Validation List'!$H:$H,MATCH(RAW!E1035,'Validation List'!$F:$F,0))</f>
        <v>#N/A</v>
      </c>
      <c r="G1035" s="90" t="e">
        <f>VLOOKUP(F1035,ML!C1019:D1617,2,FALSE)</f>
        <v>#N/A</v>
      </c>
      <c r="H1035" s="90" t="e">
        <f>VLOOKUP(F1035,ML!C1019:E1617,3,FALSE)</f>
        <v>#N/A</v>
      </c>
    </row>
    <row r="1036" spans="1:8" x14ac:dyDescent="0.35">
      <c r="A1036" s="90" t="e">
        <f>VLOOKUP(E1036,'Validation List'!F1037:G1432,2,FALSE)</f>
        <v>#N/A</v>
      </c>
      <c r="B1036" s="90" t="e">
        <f>INDEX('NEW HIRE ROSTER'!$G:$G,MATCH(RAW!F1036,'NEW HIRE ROSTER'!$A:$A,0))</f>
        <v>#N/A</v>
      </c>
      <c r="C1036" s="90" t="e">
        <f>INDEX('NEW HIRE ROSTER'!$F:$F,MATCH(RAW!F1036,'NEW HIRE ROSTER'!$A:$A,0))</f>
        <v>#N/A</v>
      </c>
      <c r="D1036" s="90" t="e">
        <f>INDEX('Validation List'!$H:$H,MATCH(RAW!E1036,'Validation List'!$F:$F,0))</f>
        <v>#N/A</v>
      </c>
      <c r="G1036" s="90" t="e">
        <f>VLOOKUP(F1036,ML!C1020:D1618,2,FALSE)</f>
        <v>#N/A</v>
      </c>
      <c r="H1036" s="90" t="e">
        <f>VLOOKUP(F1036,ML!C1020:E1618,3,FALSE)</f>
        <v>#N/A</v>
      </c>
    </row>
    <row r="1037" spans="1:8" x14ac:dyDescent="0.35">
      <c r="A1037" s="90" t="e">
        <f>VLOOKUP(E1037,'Validation List'!F1038:G1433,2,FALSE)</f>
        <v>#N/A</v>
      </c>
      <c r="B1037" s="90" t="e">
        <f>INDEX('NEW HIRE ROSTER'!$G:$G,MATCH(RAW!F1037,'NEW HIRE ROSTER'!$A:$A,0))</f>
        <v>#N/A</v>
      </c>
      <c r="C1037" s="90" t="e">
        <f>INDEX('NEW HIRE ROSTER'!$F:$F,MATCH(RAW!F1037,'NEW HIRE ROSTER'!$A:$A,0))</f>
        <v>#N/A</v>
      </c>
      <c r="D1037" s="90" t="e">
        <f>INDEX('Validation List'!$H:$H,MATCH(RAW!E1037,'Validation List'!$F:$F,0))</f>
        <v>#N/A</v>
      </c>
      <c r="G1037" s="90" t="e">
        <f>VLOOKUP(F1037,ML!C1021:D1619,2,FALSE)</f>
        <v>#N/A</v>
      </c>
      <c r="H1037" s="90" t="e">
        <f>VLOOKUP(F1037,ML!C1021:E1619,3,FALSE)</f>
        <v>#N/A</v>
      </c>
    </row>
    <row r="1038" spans="1:8" x14ac:dyDescent="0.35">
      <c r="A1038" s="90" t="e">
        <f>VLOOKUP(E1038,'Validation List'!F1039:G1434,2,FALSE)</f>
        <v>#N/A</v>
      </c>
      <c r="B1038" s="90" t="e">
        <f>INDEX('NEW HIRE ROSTER'!$G:$G,MATCH(RAW!F1038,'NEW HIRE ROSTER'!$A:$A,0))</f>
        <v>#N/A</v>
      </c>
      <c r="C1038" s="90" t="e">
        <f>INDEX('NEW HIRE ROSTER'!$F:$F,MATCH(RAW!F1038,'NEW HIRE ROSTER'!$A:$A,0))</f>
        <v>#N/A</v>
      </c>
      <c r="D1038" s="90" t="e">
        <f>INDEX('Validation List'!$H:$H,MATCH(RAW!E1038,'Validation List'!$F:$F,0))</f>
        <v>#N/A</v>
      </c>
      <c r="G1038" s="90" t="e">
        <f>VLOOKUP(F1038,ML!C1022:D1620,2,FALSE)</f>
        <v>#N/A</v>
      </c>
      <c r="H1038" s="90" t="e">
        <f>VLOOKUP(F1038,ML!C1022:E1620,3,FALSE)</f>
        <v>#N/A</v>
      </c>
    </row>
    <row r="1039" spans="1:8" x14ac:dyDescent="0.35">
      <c r="A1039" s="90" t="e">
        <f>VLOOKUP(E1039,'Validation List'!F1040:G1435,2,FALSE)</f>
        <v>#N/A</v>
      </c>
      <c r="B1039" s="90" t="e">
        <f>INDEX('NEW HIRE ROSTER'!$G:$G,MATCH(RAW!F1039,'NEW HIRE ROSTER'!$A:$A,0))</f>
        <v>#N/A</v>
      </c>
      <c r="C1039" s="90" t="e">
        <f>INDEX('NEW HIRE ROSTER'!$F:$F,MATCH(RAW!F1039,'NEW HIRE ROSTER'!$A:$A,0))</f>
        <v>#N/A</v>
      </c>
      <c r="D1039" s="90" t="e">
        <f>INDEX('Validation List'!$H:$H,MATCH(RAW!E1039,'Validation List'!$F:$F,0))</f>
        <v>#N/A</v>
      </c>
      <c r="G1039" s="90" t="e">
        <f>VLOOKUP(F1039,ML!C1023:D1621,2,FALSE)</f>
        <v>#N/A</v>
      </c>
      <c r="H1039" s="90" t="e">
        <f>VLOOKUP(F1039,ML!C1023:E1621,3,FALSE)</f>
        <v>#N/A</v>
      </c>
    </row>
    <row r="1040" spans="1:8" x14ac:dyDescent="0.35">
      <c r="A1040" s="90" t="e">
        <f>VLOOKUP(E1040,'Validation List'!F1041:G1436,2,FALSE)</f>
        <v>#N/A</v>
      </c>
      <c r="B1040" s="90" t="e">
        <f>INDEX('NEW HIRE ROSTER'!$G:$G,MATCH(RAW!F1040,'NEW HIRE ROSTER'!$A:$A,0))</f>
        <v>#N/A</v>
      </c>
      <c r="C1040" s="90" t="e">
        <f>INDEX('NEW HIRE ROSTER'!$F:$F,MATCH(RAW!F1040,'NEW HIRE ROSTER'!$A:$A,0))</f>
        <v>#N/A</v>
      </c>
      <c r="D1040" s="90" t="e">
        <f>INDEX('Validation List'!$H:$H,MATCH(RAW!E1040,'Validation List'!$F:$F,0))</f>
        <v>#N/A</v>
      </c>
      <c r="G1040" s="90" t="e">
        <f>VLOOKUP(F1040,ML!C1024:D1622,2,FALSE)</f>
        <v>#N/A</v>
      </c>
      <c r="H1040" s="90" t="e">
        <f>VLOOKUP(F1040,ML!C1024:E1622,3,FALSE)</f>
        <v>#N/A</v>
      </c>
    </row>
    <row r="1041" spans="1:8" x14ac:dyDescent="0.35">
      <c r="A1041" s="90" t="e">
        <f>VLOOKUP(E1041,'Validation List'!F1042:G1437,2,FALSE)</f>
        <v>#N/A</v>
      </c>
      <c r="B1041" s="90" t="e">
        <f>INDEX('NEW HIRE ROSTER'!$G:$G,MATCH(RAW!F1041,'NEW HIRE ROSTER'!$A:$A,0))</f>
        <v>#N/A</v>
      </c>
      <c r="C1041" s="90" t="e">
        <f>INDEX('NEW HIRE ROSTER'!$F:$F,MATCH(RAW!F1041,'NEW HIRE ROSTER'!$A:$A,0))</f>
        <v>#N/A</v>
      </c>
      <c r="D1041" s="90" t="e">
        <f>INDEX('Validation List'!$H:$H,MATCH(RAW!E1041,'Validation List'!$F:$F,0))</f>
        <v>#N/A</v>
      </c>
      <c r="G1041" s="90" t="e">
        <f>VLOOKUP(F1041,ML!C1025:D1623,2,FALSE)</f>
        <v>#N/A</v>
      </c>
      <c r="H1041" s="90" t="e">
        <f>VLOOKUP(F1041,ML!C1025:E1623,3,FALSE)</f>
        <v>#N/A</v>
      </c>
    </row>
    <row r="1042" spans="1:8" x14ac:dyDescent="0.35">
      <c r="A1042" s="90" t="e">
        <f>VLOOKUP(E1042,'Validation List'!F1043:G1438,2,FALSE)</f>
        <v>#N/A</v>
      </c>
      <c r="B1042" s="90" t="e">
        <f>INDEX('NEW HIRE ROSTER'!$G:$G,MATCH(RAW!F1042,'NEW HIRE ROSTER'!$A:$A,0))</f>
        <v>#N/A</v>
      </c>
      <c r="C1042" s="90" t="e">
        <f>INDEX('NEW HIRE ROSTER'!$F:$F,MATCH(RAW!F1042,'NEW HIRE ROSTER'!$A:$A,0))</f>
        <v>#N/A</v>
      </c>
      <c r="D1042" s="90" t="e">
        <f>INDEX('Validation List'!$H:$H,MATCH(RAW!E1042,'Validation List'!$F:$F,0))</f>
        <v>#N/A</v>
      </c>
      <c r="G1042" s="90" t="e">
        <f>VLOOKUP(F1042,ML!C1026:D1624,2,FALSE)</f>
        <v>#N/A</v>
      </c>
      <c r="H1042" s="90" t="e">
        <f>VLOOKUP(F1042,ML!C1026:E1624,3,FALSE)</f>
        <v>#N/A</v>
      </c>
    </row>
    <row r="1043" spans="1:8" x14ac:dyDescent="0.35">
      <c r="A1043" s="90" t="e">
        <f>VLOOKUP(E1043,'Validation List'!F1044:G1439,2,FALSE)</f>
        <v>#N/A</v>
      </c>
      <c r="B1043" s="90" t="e">
        <f>INDEX('NEW HIRE ROSTER'!$G:$G,MATCH(RAW!F1043,'NEW HIRE ROSTER'!$A:$A,0))</f>
        <v>#N/A</v>
      </c>
      <c r="C1043" s="90" t="e">
        <f>INDEX('NEW HIRE ROSTER'!$F:$F,MATCH(RAW!F1043,'NEW HIRE ROSTER'!$A:$A,0))</f>
        <v>#N/A</v>
      </c>
      <c r="D1043" s="90" t="e">
        <f>INDEX('Validation List'!$H:$H,MATCH(RAW!E1043,'Validation List'!$F:$F,0))</f>
        <v>#N/A</v>
      </c>
      <c r="G1043" s="90" t="e">
        <f>VLOOKUP(F1043,ML!C1027:D1625,2,FALSE)</f>
        <v>#N/A</v>
      </c>
      <c r="H1043" s="90" t="e">
        <f>VLOOKUP(F1043,ML!C1027:E1625,3,FALSE)</f>
        <v>#N/A</v>
      </c>
    </row>
    <row r="1044" spans="1:8" x14ac:dyDescent="0.35">
      <c r="A1044" s="90" t="e">
        <f>VLOOKUP(E1044,'Validation List'!F1045:G1440,2,FALSE)</f>
        <v>#N/A</v>
      </c>
      <c r="B1044" s="90" t="e">
        <f>INDEX('NEW HIRE ROSTER'!$G:$G,MATCH(RAW!F1044,'NEW HIRE ROSTER'!$A:$A,0))</f>
        <v>#N/A</v>
      </c>
      <c r="C1044" s="90" t="e">
        <f>INDEX('NEW HIRE ROSTER'!$F:$F,MATCH(RAW!F1044,'NEW HIRE ROSTER'!$A:$A,0))</f>
        <v>#N/A</v>
      </c>
      <c r="D1044" s="90" t="e">
        <f>INDEX('Validation List'!$H:$H,MATCH(RAW!E1044,'Validation List'!$F:$F,0))</f>
        <v>#N/A</v>
      </c>
      <c r="G1044" s="90" t="e">
        <f>VLOOKUP(F1044,ML!C1028:D1626,2,FALSE)</f>
        <v>#N/A</v>
      </c>
      <c r="H1044" s="90" t="e">
        <f>VLOOKUP(F1044,ML!C1028:E1626,3,FALSE)</f>
        <v>#N/A</v>
      </c>
    </row>
    <row r="1045" spans="1:8" x14ac:dyDescent="0.35">
      <c r="A1045" s="90" t="e">
        <f>VLOOKUP(E1045,'Validation List'!F1046:G1441,2,FALSE)</f>
        <v>#N/A</v>
      </c>
      <c r="B1045" s="90" t="e">
        <f>INDEX('NEW HIRE ROSTER'!$G:$G,MATCH(RAW!F1045,'NEW HIRE ROSTER'!$A:$A,0))</f>
        <v>#N/A</v>
      </c>
      <c r="C1045" s="90" t="e">
        <f>INDEX('NEW HIRE ROSTER'!$F:$F,MATCH(RAW!F1045,'NEW HIRE ROSTER'!$A:$A,0))</f>
        <v>#N/A</v>
      </c>
      <c r="D1045" s="90" t="e">
        <f>INDEX('Validation List'!$H:$H,MATCH(RAW!E1045,'Validation List'!$F:$F,0))</f>
        <v>#N/A</v>
      </c>
      <c r="G1045" s="90" t="e">
        <f>VLOOKUP(F1045,ML!C1029:D1627,2,FALSE)</f>
        <v>#N/A</v>
      </c>
      <c r="H1045" s="90" t="e">
        <f>VLOOKUP(F1045,ML!C1029:E1627,3,FALSE)</f>
        <v>#N/A</v>
      </c>
    </row>
    <row r="1046" spans="1:8" x14ac:dyDescent="0.35">
      <c r="A1046" s="90" t="e">
        <f>VLOOKUP(E1046,'Validation List'!F1047:G1442,2,FALSE)</f>
        <v>#N/A</v>
      </c>
      <c r="B1046" s="90" t="e">
        <f>INDEX('NEW HIRE ROSTER'!$G:$G,MATCH(RAW!F1046,'NEW HIRE ROSTER'!$A:$A,0))</f>
        <v>#N/A</v>
      </c>
      <c r="C1046" s="90" t="e">
        <f>INDEX('NEW HIRE ROSTER'!$F:$F,MATCH(RAW!F1046,'NEW HIRE ROSTER'!$A:$A,0))</f>
        <v>#N/A</v>
      </c>
      <c r="D1046" s="90" t="e">
        <f>INDEX('Validation List'!$H:$H,MATCH(RAW!E1046,'Validation List'!$F:$F,0))</f>
        <v>#N/A</v>
      </c>
      <c r="G1046" s="90" t="e">
        <f>VLOOKUP(F1046,ML!C1030:D1628,2,FALSE)</f>
        <v>#N/A</v>
      </c>
      <c r="H1046" s="90" t="e">
        <f>VLOOKUP(F1046,ML!C1030:E1628,3,FALSE)</f>
        <v>#N/A</v>
      </c>
    </row>
    <row r="1047" spans="1:8" x14ac:dyDescent="0.35">
      <c r="A1047" s="90" t="e">
        <f>VLOOKUP(E1047,'Validation List'!F1048:G1443,2,FALSE)</f>
        <v>#N/A</v>
      </c>
      <c r="B1047" s="90" t="e">
        <f>INDEX('NEW HIRE ROSTER'!$G:$G,MATCH(RAW!F1047,'NEW HIRE ROSTER'!$A:$A,0))</f>
        <v>#N/A</v>
      </c>
      <c r="C1047" s="90" t="e">
        <f>INDEX('NEW HIRE ROSTER'!$F:$F,MATCH(RAW!F1047,'NEW HIRE ROSTER'!$A:$A,0))</f>
        <v>#N/A</v>
      </c>
      <c r="D1047" s="90" t="e">
        <f>INDEX('Validation List'!$H:$H,MATCH(RAW!E1047,'Validation List'!$F:$F,0))</f>
        <v>#N/A</v>
      </c>
      <c r="G1047" s="90" t="e">
        <f>VLOOKUP(F1047,ML!C1031:D1629,2,FALSE)</f>
        <v>#N/A</v>
      </c>
      <c r="H1047" s="90" t="e">
        <f>VLOOKUP(F1047,ML!C1031:E1629,3,FALSE)</f>
        <v>#N/A</v>
      </c>
    </row>
    <row r="1048" spans="1:8" x14ac:dyDescent="0.35">
      <c r="A1048" s="90" t="e">
        <f>VLOOKUP(E1048,'Validation List'!F1049:G1444,2,FALSE)</f>
        <v>#N/A</v>
      </c>
      <c r="B1048" s="90" t="e">
        <f>INDEX('NEW HIRE ROSTER'!$G:$G,MATCH(RAW!F1048,'NEW HIRE ROSTER'!$A:$A,0))</f>
        <v>#N/A</v>
      </c>
      <c r="C1048" s="90" t="e">
        <f>INDEX('NEW HIRE ROSTER'!$F:$F,MATCH(RAW!F1048,'NEW HIRE ROSTER'!$A:$A,0))</f>
        <v>#N/A</v>
      </c>
      <c r="D1048" s="90" t="e">
        <f>INDEX('Validation List'!$H:$H,MATCH(RAW!E1048,'Validation List'!$F:$F,0))</f>
        <v>#N/A</v>
      </c>
      <c r="G1048" s="90" t="e">
        <f>VLOOKUP(F1048,ML!C1032:D1630,2,FALSE)</f>
        <v>#N/A</v>
      </c>
      <c r="H1048" s="90" t="e">
        <f>VLOOKUP(F1048,ML!C1032:E1630,3,FALSE)</f>
        <v>#N/A</v>
      </c>
    </row>
    <row r="1049" spans="1:8" x14ac:dyDescent="0.35">
      <c r="A1049" s="90" t="e">
        <f>VLOOKUP(E1049,'Validation List'!F1050:G1445,2,FALSE)</f>
        <v>#N/A</v>
      </c>
      <c r="B1049" s="90" t="e">
        <f>INDEX('NEW HIRE ROSTER'!$G:$G,MATCH(RAW!F1049,'NEW HIRE ROSTER'!$A:$A,0))</f>
        <v>#N/A</v>
      </c>
      <c r="C1049" s="90" t="e">
        <f>INDEX('NEW HIRE ROSTER'!$F:$F,MATCH(RAW!F1049,'NEW HIRE ROSTER'!$A:$A,0))</f>
        <v>#N/A</v>
      </c>
      <c r="D1049" s="90" t="e">
        <f>INDEX('Validation List'!$H:$H,MATCH(RAW!E1049,'Validation List'!$F:$F,0))</f>
        <v>#N/A</v>
      </c>
      <c r="G1049" s="90" t="e">
        <f>VLOOKUP(F1049,ML!C1033:D1631,2,FALSE)</f>
        <v>#N/A</v>
      </c>
      <c r="H1049" s="90" t="e">
        <f>VLOOKUP(F1049,ML!C1033:E1631,3,FALSE)</f>
        <v>#N/A</v>
      </c>
    </row>
    <row r="1050" spans="1:8" x14ac:dyDescent="0.35">
      <c r="A1050" s="90" t="e">
        <f>VLOOKUP(E1050,'Validation List'!F1051:G1446,2,FALSE)</f>
        <v>#N/A</v>
      </c>
      <c r="B1050" s="90" t="e">
        <f>INDEX('NEW HIRE ROSTER'!$G:$G,MATCH(RAW!F1050,'NEW HIRE ROSTER'!$A:$A,0))</f>
        <v>#N/A</v>
      </c>
      <c r="C1050" s="90" t="e">
        <f>INDEX('NEW HIRE ROSTER'!$F:$F,MATCH(RAW!F1050,'NEW HIRE ROSTER'!$A:$A,0))</f>
        <v>#N/A</v>
      </c>
      <c r="D1050" s="90" t="e">
        <f>INDEX('Validation List'!$H:$H,MATCH(RAW!E1050,'Validation List'!$F:$F,0))</f>
        <v>#N/A</v>
      </c>
      <c r="G1050" s="90" t="e">
        <f>VLOOKUP(F1050,ML!C1034:D1632,2,FALSE)</f>
        <v>#N/A</v>
      </c>
      <c r="H1050" s="90" t="e">
        <f>VLOOKUP(F1050,ML!C1034:E1632,3,FALSE)</f>
        <v>#N/A</v>
      </c>
    </row>
    <row r="1051" spans="1:8" x14ac:dyDescent="0.35">
      <c r="A1051" s="90" t="e">
        <f>VLOOKUP(E1051,'Validation List'!F1052:G1447,2,FALSE)</f>
        <v>#N/A</v>
      </c>
      <c r="B1051" s="90" t="e">
        <f>INDEX('NEW HIRE ROSTER'!$G:$G,MATCH(RAW!F1051,'NEW HIRE ROSTER'!$A:$A,0))</f>
        <v>#N/A</v>
      </c>
      <c r="C1051" s="90" t="e">
        <f>INDEX('NEW HIRE ROSTER'!$F:$F,MATCH(RAW!F1051,'NEW HIRE ROSTER'!$A:$A,0))</f>
        <v>#N/A</v>
      </c>
      <c r="D1051" s="90" t="e">
        <f>INDEX('Validation List'!$H:$H,MATCH(RAW!E1051,'Validation List'!$F:$F,0))</f>
        <v>#N/A</v>
      </c>
      <c r="G1051" s="90" t="e">
        <f>VLOOKUP(F1051,ML!C1035:D1633,2,FALSE)</f>
        <v>#N/A</v>
      </c>
      <c r="H1051" s="90" t="e">
        <f>VLOOKUP(F1051,ML!C1035:E1633,3,FALSE)</f>
        <v>#N/A</v>
      </c>
    </row>
    <row r="1052" spans="1:8" x14ac:dyDescent="0.35">
      <c r="A1052" s="90" t="e">
        <f>VLOOKUP(E1052,'Validation List'!F1053:G1448,2,FALSE)</f>
        <v>#N/A</v>
      </c>
      <c r="B1052" s="90" t="e">
        <f>INDEX('NEW HIRE ROSTER'!$G:$G,MATCH(RAW!F1052,'NEW HIRE ROSTER'!$A:$A,0))</f>
        <v>#N/A</v>
      </c>
      <c r="C1052" s="90" t="e">
        <f>INDEX('NEW HIRE ROSTER'!$F:$F,MATCH(RAW!F1052,'NEW HIRE ROSTER'!$A:$A,0))</f>
        <v>#N/A</v>
      </c>
      <c r="D1052" s="90" t="e">
        <f>INDEX('Validation List'!$H:$H,MATCH(RAW!E1052,'Validation List'!$F:$F,0))</f>
        <v>#N/A</v>
      </c>
      <c r="G1052" s="90" t="e">
        <f>VLOOKUP(F1052,ML!C1036:D1634,2,FALSE)</f>
        <v>#N/A</v>
      </c>
      <c r="H1052" s="90" t="e">
        <f>VLOOKUP(F1052,ML!C1036:E1634,3,FALSE)</f>
        <v>#N/A</v>
      </c>
    </row>
    <row r="1053" spans="1:8" x14ac:dyDescent="0.35">
      <c r="A1053" s="90" t="e">
        <f>VLOOKUP(E1053,'Validation List'!F1054:G1449,2,FALSE)</f>
        <v>#N/A</v>
      </c>
      <c r="B1053" s="90" t="e">
        <f>INDEX('NEW HIRE ROSTER'!$G:$G,MATCH(RAW!F1053,'NEW HIRE ROSTER'!$A:$A,0))</f>
        <v>#N/A</v>
      </c>
      <c r="C1053" s="90" t="e">
        <f>INDEX('NEW HIRE ROSTER'!$F:$F,MATCH(RAW!F1053,'NEW HIRE ROSTER'!$A:$A,0))</f>
        <v>#N/A</v>
      </c>
      <c r="D1053" s="90" t="e">
        <f>INDEX('Validation List'!$H:$H,MATCH(RAW!E1053,'Validation List'!$F:$F,0))</f>
        <v>#N/A</v>
      </c>
      <c r="G1053" s="90" t="e">
        <f>VLOOKUP(F1053,ML!C1037:D1635,2,FALSE)</f>
        <v>#N/A</v>
      </c>
      <c r="H1053" s="90" t="e">
        <f>VLOOKUP(F1053,ML!C1037:E1635,3,FALSE)</f>
        <v>#N/A</v>
      </c>
    </row>
    <row r="1054" spans="1:8" x14ac:dyDescent="0.35">
      <c r="A1054" s="90" t="e">
        <f>VLOOKUP(E1054,'Validation List'!F1055:G1450,2,FALSE)</f>
        <v>#N/A</v>
      </c>
      <c r="B1054" s="90" t="e">
        <f>INDEX('NEW HIRE ROSTER'!$G:$G,MATCH(RAW!F1054,'NEW HIRE ROSTER'!$A:$A,0))</f>
        <v>#N/A</v>
      </c>
      <c r="C1054" s="90" t="e">
        <f>INDEX('NEW HIRE ROSTER'!$F:$F,MATCH(RAW!F1054,'NEW HIRE ROSTER'!$A:$A,0))</f>
        <v>#N/A</v>
      </c>
      <c r="D1054" s="90" t="e">
        <f>INDEX('Validation List'!$H:$H,MATCH(RAW!E1054,'Validation List'!$F:$F,0))</f>
        <v>#N/A</v>
      </c>
      <c r="G1054" s="90" t="e">
        <f>VLOOKUP(F1054,ML!C1038:D1636,2,FALSE)</f>
        <v>#N/A</v>
      </c>
      <c r="H1054" s="90" t="e">
        <f>VLOOKUP(F1054,ML!C1038:E1636,3,FALSE)</f>
        <v>#N/A</v>
      </c>
    </row>
    <row r="1055" spans="1:8" x14ac:dyDescent="0.35">
      <c r="A1055" s="90" t="e">
        <f>VLOOKUP(E1055,'Validation List'!F1056:G1451,2,FALSE)</f>
        <v>#N/A</v>
      </c>
      <c r="B1055" s="90" t="e">
        <f>INDEX('NEW HIRE ROSTER'!$G:$G,MATCH(RAW!F1055,'NEW HIRE ROSTER'!$A:$A,0))</f>
        <v>#N/A</v>
      </c>
      <c r="C1055" s="90" t="e">
        <f>INDEX('NEW HIRE ROSTER'!$F:$F,MATCH(RAW!F1055,'NEW HIRE ROSTER'!$A:$A,0))</f>
        <v>#N/A</v>
      </c>
      <c r="D1055" s="90" t="e">
        <f>INDEX('Validation List'!$H:$H,MATCH(RAW!E1055,'Validation List'!$F:$F,0))</f>
        <v>#N/A</v>
      </c>
      <c r="G1055" s="90" t="e">
        <f>VLOOKUP(F1055,ML!C1039:D1637,2,FALSE)</f>
        <v>#N/A</v>
      </c>
      <c r="H1055" s="90" t="e">
        <f>VLOOKUP(F1055,ML!C1039:E1637,3,FALSE)</f>
        <v>#N/A</v>
      </c>
    </row>
    <row r="1056" spans="1:8" x14ac:dyDescent="0.35">
      <c r="A1056" s="90" t="e">
        <f>VLOOKUP(E1056,'Validation List'!F1057:G1452,2,FALSE)</f>
        <v>#N/A</v>
      </c>
      <c r="B1056" s="90" t="e">
        <f>INDEX('NEW HIRE ROSTER'!$G:$G,MATCH(RAW!F1056,'NEW HIRE ROSTER'!$A:$A,0))</f>
        <v>#N/A</v>
      </c>
      <c r="C1056" s="90" t="e">
        <f>INDEX('NEW HIRE ROSTER'!$F:$F,MATCH(RAW!F1056,'NEW HIRE ROSTER'!$A:$A,0))</f>
        <v>#N/A</v>
      </c>
      <c r="D1056" s="90" t="e">
        <f>INDEX('Validation List'!$H:$H,MATCH(RAW!E1056,'Validation List'!$F:$F,0))</f>
        <v>#N/A</v>
      </c>
      <c r="G1056" s="90" t="e">
        <f>VLOOKUP(F1056,ML!C1040:D1638,2,FALSE)</f>
        <v>#N/A</v>
      </c>
      <c r="H1056" s="90" t="e">
        <f>VLOOKUP(F1056,ML!C1040:E1638,3,FALSE)</f>
        <v>#N/A</v>
      </c>
    </row>
    <row r="1057" spans="1:8" x14ac:dyDescent="0.35">
      <c r="A1057" s="90" t="e">
        <f>VLOOKUP(E1057,'Validation List'!F1058:G1453,2,FALSE)</f>
        <v>#N/A</v>
      </c>
      <c r="B1057" s="90" t="e">
        <f>INDEX('NEW HIRE ROSTER'!$G:$G,MATCH(RAW!F1057,'NEW HIRE ROSTER'!$A:$A,0))</f>
        <v>#N/A</v>
      </c>
      <c r="C1057" s="90" t="e">
        <f>INDEX('NEW HIRE ROSTER'!$F:$F,MATCH(RAW!F1057,'NEW HIRE ROSTER'!$A:$A,0))</f>
        <v>#N/A</v>
      </c>
      <c r="D1057" s="90" t="e">
        <f>INDEX('Validation List'!$H:$H,MATCH(RAW!E1057,'Validation List'!$F:$F,0))</f>
        <v>#N/A</v>
      </c>
      <c r="G1057" s="90" t="e">
        <f>VLOOKUP(F1057,ML!C1041:D1639,2,FALSE)</f>
        <v>#N/A</v>
      </c>
      <c r="H1057" s="90" t="e">
        <f>VLOOKUP(F1057,ML!C1041:E1639,3,FALSE)</f>
        <v>#N/A</v>
      </c>
    </row>
    <row r="1058" spans="1:8" x14ac:dyDescent="0.35">
      <c r="A1058" s="90" t="e">
        <f>VLOOKUP(E1058,'Validation List'!F1059:G1454,2,FALSE)</f>
        <v>#N/A</v>
      </c>
      <c r="B1058" s="90" t="e">
        <f>INDEX('NEW HIRE ROSTER'!$G:$G,MATCH(RAW!F1058,'NEW HIRE ROSTER'!$A:$A,0))</f>
        <v>#N/A</v>
      </c>
      <c r="C1058" s="90" t="e">
        <f>INDEX('NEW HIRE ROSTER'!$F:$F,MATCH(RAW!F1058,'NEW HIRE ROSTER'!$A:$A,0))</f>
        <v>#N/A</v>
      </c>
      <c r="D1058" s="90" t="e">
        <f>INDEX('Validation List'!$H:$H,MATCH(RAW!E1058,'Validation List'!$F:$F,0))</f>
        <v>#N/A</v>
      </c>
      <c r="G1058" s="90" t="e">
        <f>VLOOKUP(F1058,ML!C1042:D1640,2,FALSE)</f>
        <v>#N/A</v>
      </c>
      <c r="H1058" s="90" t="e">
        <f>VLOOKUP(F1058,ML!C1042:E1640,3,FALSE)</f>
        <v>#N/A</v>
      </c>
    </row>
    <row r="1059" spans="1:8" x14ac:dyDescent="0.35">
      <c r="A1059" s="90" t="e">
        <f>VLOOKUP(E1059,'Validation List'!F1060:G1455,2,FALSE)</f>
        <v>#N/A</v>
      </c>
      <c r="B1059" s="90" t="e">
        <f>INDEX('NEW HIRE ROSTER'!$G:$G,MATCH(RAW!F1059,'NEW HIRE ROSTER'!$A:$A,0))</f>
        <v>#N/A</v>
      </c>
      <c r="C1059" s="90" t="e">
        <f>INDEX('NEW HIRE ROSTER'!$F:$F,MATCH(RAW!F1059,'NEW HIRE ROSTER'!$A:$A,0))</f>
        <v>#N/A</v>
      </c>
      <c r="D1059" s="90" t="e">
        <f>INDEX('Validation List'!$H:$H,MATCH(RAW!E1059,'Validation List'!$F:$F,0))</f>
        <v>#N/A</v>
      </c>
      <c r="G1059" s="90" t="e">
        <f>VLOOKUP(F1059,ML!C1043:D1641,2,FALSE)</f>
        <v>#N/A</v>
      </c>
      <c r="H1059" s="90" t="e">
        <f>VLOOKUP(F1059,ML!C1043:E1641,3,FALSE)</f>
        <v>#N/A</v>
      </c>
    </row>
    <row r="1060" spans="1:8" x14ac:dyDescent="0.35">
      <c r="A1060" s="90" t="e">
        <f>VLOOKUP(E1060,'Validation List'!F1061:G1456,2,FALSE)</f>
        <v>#N/A</v>
      </c>
      <c r="B1060" s="90" t="e">
        <f>INDEX('NEW HIRE ROSTER'!$G:$G,MATCH(RAW!F1060,'NEW HIRE ROSTER'!$A:$A,0))</f>
        <v>#N/A</v>
      </c>
      <c r="C1060" s="90" t="e">
        <f>INDEX('NEW HIRE ROSTER'!$F:$F,MATCH(RAW!F1060,'NEW HIRE ROSTER'!$A:$A,0))</f>
        <v>#N/A</v>
      </c>
      <c r="D1060" s="90" t="e">
        <f>INDEX('Validation List'!$H:$H,MATCH(RAW!E1060,'Validation List'!$F:$F,0))</f>
        <v>#N/A</v>
      </c>
      <c r="G1060" s="90" t="e">
        <f>VLOOKUP(F1060,ML!C1044:D1642,2,FALSE)</f>
        <v>#N/A</v>
      </c>
      <c r="H1060" s="90" t="e">
        <f>VLOOKUP(F1060,ML!C1044:E1642,3,FALSE)</f>
        <v>#N/A</v>
      </c>
    </row>
    <row r="1061" spans="1:8" x14ac:dyDescent="0.35">
      <c r="A1061" s="90" t="e">
        <f>VLOOKUP(E1061,'Validation List'!F1062:G1457,2,FALSE)</f>
        <v>#N/A</v>
      </c>
      <c r="B1061" s="90" t="e">
        <f>INDEX('NEW HIRE ROSTER'!$G:$G,MATCH(RAW!F1061,'NEW HIRE ROSTER'!$A:$A,0))</f>
        <v>#N/A</v>
      </c>
      <c r="C1061" s="90" t="e">
        <f>INDEX('NEW HIRE ROSTER'!$F:$F,MATCH(RAW!F1061,'NEW HIRE ROSTER'!$A:$A,0))</f>
        <v>#N/A</v>
      </c>
      <c r="D1061" s="90" t="e">
        <f>INDEX('Validation List'!$H:$H,MATCH(RAW!E1061,'Validation List'!$F:$F,0))</f>
        <v>#N/A</v>
      </c>
      <c r="G1061" s="90" t="e">
        <f>VLOOKUP(F1061,ML!C1045:D1643,2,FALSE)</f>
        <v>#N/A</v>
      </c>
      <c r="H1061" s="90" t="e">
        <f>VLOOKUP(F1061,ML!C1045:E1643,3,FALSE)</f>
        <v>#N/A</v>
      </c>
    </row>
    <row r="1062" spans="1:8" x14ac:dyDescent="0.35">
      <c r="A1062" s="90" t="e">
        <f>VLOOKUP(E1062,'Validation List'!F1063:G1458,2,FALSE)</f>
        <v>#N/A</v>
      </c>
      <c r="B1062" s="90" t="e">
        <f>INDEX('NEW HIRE ROSTER'!$G:$G,MATCH(RAW!F1062,'NEW HIRE ROSTER'!$A:$A,0))</f>
        <v>#N/A</v>
      </c>
      <c r="C1062" s="90" t="e">
        <f>INDEX('NEW HIRE ROSTER'!$F:$F,MATCH(RAW!F1062,'NEW HIRE ROSTER'!$A:$A,0))</f>
        <v>#N/A</v>
      </c>
      <c r="D1062" s="90" t="e">
        <f>INDEX('Validation List'!$H:$H,MATCH(RAW!E1062,'Validation List'!$F:$F,0))</f>
        <v>#N/A</v>
      </c>
      <c r="G1062" s="90" t="e">
        <f>VLOOKUP(F1062,ML!C1046:D1644,2,FALSE)</f>
        <v>#N/A</v>
      </c>
      <c r="H1062" s="90" t="e">
        <f>VLOOKUP(F1062,ML!C1046:E1644,3,FALSE)</f>
        <v>#N/A</v>
      </c>
    </row>
    <row r="1063" spans="1:8" x14ac:dyDescent="0.35">
      <c r="A1063" s="90" t="e">
        <f>VLOOKUP(E1063,'Validation List'!F1064:G1459,2,FALSE)</f>
        <v>#N/A</v>
      </c>
      <c r="B1063" s="90" t="e">
        <f>INDEX('NEW HIRE ROSTER'!$G:$G,MATCH(RAW!F1063,'NEW HIRE ROSTER'!$A:$A,0))</f>
        <v>#N/A</v>
      </c>
      <c r="C1063" s="90" t="e">
        <f>INDEX('NEW HIRE ROSTER'!$F:$F,MATCH(RAW!F1063,'NEW HIRE ROSTER'!$A:$A,0))</f>
        <v>#N/A</v>
      </c>
      <c r="D1063" s="90" t="e">
        <f>INDEX('Validation List'!$H:$H,MATCH(RAW!E1063,'Validation List'!$F:$F,0))</f>
        <v>#N/A</v>
      </c>
      <c r="G1063" s="90" t="e">
        <f>VLOOKUP(F1063,ML!C1047:D1645,2,FALSE)</f>
        <v>#N/A</v>
      </c>
      <c r="H1063" s="90" t="e">
        <f>VLOOKUP(F1063,ML!C1047:E1645,3,FALSE)</f>
        <v>#N/A</v>
      </c>
    </row>
    <row r="1064" spans="1:8" x14ac:dyDescent="0.35">
      <c r="A1064" s="90" t="e">
        <f>VLOOKUP(E1064,'Validation List'!F1065:G1460,2,FALSE)</f>
        <v>#N/A</v>
      </c>
      <c r="B1064" s="90" t="e">
        <f>INDEX('NEW HIRE ROSTER'!$G:$G,MATCH(RAW!F1064,'NEW HIRE ROSTER'!$A:$A,0))</f>
        <v>#N/A</v>
      </c>
      <c r="C1064" s="90" t="e">
        <f>INDEX('NEW HIRE ROSTER'!$F:$F,MATCH(RAW!F1064,'NEW HIRE ROSTER'!$A:$A,0))</f>
        <v>#N/A</v>
      </c>
      <c r="D1064" s="90" t="e">
        <f>INDEX('Validation List'!$H:$H,MATCH(RAW!E1064,'Validation List'!$F:$F,0))</f>
        <v>#N/A</v>
      </c>
      <c r="G1064" s="90" t="e">
        <f>VLOOKUP(F1064,ML!C1048:D1646,2,FALSE)</f>
        <v>#N/A</v>
      </c>
      <c r="H1064" s="90" t="e">
        <f>VLOOKUP(F1064,ML!C1048:E1646,3,FALSE)</f>
        <v>#N/A</v>
      </c>
    </row>
    <row r="1065" spans="1:8" x14ac:dyDescent="0.35">
      <c r="A1065" s="90" t="e">
        <f>VLOOKUP(E1065,'Validation List'!F1066:G1461,2,FALSE)</f>
        <v>#N/A</v>
      </c>
      <c r="B1065" s="90" t="e">
        <f>INDEX('NEW HIRE ROSTER'!$G:$G,MATCH(RAW!F1065,'NEW HIRE ROSTER'!$A:$A,0))</f>
        <v>#N/A</v>
      </c>
      <c r="C1065" s="90" t="e">
        <f>INDEX('NEW HIRE ROSTER'!$F:$F,MATCH(RAW!F1065,'NEW HIRE ROSTER'!$A:$A,0))</f>
        <v>#N/A</v>
      </c>
      <c r="D1065" s="90" t="e">
        <f>INDEX('Validation List'!$H:$H,MATCH(RAW!E1065,'Validation List'!$F:$F,0))</f>
        <v>#N/A</v>
      </c>
      <c r="G1065" s="90" t="e">
        <f>VLOOKUP(F1065,ML!C1049:D1647,2,FALSE)</f>
        <v>#N/A</v>
      </c>
      <c r="H1065" s="90" t="e">
        <f>VLOOKUP(F1065,ML!C1049:E1647,3,FALSE)</f>
        <v>#N/A</v>
      </c>
    </row>
    <row r="1066" spans="1:8" x14ac:dyDescent="0.35">
      <c r="A1066" s="90" t="e">
        <f>VLOOKUP(E1066,'Validation List'!F1067:G1462,2,FALSE)</f>
        <v>#N/A</v>
      </c>
      <c r="B1066" s="90" t="e">
        <f>INDEX('NEW HIRE ROSTER'!$G:$G,MATCH(RAW!F1066,'NEW HIRE ROSTER'!$A:$A,0))</f>
        <v>#N/A</v>
      </c>
      <c r="C1066" s="90" t="e">
        <f>INDEX('NEW HIRE ROSTER'!$F:$F,MATCH(RAW!F1066,'NEW HIRE ROSTER'!$A:$A,0))</f>
        <v>#N/A</v>
      </c>
      <c r="D1066" s="90" t="e">
        <f>INDEX('Validation List'!$H:$H,MATCH(RAW!E1066,'Validation List'!$F:$F,0))</f>
        <v>#N/A</v>
      </c>
      <c r="G1066" s="90" t="e">
        <f>VLOOKUP(F1066,ML!C1050:D1648,2,FALSE)</f>
        <v>#N/A</v>
      </c>
      <c r="H1066" s="90" t="e">
        <f>VLOOKUP(F1066,ML!C1050:E1648,3,FALSE)</f>
        <v>#N/A</v>
      </c>
    </row>
    <row r="1067" spans="1:8" x14ac:dyDescent="0.35">
      <c r="A1067" s="90" t="e">
        <f>VLOOKUP(E1067,'Validation List'!F1068:G1463,2,FALSE)</f>
        <v>#N/A</v>
      </c>
      <c r="B1067" s="90" t="e">
        <f>INDEX('NEW HIRE ROSTER'!$G:$G,MATCH(RAW!F1067,'NEW HIRE ROSTER'!$A:$A,0))</f>
        <v>#N/A</v>
      </c>
      <c r="C1067" s="90" t="e">
        <f>INDEX('NEW HIRE ROSTER'!$F:$F,MATCH(RAW!F1067,'NEW HIRE ROSTER'!$A:$A,0))</f>
        <v>#N/A</v>
      </c>
      <c r="D1067" s="90" t="e">
        <f>INDEX('Validation List'!$H:$H,MATCH(RAW!E1067,'Validation List'!$F:$F,0))</f>
        <v>#N/A</v>
      </c>
      <c r="G1067" s="90" t="e">
        <f>VLOOKUP(F1067,ML!C1051:D1649,2,FALSE)</f>
        <v>#N/A</v>
      </c>
      <c r="H1067" s="90" t="e">
        <f>VLOOKUP(F1067,ML!C1051:E1649,3,FALSE)</f>
        <v>#N/A</v>
      </c>
    </row>
    <row r="1068" spans="1:8" x14ac:dyDescent="0.35">
      <c r="A1068" s="90" t="e">
        <f>VLOOKUP(E1068,'Validation List'!F1069:G1464,2,FALSE)</f>
        <v>#N/A</v>
      </c>
      <c r="B1068" s="90" t="e">
        <f>INDEX('NEW HIRE ROSTER'!$G:$G,MATCH(RAW!F1068,'NEW HIRE ROSTER'!$A:$A,0))</f>
        <v>#N/A</v>
      </c>
      <c r="C1068" s="90" t="e">
        <f>INDEX('NEW HIRE ROSTER'!$F:$F,MATCH(RAW!F1068,'NEW HIRE ROSTER'!$A:$A,0))</f>
        <v>#N/A</v>
      </c>
      <c r="D1068" s="90" t="e">
        <f>INDEX('Validation List'!$H:$H,MATCH(RAW!E1068,'Validation List'!$F:$F,0))</f>
        <v>#N/A</v>
      </c>
      <c r="G1068" s="90" t="e">
        <f>VLOOKUP(F1068,ML!C1052:D1650,2,FALSE)</f>
        <v>#N/A</v>
      </c>
      <c r="H1068" s="90" t="e">
        <f>VLOOKUP(F1068,ML!C1052:E1650,3,FALSE)</f>
        <v>#N/A</v>
      </c>
    </row>
    <row r="1069" spans="1:8" x14ac:dyDescent="0.35">
      <c r="A1069" s="90" t="e">
        <f>VLOOKUP(E1069,'Validation List'!F1070:G1465,2,FALSE)</f>
        <v>#N/A</v>
      </c>
      <c r="B1069" s="90" t="e">
        <f>INDEX('NEW HIRE ROSTER'!$G:$G,MATCH(RAW!F1069,'NEW HIRE ROSTER'!$A:$A,0))</f>
        <v>#N/A</v>
      </c>
      <c r="C1069" s="90" t="e">
        <f>INDEX('NEW HIRE ROSTER'!$F:$F,MATCH(RAW!F1069,'NEW HIRE ROSTER'!$A:$A,0))</f>
        <v>#N/A</v>
      </c>
      <c r="D1069" s="90" t="e">
        <f>INDEX('Validation List'!$H:$H,MATCH(RAW!E1069,'Validation List'!$F:$F,0))</f>
        <v>#N/A</v>
      </c>
      <c r="G1069" s="90" t="e">
        <f>VLOOKUP(F1069,ML!C1053:D1651,2,FALSE)</f>
        <v>#N/A</v>
      </c>
      <c r="H1069" s="90" t="e">
        <f>VLOOKUP(F1069,ML!C1053:E1651,3,FALSE)</f>
        <v>#N/A</v>
      </c>
    </row>
    <row r="1070" spans="1:8" x14ac:dyDescent="0.35">
      <c r="A1070" s="90" t="e">
        <f>VLOOKUP(E1070,'Validation List'!F1071:G1466,2,FALSE)</f>
        <v>#N/A</v>
      </c>
      <c r="B1070" s="90" t="e">
        <f>INDEX('NEW HIRE ROSTER'!$G:$G,MATCH(RAW!F1070,'NEW HIRE ROSTER'!$A:$A,0))</f>
        <v>#N/A</v>
      </c>
      <c r="C1070" s="90" t="e">
        <f>INDEX('NEW HIRE ROSTER'!$F:$F,MATCH(RAW!F1070,'NEW HIRE ROSTER'!$A:$A,0))</f>
        <v>#N/A</v>
      </c>
      <c r="D1070" s="90" t="e">
        <f>INDEX('Validation List'!$H:$H,MATCH(RAW!E1070,'Validation List'!$F:$F,0))</f>
        <v>#N/A</v>
      </c>
      <c r="G1070" s="90" t="e">
        <f>VLOOKUP(F1070,ML!C1054:D1652,2,FALSE)</f>
        <v>#N/A</v>
      </c>
      <c r="H1070" s="90" t="e">
        <f>VLOOKUP(F1070,ML!C1054:E1652,3,FALSE)</f>
        <v>#N/A</v>
      </c>
    </row>
    <row r="1071" spans="1:8" x14ac:dyDescent="0.35">
      <c r="A1071" s="90" t="e">
        <f>VLOOKUP(E1071,'Validation List'!F1072:G1467,2,FALSE)</f>
        <v>#N/A</v>
      </c>
      <c r="B1071" s="90" t="e">
        <f>INDEX('NEW HIRE ROSTER'!$G:$G,MATCH(RAW!F1071,'NEW HIRE ROSTER'!$A:$A,0))</f>
        <v>#N/A</v>
      </c>
      <c r="C1071" s="90" t="e">
        <f>INDEX('NEW HIRE ROSTER'!$F:$F,MATCH(RAW!F1071,'NEW HIRE ROSTER'!$A:$A,0))</f>
        <v>#N/A</v>
      </c>
      <c r="D1071" s="90" t="e">
        <f>INDEX('Validation List'!$H:$H,MATCH(RAW!E1071,'Validation List'!$F:$F,0))</f>
        <v>#N/A</v>
      </c>
      <c r="G1071" s="90" t="e">
        <f>VLOOKUP(F1071,ML!C1055:D1653,2,FALSE)</f>
        <v>#N/A</v>
      </c>
      <c r="H1071" s="90" t="e">
        <f>VLOOKUP(F1071,ML!C1055:E1653,3,FALSE)</f>
        <v>#N/A</v>
      </c>
    </row>
    <row r="1072" spans="1:8" x14ac:dyDescent="0.35">
      <c r="A1072" s="90" t="e">
        <f>VLOOKUP(E1072,'Validation List'!F1073:G1468,2,FALSE)</f>
        <v>#N/A</v>
      </c>
      <c r="B1072" s="90" t="e">
        <f>INDEX('NEW HIRE ROSTER'!$G:$G,MATCH(RAW!F1072,'NEW HIRE ROSTER'!$A:$A,0))</f>
        <v>#N/A</v>
      </c>
      <c r="C1072" s="90" t="e">
        <f>INDEX('NEW HIRE ROSTER'!$F:$F,MATCH(RAW!F1072,'NEW HIRE ROSTER'!$A:$A,0))</f>
        <v>#N/A</v>
      </c>
      <c r="D1072" s="90" t="e">
        <f>INDEX('Validation List'!$H:$H,MATCH(RAW!E1072,'Validation List'!$F:$F,0))</f>
        <v>#N/A</v>
      </c>
      <c r="G1072" s="90" t="e">
        <f>VLOOKUP(F1072,ML!C1056:D1654,2,FALSE)</f>
        <v>#N/A</v>
      </c>
      <c r="H1072" s="90" t="e">
        <f>VLOOKUP(F1072,ML!C1056:E1654,3,FALSE)</f>
        <v>#N/A</v>
      </c>
    </row>
    <row r="1073" spans="1:8" x14ac:dyDescent="0.35">
      <c r="A1073" s="90" t="e">
        <f>VLOOKUP(E1073,'Validation List'!F1074:G1469,2,FALSE)</f>
        <v>#N/A</v>
      </c>
      <c r="B1073" s="90" t="e">
        <f>INDEX('NEW HIRE ROSTER'!$G:$G,MATCH(RAW!F1073,'NEW HIRE ROSTER'!$A:$A,0))</f>
        <v>#N/A</v>
      </c>
      <c r="C1073" s="90" t="e">
        <f>INDEX('NEW HIRE ROSTER'!$F:$F,MATCH(RAW!F1073,'NEW HIRE ROSTER'!$A:$A,0))</f>
        <v>#N/A</v>
      </c>
      <c r="D1073" s="90" t="e">
        <f>INDEX('Validation List'!$H:$H,MATCH(RAW!E1073,'Validation List'!$F:$F,0))</f>
        <v>#N/A</v>
      </c>
      <c r="G1073" s="90" t="e">
        <f>VLOOKUP(F1073,ML!C1057:D1655,2,FALSE)</f>
        <v>#N/A</v>
      </c>
      <c r="H1073" s="90" t="e">
        <f>VLOOKUP(F1073,ML!C1057:E1655,3,FALSE)</f>
        <v>#N/A</v>
      </c>
    </row>
    <row r="1074" spans="1:8" x14ac:dyDescent="0.35">
      <c r="A1074" s="90" t="e">
        <f>VLOOKUP(E1074,'Validation List'!F1075:G1470,2,FALSE)</f>
        <v>#N/A</v>
      </c>
      <c r="B1074" s="90" t="e">
        <f>INDEX('NEW HIRE ROSTER'!$G:$G,MATCH(RAW!F1074,'NEW HIRE ROSTER'!$A:$A,0))</f>
        <v>#N/A</v>
      </c>
      <c r="C1074" s="90" t="e">
        <f>INDEX('NEW HIRE ROSTER'!$F:$F,MATCH(RAW!F1074,'NEW HIRE ROSTER'!$A:$A,0))</f>
        <v>#N/A</v>
      </c>
      <c r="D1074" s="90" t="e">
        <f>INDEX('Validation List'!$H:$H,MATCH(RAW!E1074,'Validation List'!$F:$F,0))</f>
        <v>#N/A</v>
      </c>
      <c r="G1074" s="90" t="e">
        <f>VLOOKUP(F1074,ML!C1058:D1656,2,FALSE)</f>
        <v>#N/A</v>
      </c>
      <c r="H1074" s="90" t="e">
        <f>VLOOKUP(F1074,ML!C1058:E1656,3,FALSE)</f>
        <v>#N/A</v>
      </c>
    </row>
    <row r="1075" spans="1:8" x14ac:dyDescent="0.35">
      <c r="A1075" s="90" t="e">
        <f>VLOOKUP(E1075,'Validation List'!F1076:G1471,2,FALSE)</f>
        <v>#N/A</v>
      </c>
      <c r="B1075" s="90" t="e">
        <f>INDEX('NEW HIRE ROSTER'!$G:$G,MATCH(RAW!F1075,'NEW HIRE ROSTER'!$A:$A,0))</f>
        <v>#N/A</v>
      </c>
      <c r="C1075" s="90" t="e">
        <f>INDEX('NEW HIRE ROSTER'!$F:$F,MATCH(RAW!F1075,'NEW HIRE ROSTER'!$A:$A,0))</f>
        <v>#N/A</v>
      </c>
      <c r="D1075" s="90" t="e">
        <f>INDEX('Validation List'!$H:$H,MATCH(RAW!E1075,'Validation List'!$F:$F,0))</f>
        <v>#N/A</v>
      </c>
      <c r="G1075" s="90" t="e">
        <f>VLOOKUP(F1075,ML!C1059:D1657,2,FALSE)</f>
        <v>#N/A</v>
      </c>
      <c r="H1075" s="90" t="e">
        <f>VLOOKUP(F1075,ML!C1059:E1657,3,FALSE)</f>
        <v>#N/A</v>
      </c>
    </row>
    <row r="1076" spans="1:8" x14ac:dyDescent="0.35">
      <c r="A1076" s="90" t="e">
        <f>VLOOKUP(E1076,'Validation List'!F1077:G1472,2,FALSE)</f>
        <v>#N/A</v>
      </c>
      <c r="B1076" s="90" t="e">
        <f>INDEX('NEW HIRE ROSTER'!$G:$G,MATCH(RAW!F1076,'NEW HIRE ROSTER'!$A:$A,0))</f>
        <v>#N/A</v>
      </c>
      <c r="C1076" s="90" t="e">
        <f>INDEX('NEW HIRE ROSTER'!$F:$F,MATCH(RAW!F1076,'NEW HIRE ROSTER'!$A:$A,0))</f>
        <v>#N/A</v>
      </c>
      <c r="D1076" s="90" t="e">
        <f>INDEX('Validation List'!$H:$H,MATCH(RAW!E1076,'Validation List'!$F:$F,0))</f>
        <v>#N/A</v>
      </c>
      <c r="G1076" s="90" t="e">
        <f>VLOOKUP(F1076,ML!C1060:D1658,2,FALSE)</f>
        <v>#N/A</v>
      </c>
      <c r="H1076" s="90" t="e">
        <f>VLOOKUP(F1076,ML!C1060:E1658,3,FALSE)</f>
        <v>#N/A</v>
      </c>
    </row>
    <row r="1077" spans="1:8" x14ac:dyDescent="0.35">
      <c r="A1077" s="90" t="e">
        <f>VLOOKUP(E1077,'Validation List'!F1078:G1473,2,FALSE)</f>
        <v>#N/A</v>
      </c>
      <c r="B1077" s="90" t="e">
        <f>INDEX('NEW HIRE ROSTER'!$G:$G,MATCH(RAW!F1077,'NEW HIRE ROSTER'!$A:$A,0))</f>
        <v>#N/A</v>
      </c>
      <c r="C1077" s="90" t="e">
        <f>INDEX('NEW HIRE ROSTER'!$F:$F,MATCH(RAW!F1077,'NEW HIRE ROSTER'!$A:$A,0))</f>
        <v>#N/A</v>
      </c>
      <c r="D1077" s="90" t="e">
        <f>INDEX('Validation List'!$H:$H,MATCH(RAW!E1077,'Validation List'!$F:$F,0))</f>
        <v>#N/A</v>
      </c>
      <c r="G1077" s="90" t="e">
        <f>VLOOKUP(F1077,ML!C1061:D1659,2,FALSE)</f>
        <v>#N/A</v>
      </c>
      <c r="H1077" s="90" t="e">
        <f>VLOOKUP(F1077,ML!C1061:E1659,3,FALSE)</f>
        <v>#N/A</v>
      </c>
    </row>
    <row r="1078" spans="1:8" x14ac:dyDescent="0.35">
      <c r="A1078" s="90" t="e">
        <f>VLOOKUP(E1078,'Validation List'!F1079:G1474,2,FALSE)</f>
        <v>#N/A</v>
      </c>
      <c r="B1078" s="90" t="e">
        <f>INDEX('NEW HIRE ROSTER'!$G:$G,MATCH(RAW!F1078,'NEW HIRE ROSTER'!$A:$A,0))</f>
        <v>#N/A</v>
      </c>
      <c r="C1078" s="90" t="e">
        <f>INDEX('NEW HIRE ROSTER'!$F:$F,MATCH(RAW!F1078,'NEW HIRE ROSTER'!$A:$A,0))</f>
        <v>#N/A</v>
      </c>
      <c r="D1078" s="90" t="e">
        <f>INDEX('Validation List'!$H:$H,MATCH(RAW!E1078,'Validation List'!$F:$F,0))</f>
        <v>#N/A</v>
      </c>
      <c r="G1078" s="90" t="e">
        <f>VLOOKUP(F1078,ML!C1062:D1660,2,FALSE)</f>
        <v>#N/A</v>
      </c>
      <c r="H1078" s="90" t="e">
        <f>VLOOKUP(F1078,ML!C1062:E1660,3,FALSE)</f>
        <v>#N/A</v>
      </c>
    </row>
    <row r="1079" spans="1:8" x14ac:dyDescent="0.35">
      <c r="A1079" s="90" t="e">
        <f>VLOOKUP(E1079,'Validation List'!F1080:G1475,2,FALSE)</f>
        <v>#N/A</v>
      </c>
      <c r="B1079" s="90" t="e">
        <f>INDEX('NEW HIRE ROSTER'!$G:$G,MATCH(RAW!F1079,'NEW HIRE ROSTER'!$A:$A,0))</f>
        <v>#N/A</v>
      </c>
      <c r="C1079" s="90" t="e">
        <f>INDEX('NEW HIRE ROSTER'!$F:$F,MATCH(RAW!F1079,'NEW HIRE ROSTER'!$A:$A,0))</f>
        <v>#N/A</v>
      </c>
      <c r="D1079" s="90" t="e">
        <f>INDEX('Validation List'!$H:$H,MATCH(RAW!E1079,'Validation List'!$F:$F,0))</f>
        <v>#N/A</v>
      </c>
      <c r="G1079" s="90" t="e">
        <f>VLOOKUP(F1079,ML!C1063:D1661,2,FALSE)</f>
        <v>#N/A</v>
      </c>
      <c r="H1079" s="90" t="e">
        <f>VLOOKUP(F1079,ML!C1063:E1661,3,FALSE)</f>
        <v>#N/A</v>
      </c>
    </row>
    <row r="1080" spans="1:8" x14ac:dyDescent="0.35">
      <c r="A1080" s="90" t="e">
        <f>VLOOKUP(E1080,'Validation List'!F1081:G1476,2,FALSE)</f>
        <v>#N/A</v>
      </c>
      <c r="B1080" s="90" t="e">
        <f>INDEX('NEW HIRE ROSTER'!$G:$G,MATCH(RAW!F1080,'NEW HIRE ROSTER'!$A:$A,0))</f>
        <v>#N/A</v>
      </c>
      <c r="C1080" s="90" t="e">
        <f>INDEX('NEW HIRE ROSTER'!$F:$F,MATCH(RAW!F1080,'NEW HIRE ROSTER'!$A:$A,0))</f>
        <v>#N/A</v>
      </c>
      <c r="D1080" s="90" t="e">
        <f>INDEX('Validation List'!$H:$H,MATCH(RAW!E1080,'Validation List'!$F:$F,0))</f>
        <v>#N/A</v>
      </c>
      <c r="G1080" s="90" t="e">
        <f>VLOOKUP(F1080,ML!C1064:D1662,2,FALSE)</f>
        <v>#N/A</v>
      </c>
      <c r="H1080" s="90" t="e">
        <f>VLOOKUP(F1080,ML!C1064:E1662,3,FALSE)</f>
        <v>#N/A</v>
      </c>
    </row>
    <row r="1081" spans="1:8" x14ac:dyDescent="0.35">
      <c r="A1081" s="90" t="e">
        <f>VLOOKUP(E1081,'Validation List'!F1082:G1477,2,FALSE)</f>
        <v>#N/A</v>
      </c>
      <c r="B1081" s="90" t="e">
        <f>INDEX('NEW HIRE ROSTER'!$G:$G,MATCH(RAW!F1081,'NEW HIRE ROSTER'!$A:$A,0))</f>
        <v>#N/A</v>
      </c>
      <c r="C1081" s="90" t="e">
        <f>INDEX('NEW HIRE ROSTER'!$F:$F,MATCH(RAW!F1081,'NEW HIRE ROSTER'!$A:$A,0))</f>
        <v>#N/A</v>
      </c>
      <c r="D1081" s="90" t="e">
        <f>INDEX('Validation List'!$H:$H,MATCH(RAW!E1081,'Validation List'!$F:$F,0))</f>
        <v>#N/A</v>
      </c>
      <c r="G1081" s="90" t="e">
        <f>VLOOKUP(F1081,ML!C1065:D1663,2,FALSE)</f>
        <v>#N/A</v>
      </c>
      <c r="H1081" s="90" t="e">
        <f>VLOOKUP(F1081,ML!C1065:E1663,3,FALSE)</f>
        <v>#N/A</v>
      </c>
    </row>
    <row r="1082" spans="1:8" x14ac:dyDescent="0.35">
      <c r="A1082" s="90" t="e">
        <f>VLOOKUP(E1082,'Validation List'!F1083:G1478,2,FALSE)</f>
        <v>#N/A</v>
      </c>
      <c r="B1082" s="90" t="e">
        <f>INDEX('NEW HIRE ROSTER'!$G:$G,MATCH(RAW!F1082,'NEW HIRE ROSTER'!$A:$A,0))</f>
        <v>#N/A</v>
      </c>
      <c r="C1082" s="90" t="e">
        <f>INDEX('NEW HIRE ROSTER'!$F:$F,MATCH(RAW!F1082,'NEW HIRE ROSTER'!$A:$A,0))</f>
        <v>#N/A</v>
      </c>
      <c r="D1082" s="90" t="e">
        <f>INDEX('Validation List'!$H:$H,MATCH(RAW!E1082,'Validation List'!$F:$F,0))</f>
        <v>#N/A</v>
      </c>
      <c r="G1082" s="90" t="e">
        <f>VLOOKUP(F1082,ML!C1066:D1664,2,FALSE)</f>
        <v>#N/A</v>
      </c>
      <c r="H1082" s="90" t="e">
        <f>VLOOKUP(F1082,ML!C1066:E1664,3,FALSE)</f>
        <v>#N/A</v>
      </c>
    </row>
    <row r="1083" spans="1:8" x14ac:dyDescent="0.35">
      <c r="A1083" s="90" t="e">
        <f>VLOOKUP(E1083,'Validation List'!F1084:G1479,2,FALSE)</f>
        <v>#N/A</v>
      </c>
      <c r="B1083" s="90" t="e">
        <f>INDEX('NEW HIRE ROSTER'!$G:$G,MATCH(RAW!F1083,'NEW HIRE ROSTER'!$A:$A,0))</f>
        <v>#N/A</v>
      </c>
      <c r="C1083" s="90" t="e">
        <f>INDEX('NEW HIRE ROSTER'!$F:$F,MATCH(RAW!F1083,'NEW HIRE ROSTER'!$A:$A,0))</f>
        <v>#N/A</v>
      </c>
      <c r="D1083" s="90" t="e">
        <f>INDEX('Validation List'!$H:$H,MATCH(RAW!E1083,'Validation List'!$F:$F,0))</f>
        <v>#N/A</v>
      </c>
      <c r="G1083" s="90" t="e">
        <f>VLOOKUP(F1083,ML!C1067:D1665,2,FALSE)</f>
        <v>#N/A</v>
      </c>
      <c r="H1083" s="90" t="e">
        <f>VLOOKUP(F1083,ML!C1067:E1665,3,FALSE)</f>
        <v>#N/A</v>
      </c>
    </row>
    <row r="1084" spans="1:8" x14ac:dyDescent="0.35">
      <c r="A1084" s="90" t="e">
        <f>VLOOKUP(E1084,'Validation List'!F1085:G1480,2,FALSE)</f>
        <v>#N/A</v>
      </c>
      <c r="B1084" s="90" t="e">
        <f>INDEX('NEW HIRE ROSTER'!$G:$G,MATCH(RAW!F1084,'NEW HIRE ROSTER'!$A:$A,0))</f>
        <v>#N/A</v>
      </c>
      <c r="C1084" s="90" t="e">
        <f>INDEX('NEW HIRE ROSTER'!$F:$F,MATCH(RAW!F1084,'NEW HIRE ROSTER'!$A:$A,0))</f>
        <v>#N/A</v>
      </c>
      <c r="D1084" s="90" t="e">
        <f>INDEX('Validation List'!$H:$H,MATCH(RAW!E1084,'Validation List'!$F:$F,0))</f>
        <v>#N/A</v>
      </c>
      <c r="G1084" s="90" t="e">
        <f>VLOOKUP(F1084,ML!C1068:D1666,2,FALSE)</f>
        <v>#N/A</v>
      </c>
      <c r="H1084" s="90" t="e">
        <f>VLOOKUP(F1084,ML!C1068:E1666,3,FALSE)</f>
        <v>#N/A</v>
      </c>
    </row>
    <row r="1085" spans="1:8" x14ac:dyDescent="0.35">
      <c r="A1085" s="90" t="e">
        <f>VLOOKUP(E1085,'Validation List'!F1086:G1481,2,FALSE)</f>
        <v>#N/A</v>
      </c>
      <c r="B1085" s="90" t="e">
        <f>INDEX('NEW HIRE ROSTER'!$G:$G,MATCH(RAW!F1085,'NEW HIRE ROSTER'!$A:$A,0))</f>
        <v>#N/A</v>
      </c>
      <c r="C1085" s="90" t="e">
        <f>INDEX('NEW HIRE ROSTER'!$F:$F,MATCH(RAW!F1085,'NEW HIRE ROSTER'!$A:$A,0))</f>
        <v>#N/A</v>
      </c>
      <c r="D1085" s="90" t="e">
        <f>INDEX('Validation List'!$H:$H,MATCH(RAW!E1085,'Validation List'!$F:$F,0))</f>
        <v>#N/A</v>
      </c>
      <c r="G1085" s="90" t="e">
        <f>VLOOKUP(F1085,ML!C1069:D1667,2,FALSE)</f>
        <v>#N/A</v>
      </c>
      <c r="H1085" s="90" t="e">
        <f>VLOOKUP(F1085,ML!C1069:E1667,3,FALSE)</f>
        <v>#N/A</v>
      </c>
    </row>
    <row r="1086" spans="1:8" x14ac:dyDescent="0.35">
      <c r="A1086" s="90" t="e">
        <f>VLOOKUP(E1086,'Validation List'!F1087:G1482,2,FALSE)</f>
        <v>#N/A</v>
      </c>
      <c r="B1086" s="90" t="e">
        <f>INDEX('NEW HIRE ROSTER'!$G:$G,MATCH(RAW!F1086,'NEW HIRE ROSTER'!$A:$A,0))</f>
        <v>#N/A</v>
      </c>
      <c r="C1086" s="90" t="e">
        <f>INDEX('NEW HIRE ROSTER'!$F:$F,MATCH(RAW!F1086,'NEW HIRE ROSTER'!$A:$A,0))</f>
        <v>#N/A</v>
      </c>
      <c r="D1086" s="90" t="e">
        <f>INDEX('Validation List'!$H:$H,MATCH(RAW!E1086,'Validation List'!$F:$F,0))</f>
        <v>#N/A</v>
      </c>
      <c r="G1086" s="90" t="e">
        <f>VLOOKUP(F1086,ML!C1070:D1668,2,FALSE)</f>
        <v>#N/A</v>
      </c>
      <c r="H1086" s="90" t="e">
        <f>VLOOKUP(F1086,ML!C1070:E1668,3,FALSE)</f>
        <v>#N/A</v>
      </c>
    </row>
    <row r="1087" spans="1:8" x14ac:dyDescent="0.35">
      <c r="A1087" s="90" t="e">
        <f>VLOOKUP(E1087,'Validation List'!F1088:G1483,2,FALSE)</f>
        <v>#N/A</v>
      </c>
      <c r="B1087" s="90" t="e">
        <f>INDEX('NEW HIRE ROSTER'!$G:$G,MATCH(RAW!F1087,'NEW HIRE ROSTER'!$A:$A,0))</f>
        <v>#N/A</v>
      </c>
      <c r="C1087" s="90" t="e">
        <f>INDEX('NEW HIRE ROSTER'!$F:$F,MATCH(RAW!F1087,'NEW HIRE ROSTER'!$A:$A,0))</f>
        <v>#N/A</v>
      </c>
      <c r="D1087" s="90" t="e">
        <f>INDEX('Validation List'!$H:$H,MATCH(RAW!E1087,'Validation List'!$F:$F,0))</f>
        <v>#N/A</v>
      </c>
      <c r="G1087" s="90" t="e">
        <f>VLOOKUP(F1087,ML!C1071:D1669,2,FALSE)</f>
        <v>#N/A</v>
      </c>
      <c r="H1087" s="90" t="e">
        <f>VLOOKUP(F1087,ML!C1071:E1669,3,FALSE)</f>
        <v>#N/A</v>
      </c>
    </row>
    <row r="1088" spans="1:8" x14ac:dyDescent="0.35">
      <c r="A1088" s="90" t="e">
        <f>VLOOKUP(E1088,'Validation List'!F1089:G1484,2,FALSE)</f>
        <v>#N/A</v>
      </c>
      <c r="B1088" s="90" t="e">
        <f>INDEX('NEW HIRE ROSTER'!$G:$G,MATCH(RAW!F1088,'NEW HIRE ROSTER'!$A:$A,0))</f>
        <v>#N/A</v>
      </c>
      <c r="C1088" s="90" t="e">
        <f>INDEX('NEW HIRE ROSTER'!$F:$F,MATCH(RAW!F1088,'NEW HIRE ROSTER'!$A:$A,0))</f>
        <v>#N/A</v>
      </c>
      <c r="D1088" s="90" t="e">
        <f>INDEX('Validation List'!$H:$H,MATCH(RAW!E1088,'Validation List'!$F:$F,0))</f>
        <v>#N/A</v>
      </c>
      <c r="G1088" s="90" t="e">
        <f>VLOOKUP(F1088,ML!C1072:D1670,2,FALSE)</f>
        <v>#N/A</v>
      </c>
      <c r="H1088" s="90" t="e">
        <f>VLOOKUP(F1088,ML!C1072:E1670,3,FALSE)</f>
        <v>#N/A</v>
      </c>
    </row>
    <row r="1089" spans="1:8" x14ac:dyDescent="0.35">
      <c r="A1089" s="90" t="e">
        <f>VLOOKUP(E1089,'Validation List'!F1090:G1485,2,FALSE)</f>
        <v>#N/A</v>
      </c>
      <c r="B1089" s="90" t="e">
        <f>INDEX('NEW HIRE ROSTER'!$G:$G,MATCH(RAW!F1089,'NEW HIRE ROSTER'!$A:$A,0))</f>
        <v>#N/A</v>
      </c>
      <c r="C1089" s="90" t="e">
        <f>INDEX('NEW HIRE ROSTER'!$F:$F,MATCH(RAW!F1089,'NEW HIRE ROSTER'!$A:$A,0))</f>
        <v>#N/A</v>
      </c>
      <c r="D1089" s="90" t="e">
        <f>INDEX('Validation List'!$H:$H,MATCH(RAW!E1089,'Validation List'!$F:$F,0))</f>
        <v>#N/A</v>
      </c>
      <c r="G1089" s="90" t="e">
        <f>VLOOKUP(F1089,ML!C1073:D1671,2,FALSE)</f>
        <v>#N/A</v>
      </c>
      <c r="H1089" s="90" t="e">
        <f>VLOOKUP(F1089,ML!C1073:E1671,3,FALSE)</f>
        <v>#N/A</v>
      </c>
    </row>
    <row r="1090" spans="1:8" x14ac:dyDescent="0.35">
      <c r="A1090" s="90" t="e">
        <f>VLOOKUP(E1090,'Validation List'!F1091:G1486,2,FALSE)</f>
        <v>#N/A</v>
      </c>
      <c r="B1090" s="90" t="e">
        <f>INDEX('NEW HIRE ROSTER'!$G:$G,MATCH(RAW!F1090,'NEW HIRE ROSTER'!$A:$A,0))</f>
        <v>#N/A</v>
      </c>
      <c r="C1090" s="90" t="e">
        <f>INDEX('NEW HIRE ROSTER'!$F:$F,MATCH(RAW!F1090,'NEW HIRE ROSTER'!$A:$A,0))</f>
        <v>#N/A</v>
      </c>
      <c r="D1090" s="90" t="e">
        <f>INDEX('Validation List'!$H:$H,MATCH(RAW!E1090,'Validation List'!$F:$F,0))</f>
        <v>#N/A</v>
      </c>
      <c r="G1090" s="90" t="e">
        <f>VLOOKUP(F1090,ML!C1074:D1672,2,FALSE)</f>
        <v>#N/A</v>
      </c>
      <c r="H1090" s="90" t="e">
        <f>VLOOKUP(F1090,ML!C1074:E1672,3,FALSE)</f>
        <v>#N/A</v>
      </c>
    </row>
    <row r="1091" spans="1:8" x14ac:dyDescent="0.35">
      <c r="A1091" s="90" t="e">
        <f>VLOOKUP(E1091,'Validation List'!F1092:G1487,2,FALSE)</f>
        <v>#N/A</v>
      </c>
      <c r="B1091" s="90" t="e">
        <f>INDEX('NEW HIRE ROSTER'!$G:$G,MATCH(RAW!F1091,'NEW HIRE ROSTER'!$A:$A,0))</f>
        <v>#N/A</v>
      </c>
      <c r="C1091" s="90" t="e">
        <f>INDEX('NEW HIRE ROSTER'!$F:$F,MATCH(RAW!F1091,'NEW HIRE ROSTER'!$A:$A,0))</f>
        <v>#N/A</v>
      </c>
      <c r="D1091" s="90" t="e">
        <f>INDEX('Validation List'!$H:$H,MATCH(RAW!E1091,'Validation List'!$F:$F,0))</f>
        <v>#N/A</v>
      </c>
      <c r="G1091" s="90" t="e">
        <f>VLOOKUP(F1091,ML!C1075:D1673,2,FALSE)</f>
        <v>#N/A</v>
      </c>
      <c r="H1091" s="90" t="e">
        <f>VLOOKUP(F1091,ML!C1075:E1673,3,FALSE)</f>
        <v>#N/A</v>
      </c>
    </row>
    <row r="1092" spans="1:8" x14ac:dyDescent="0.35">
      <c r="A1092" s="90" t="e">
        <f>VLOOKUP(E1092,'Validation List'!F1093:G1488,2,FALSE)</f>
        <v>#N/A</v>
      </c>
      <c r="B1092" s="90" t="e">
        <f>INDEX('NEW HIRE ROSTER'!$G:$G,MATCH(RAW!F1092,'NEW HIRE ROSTER'!$A:$A,0))</f>
        <v>#N/A</v>
      </c>
      <c r="C1092" s="90" t="e">
        <f>INDEX('NEW HIRE ROSTER'!$F:$F,MATCH(RAW!F1092,'NEW HIRE ROSTER'!$A:$A,0))</f>
        <v>#N/A</v>
      </c>
      <c r="D1092" s="90" t="e">
        <f>INDEX('Validation List'!$H:$H,MATCH(RAW!E1092,'Validation List'!$F:$F,0))</f>
        <v>#N/A</v>
      </c>
      <c r="G1092" s="90" t="e">
        <f>VLOOKUP(F1092,ML!C1076:D1674,2,FALSE)</f>
        <v>#N/A</v>
      </c>
      <c r="H1092" s="90" t="e">
        <f>VLOOKUP(F1092,ML!C1076:E1674,3,FALSE)</f>
        <v>#N/A</v>
      </c>
    </row>
    <row r="1093" spans="1:8" x14ac:dyDescent="0.35">
      <c r="A1093" s="90" t="e">
        <f>VLOOKUP(E1093,'Validation List'!F1094:G1489,2,FALSE)</f>
        <v>#N/A</v>
      </c>
      <c r="B1093" s="90" t="e">
        <f>INDEX('NEW HIRE ROSTER'!$G:$G,MATCH(RAW!F1093,'NEW HIRE ROSTER'!$A:$A,0))</f>
        <v>#N/A</v>
      </c>
      <c r="C1093" s="90" t="e">
        <f>INDEX('NEW HIRE ROSTER'!$F:$F,MATCH(RAW!F1093,'NEW HIRE ROSTER'!$A:$A,0))</f>
        <v>#N/A</v>
      </c>
      <c r="D1093" s="90" t="e">
        <f>INDEX('Validation List'!$H:$H,MATCH(RAW!E1093,'Validation List'!$F:$F,0))</f>
        <v>#N/A</v>
      </c>
      <c r="G1093" s="90" t="e">
        <f>VLOOKUP(F1093,ML!C1077:D1675,2,FALSE)</f>
        <v>#N/A</v>
      </c>
      <c r="H1093" s="90" t="e">
        <f>VLOOKUP(F1093,ML!C1077:E1675,3,FALSE)</f>
        <v>#N/A</v>
      </c>
    </row>
    <row r="1094" spans="1:8" x14ac:dyDescent="0.35">
      <c r="A1094" s="90" t="e">
        <f>VLOOKUP(E1094,'Validation List'!F1095:G1490,2,FALSE)</f>
        <v>#N/A</v>
      </c>
      <c r="B1094" s="90" t="e">
        <f>INDEX('NEW HIRE ROSTER'!$G:$G,MATCH(RAW!F1094,'NEW HIRE ROSTER'!$A:$A,0))</f>
        <v>#N/A</v>
      </c>
      <c r="C1094" s="90" t="e">
        <f>INDEX('NEW HIRE ROSTER'!$F:$F,MATCH(RAW!F1094,'NEW HIRE ROSTER'!$A:$A,0))</f>
        <v>#N/A</v>
      </c>
      <c r="D1094" s="90" t="e">
        <f>INDEX('Validation List'!$H:$H,MATCH(RAW!E1094,'Validation List'!$F:$F,0))</f>
        <v>#N/A</v>
      </c>
      <c r="G1094" s="90" t="e">
        <f>VLOOKUP(F1094,ML!C1078:D1676,2,FALSE)</f>
        <v>#N/A</v>
      </c>
      <c r="H1094" s="90" t="e">
        <f>VLOOKUP(F1094,ML!C1078:E1676,3,FALSE)</f>
        <v>#N/A</v>
      </c>
    </row>
    <row r="1095" spans="1:8" x14ac:dyDescent="0.35">
      <c r="A1095" s="90" t="e">
        <f>VLOOKUP(E1095,'Validation List'!F1096:G1491,2,FALSE)</f>
        <v>#N/A</v>
      </c>
      <c r="B1095" s="90" t="e">
        <f>INDEX('NEW HIRE ROSTER'!$G:$G,MATCH(RAW!F1095,'NEW HIRE ROSTER'!$A:$A,0))</f>
        <v>#N/A</v>
      </c>
      <c r="C1095" s="90" t="e">
        <f>INDEX('NEW HIRE ROSTER'!$F:$F,MATCH(RAW!F1095,'NEW HIRE ROSTER'!$A:$A,0))</f>
        <v>#N/A</v>
      </c>
      <c r="D1095" s="90" t="e">
        <f>INDEX('Validation List'!$H:$H,MATCH(RAW!E1095,'Validation List'!$F:$F,0))</f>
        <v>#N/A</v>
      </c>
      <c r="G1095" s="90" t="e">
        <f>VLOOKUP(F1095,ML!C1079:D1677,2,FALSE)</f>
        <v>#N/A</v>
      </c>
      <c r="H1095" s="90" t="e">
        <f>VLOOKUP(F1095,ML!C1079:E1677,3,FALSE)</f>
        <v>#N/A</v>
      </c>
    </row>
    <row r="1096" spans="1:8" x14ac:dyDescent="0.35">
      <c r="A1096" s="90" t="e">
        <f>VLOOKUP(E1096,'Validation List'!F1097:G1492,2,FALSE)</f>
        <v>#N/A</v>
      </c>
      <c r="B1096" s="90" t="e">
        <f>INDEX('NEW HIRE ROSTER'!$G:$G,MATCH(RAW!F1096,'NEW HIRE ROSTER'!$A:$A,0))</f>
        <v>#N/A</v>
      </c>
      <c r="C1096" s="90" t="e">
        <f>INDEX('NEW HIRE ROSTER'!$F:$F,MATCH(RAW!F1096,'NEW HIRE ROSTER'!$A:$A,0))</f>
        <v>#N/A</v>
      </c>
      <c r="D1096" s="90" t="e">
        <f>INDEX('Validation List'!$H:$H,MATCH(RAW!E1096,'Validation List'!$F:$F,0))</f>
        <v>#N/A</v>
      </c>
      <c r="G1096" s="90" t="e">
        <f>VLOOKUP(F1096,ML!C1080:D1678,2,FALSE)</f>
        <v>#N/A</v>
      </c>
      <c r="H1096" s="90" t="e">
        <f>VLOOKUP(F1096,ML!C1080:E1678,3,FALSE)</f>
        <v>#N/A</v>
      </c>
    </row>
    <row r="1097" spans="1:8" x14ac:dyDescent="0.35">
      <c r="A1097" s="90" t="e">
        <f>VLOOKUP(E1097,'Validation List'!F1098:G1493,2,FALSE)</f>
        <v>#N/A</v>
      </c>
      <c r="B1097" s="90" t="e">
        <f>INDEX('NEW HIRE ROSTER'!$G:$G,MATCH(RAW!F1097,'NEW HIRE ROSTER'!$A:$A,0))</f>
        <v>#N/A</v>
      </c>
      <c r="C1097" s="90" t="e">
        <f>INDEX('NEW HIRE ROSTER'!$F:$F,MATCH(RAW!F1097,'NEW HIRE ROSTER'!$A:$A,0))</f>
        <v>#N/A</v>
      </c>
      <c r="D1097" s="90" t="e">
        <f>INDEX('Validation List'!$H:$H,MATCH(RAW!E1097,'Validation List'!$F:$F,0))</f>
        <v>#N/A</v>
      </c>
      <c r="G1097" s="90" t="e">
        <f>VLOOKUP(F1097,ML!C1081:D1679,2,FALSE)</f>
        <v>#N/A</v>
      </c>
      <c r="H1097" s="90" t="e">
        <f>VLOOKUP(F1097,ML!C1081:E1679,3,FALSE)</f>
        <v>#N/A</v>
      </c>
    </row>
    <row r="1098" spans="1:8" x14ac:dyDescent="0.35">
      <c r="A1098" s="90" t="e">
        <f>VLOOKUP(E1098,'Validation List'!F1099:G1494,2,FALSE)</f>
        <v>#N/A</v>
      </c>
      <c r="B1098" s="90" t="e">
        <f>INDEX('NEW HIRE ROSTER'!$G:$G,MATCH(RAW!F1098,'NEW HIRE ROSTER'!$A:$A,0))</f>
        <v>#N/A</v>
      </c>
      <c r="C1098" s="90" t="e">
        <f>INDEX('NEW HIRE ROSTER'!$F:$F,MATCH(RAW!F1098,'NEW HIRE ROSTER'!$A:$A,0))</f>
        <v>#N/A</v>
      </c>
      <c r="D1098" s="90" t="e">
        <f>INDEX('Validation List'!$H:$H,MATCH(RAW!E1098,'Validation List'!$F:$F,0))</f>
        <v>#N/A</v>
      </c>
      <c r="G1098" s="90" t="e">
        <f>VLOOKUP(F1098,ML!C1082:D1680,2,FALSE)</f>
        <v>#N/A</v>
      </c>
      <c r="H1098" s="90" t="e">
        <f>VLOOKUP(F1098,ML!C1082:E1680,3,FALSE)</f>
        <v>#N/A</v>
      </c>
    </row>
    <row r="1099" spans="1:8" x14ac:dyDescent="0.35">
      <c r="A1099" s="90" t="e">
        <f>VLOOKUP(E1099,'Validation List'!F1100:G1495,2,FALSE)</f>
        <v>#N/A</v>
      </c>
      <c r="B1099" s="90" t="e">
        <f>INDEX('NEW HIRE ROSTER'!$G:$G,MATCH(RAW!F1099,'NEW HIRE ROSTER'!$A:$A,0))</f>
        <v>#N/A</v>
      </c>
      <c r="C1099" s="90" t="e">
        <f>INDEX('NEW HIRE ROSTER'!$F:$F,MATCH(RAW!F1099,'NEW HIRE ROSTER'!$A:$A,0))</f>
        <v>#N/A</v>
      </c>
      <c r="D1099" s="90" t="e">
        <f>INDEX('Validation List'!$H:$H,MATCH(RAW!E1099,'Validation List'!$F:$F,0))</f>
        <v>#N/A</v>
      </c>
      <c r="G1099" s="90" t="e">
        <f>VLOOKUP(F1099,ML!C1083:D1681,2,FALSE)</f>
        <v>#N/A</v>
      </c>
      <c r="H1099" s="90" t="e">
        <f>VLOOKUP(F1099,ML!C1083:E1681,3,FALSE)</f>
        <v>#N/A</v>
      </c>
    </row>
    <row r="1100" spans="1:8" x14ac:dyDescent="0.35">
      <c r="A1100" s="90" t="e">
        <f>VLOOKUP(E1100,'Validation List'!F1101:G1496,2,FALSE)</f>
        <v>#N/A</v>
      </c>
      <c r="B1100" s="90" t="e">
        <f>INDEX('NEW HIRE ROSTER'!$G:$G,MATCH(RAW!F1100,'NEW HIRE ROSTER'!$A:$A,0))</f>
        <v>#N/A</v>
      </c>
      <c r="C1100" s="90" t="e">
        <f>INDEX('NEW HIRE ROSTER'!$F:$F,MATCH(RAW!F1100,'NEW HIRE ROSTER'!$A:$A,0))</f>
        <v>#N/A</v>
      </c>
      <c r="D1100" s="90" t="e">
        <f>INDEX('Validation List'!$H:$H,MATCH(RAW!E1100,'Validation List'!$F:$F,0))</f>
        <v>#N/A</v>
      </c>
      <c r="G1100" s="90" t="e">
        <f>VLOOKUP(F1100,ML!C1084:D1682,2,FALSE)</f>
        <v>#N/A</v>
      </c>
      <c r="H1100" s="90" t="e">
        <f>VLOOKUP(F1100,ML!C1084:E1682,3,FALSE)</f>
        <v>#N/A</v>
      </c>
    </row>
    <row r="1101" spans="1:8" x14ac:dyDescent="0.35">
      <c r="A1101" s="90" t="e">
        <f>VLOOKUP(E1101,'Validation List'!F1102:G1497,2,FALSE)</f>
        <v>#N/A</v>
      </c>
      <c r="B1101" s="90" t="e">
        <f>INDEX('NEW HIRE ROSTER'!$G:$G,MATCH(RAW!F1101,'NEW HIRE ROSTER'!$A:$A,0))</f>
        <v>#N/A</v>
      </c>
      <c r="C1101" s="90" t="e">
        <f>INDEX('NEW HIRE ROSTER'!$F:$F,MATCH(RAW!F1101,'NEW HIRE ROSTER'!$A:$A,0))</f>
        <v>#N/A</v>
      </c>
      <c r="D1101" s="90" t="e">
        <f>INDEX('Validation List'!$H:$H,MATCH(RAW!E1101,'Validation List'!$F:$F,0))</f>
        <v>#N/A</v>
      </c>
      <c r="G1101" s="90" t="e">
        <f>VLOOKUP(F1101,ML!C1085:D1683,2,FALSE)</f>
        <v>#N/A</v>
      </c>
      <c r="H1101" s="90" t="e">
        <f>VLOOKUP(F1101,ML!C1085:E1683,3,FALSE)</f>
        <v>#N/A</v>
      </c>
    </row>
    <row r="1102" spans="1:8" x14ac:dyDescent="0.35">
      <c r="A1102" s="90" t="e">
        <f>VLOOKUP(E1102,'Validation List'!F1103:G1498,2,FALSE)</f>
        <v>#N/A</v>
      </c>
      <c r="B1102" s="90" t="e">
        <f>INDEX('NEW HIRE ROSTER'!$G:$G,MATCH(RAW!F1102,'NEW HIRE ROSTER'!$A:$A,0))</f>
        <v>#N/A</v>
      </c>
      <c r="C1102" s="90" t="e">
        <f>INDEX('NEW HIRE ROSTER'!$F:$F,MATCH(RAW!F1102,'NEW HIRE ROSTER'!$A:$A,0))</f>
        <v>#N/A</v>
      </c>
      <c r="D1102" s="90" t="e">
        <f>INDEX('Validation List'!$H:$H,MATCH(RAW!E1102,'Validation List'!$F:$F,0))</f>
        <v>#N/A</v>
      </c>
      <c r="G1102" s="90" t="e">
        <f>VLOOKUP(F1102,ML!C1086:D1684,2,FALSE)</f>
        <v>#N/A</v>
      </c>
      <c r="H1102" s="90" t="e">
        <f>VLOOKUP(F1102,ML!C1086:E1684,3,FALSE)</f>
        <v>#N/A</v>
      </c>
    </row>
    <row r="1103" spans="1:8" x14ac:dyDescent="0.35">
      <c r="A1103" s="90" t="e">
        <f>VLOOKUP(E1103,'Validation List'!F1104:G1499,2,FALSE)</f>
        <v>#N/A</v>
      </c>
      <c r="B1103" s="90" t="e">
        <f>INDEX('NEW HIRE ROSTER'!$G:$G,MATCH(RAW!F1103,'NEW HIRE ROSTER'!$A:$A,0))</f>
        <v>#N/A</v>
      </c>
      <c r="C1103" s="90" t="e">
        <f>INDEX('NEW HIRE ROSTER'!$F:$F,MATCH(RAW!F1103,'NEW HIRE ROSTER'!$A:$A,0))</f>
        <v>#N/A</v>
      </c>
      <c r="D1103" s="90" t="e">
        <f>INDEX('Validation List'!$H:$H,MATCH(RAW!E1103,'Validation List'!$F:$F,0))</f>
        <v>#N/A</v>
      </c>
      <c r="G1103" s="90" t="e">
        <f>VLOOKUP(F1103,ML!C1087:D1685,2,FALSE)</f>
        <v>#N/A</v>
      </c>
      <c r="H1103" s="90" t="e">
        <f>VLOOKUP(F1103,ML!C1087:E1685,3,FALSE)</f>
        <v>#N/A</v>
      </c>
    </row>
    <row r="1104" spans="1:8" x14ac:dyDescent="0.35">
      <c r="A1104" s="90" t="e">
        <f>VLOOKUP(E1104,'Validation List'!F1105:G1500,2,FALSE)</f>
        <v>#N/A</v>
      </c>
      <c r="B1104" s="90" t="e">
        <f>INDEX('NEW HIRE ROSTER'!$G:$G,MATCH(RAW!F1104,'NEW HIRE ROSTER'!$A:$A,0))</f>
        <v>#N/A</v>
      </c>
      <c r="C1104" s="90" t="e">
        <f>INDEX('NEW HIRE ROSTER'!$F:$F,MATCH(RAW!F1104,'NEW HIRE ROSTER'!$A:$A,0))</f>
        <v>#N/A</v>
      </c>
      <c r="D1104" s="90" t="e">
        <f>INDEX('Validation List'!$H:$H,MATCH(RAW!E1104,'Validation List'!$F:$F,0))</f>
        <v>#N/A</v>
      </c>
      <c r="G1104" s="90" t="e">
        <f>VLOOKUP(F1104,ML!C1088:D1686,2,FALSE)</f>
        <v>#N/A</v>
      </c>
      <c r="H1104" s="90" t="e">
        <f>VLOOKUP(F1104,ML!C1088:E1686,3,FALSE)</f>
        <v>#N/A</v>
      </c>
    </row>
    <row r="1105" spans="1:8" x14ac:dyDescent="0.35">
      <c r="A1105" s="90" t="e">
        <f>VLOOKUP(E1105,'Validation List'!F1106:G1501,2,FALSE)</f>
        <v>#N/A</v>
      </c>
      <c r="B1105" s="90" t="e">
        <f>INDEX('NEW HIRE ROSTER'!$G:$G,MATCH(RAW!F1105,'NEW HIRE ROSTER'!$A:$A,0))</f>
        <v>#N/A</v>
      </c>
      <c r="C1105" s="90" t="e">
        <f>INDEX('NEW HIRE ROSTER'!$F:$F,MATCH(RAW!F1105,'NEW HIRE ROSTER'!$A:$A,0))</f>
        <v>#N/A</v>
      </c>
      <c r="D1105" s="90" t="e">
        <f>INDEX('Validation List'!$H:$H,MATCH(RAW!E1105,'Validation List'!$F:$F,0))</f>
        <v>#N/A</v>
      </c>
      <c r="G1105" s="90" t="e">
        <f>VLOOKUP(F1105,ML!C1089:D1687,2,FALSE)</f>
        <v>#N/A</v>
      </c>
      <c r="H1105" s="90" t="e">
        <f>VLOOKUP(F1105,ML!C1089:E1687,3,FALSE)</f>
        <v>#N/A</v>
      </c>
    </row>
    <row r="1106" spans="1:8" x14ac:dyDescent="0.35">
      <c r="A1106" s="90" t="e">
        <f>VLOOKUP(E1106,'Validation List'!F1107:G1502,2,FALSE)</f>
        <v>#N/A</v>
      </c>
      <c r="B1106" s="90" t="e">
        <f>INDEX('NEW HIRE ROSTER'!$G:$G,MATCH(RAW!F1106,'NEW HIRE ROSTER'!$A:$A,0))</f>
        <v>#N/A</v>
      </c>
      <c r="C1106" s="90" t="e">
        <f>INDEX('NEW HIRE ROSTER'!$F:$F,MATCH(RAW!F1106,'NEW HIRE ROSTER'!$A:$A,0))</f>
        <v>#N/A</v>
      </c>
      <c r="D1106" s="90" t="e">
        <f>INDEX('Validation List'!$H:$H,MATCH(RAW!E1106,'Validation List'!$F:$F,0))</f>
        <v>#N/A</v>
      </c>
      <c r="G1106" s="90" t="e">
        <f>VLOOKUP(F1106,ML!C1090:D1688,2,FALSE)</f>
        <v>#N/A</v>
      </c>
      <c r="H1106" s="90" t="e">
        <f>VLOOKUP(F1106,ML!C1090:E1688,3,FALSE)</f>
        <v>#N/A</v>
      </c>
    </row>
    <row r="1107" spans="1:8" x14ac:dyDescent="0.35">
      <c r="A1107" s="90" t="e">
        <f>VLOOKUP(E1107,'Validation List'!F1108:G1503,2,FALSE)</f>
        <v>#N/A</v>
      </c>
      <c r="B1107" s="90" t="e">
        <f>INDEX('NEW HIRE ROSTER'!$G:$G,MATCH(RAW!F1107,'NEW HIRE ROSTER'!$A:$A,0))</f>
        <v>#N/A</v>
      </c>
      <c r="C1107" s="90" t="e">
        <f>INDEX('NEW HIRE ROSTER'!$F:$F,MATCH(RAW!F1107,'NEW HIRE ROSTER'!$A:$A,0))</f>
        <v>#N/A</v>
      </c>
      <c r="D1107" s="90" t="e">
        <f>INDEX('Validation List'!$H:$H,MATCH(RAW!E1107,'Validation List'!$F:$F,0))</f>
        <v>#N/A</v>
      </c>
      <c r="G1107" s="90" t="e">
        <f>VLOOKUP(F1107,ML!C1091:D1689,2,FALSE)</f>
        <v>#N/A</v>
      </c>
      <c r="H1107" s="90" t="e">
        <f>VLOOKUP(F1107,ML!C1091:E1689,3,FALSE)</f>
        <v>#N/A</v>
      </c>
    </row>
    <row r="1108" spans="1:8" x14ac:dyDescent="0.35">
      <c r="A1108" s="90" t="e">
        <f>VLOOKUP(E1108,'Validation List'!F1109:G1504,2,FALSE)</f>
        <v>#N/A</v>
      </c>
      <c r="B1108" s="90" t="e">
        <f>INDEX('NEW HIRE ROSTER'!$G:$G,MATCH(RAW!F1108,'NEW HIRE ROSTER'!$A:$A,0))</f>
        <v>#N/A</v>
      </c>
      <c r="C1108" s="90" t="e">
        <f>INDEX('NEW HIRE ROSTER'!$F:$F,MATCH(RAW!F1108,'NEW HIRE ROSTER'!$A:$A,0))</f>
        <v>#N/A</v>
      </c>
      <c r="D1108" s="90" t="e">
        <f>INDEX('Validation List'!$H:$H,MATCH(RAW!E1108,'Validation List'!$F:$F,0))</f>
        <v>#N/A</v>
      </c>
      <c r="G1108" s="90" t="e">
        <f>VLOOKUP(F1108,ML!C1092:D1690,2,FALSE)</f>
        <v>#N/A</v>
      </c>
      <c r="H1108" s="90" t="e">
        <f>VLOOKUP(F1108,ML!C1092:E1690,3,FALSE)</f>
        <v>#N/A</v>
      </c>
    </row>
    <row r="1109" spans="1:8" x14ac:dyDescent="0.35">
      <c r="A1109" s="90" t="e">
        <f>VLOOKUP(E1109,'Validation List'!F1110:G1505,2,FALSE)</f>
        <v>#N/A</v>
      </c>
      <c r="B1109" s="90" t="e">
        <f>INDEX('NEW HIRE ROSTER'!$G:$G,MATCH(RAW!F1109,'NEW HIRE ROSTER'!$A:$A,0))</f>
        <v>#N/A</v>
      </c>
      <c r="C1109" s="90" t="e">
        <f>INDEX('NEW HIRE ROSTER'!$F:$F,MATCH(RAW!F1109,'NEW HIRE ROSTER'!$A:$A,0))</f>
        <v>#N/A</v>
      </c>
      <c r="D1109" s="90" t="e">
        <f>INDEX('Validation List'!$H:$H,MATCH(RAW!E1109,'Validation List'!$F:$F,0))</f>
        <v>#N/A</v>
      </c>
      <c r="G1109" s="90" t="e">
        <f>VLOOKUP(F1109,ML!C1093:D1691,2,FALSE)</f>
        <v>#N/A</v>
      </c>
      <c r="H1109" s="90" t="e">
        <f>VLOOKUP(F1109,ML!C1093:E1691,3,FALSE)</f>
        <v>#N/A</v>
      </c>
    </row>
    <row r="1110" spans="1:8" x14ac:dyDescent="0.35">
      <c r="A1110" s="90" t="e">
        <f>VLOOKUP(E1110,'Validation List'!F1111:G1506,2,FALSE)</f>
        <v>#N/A</v>
      </c>
      <c r="B1110" s="90" t="e">
        <f>INDEX('NEW HIRE ROSTER'!$G:$G,MATCH(RAW!F1110,'NEW HIRE ROSTER'!$A:$A,0))</f>
        <v>#N/A</v>
      </c>
      <c r="C1110" s="90" t="e">
        <f>INDEX('NEW HIRE ROSTER'!$F:$F,MATCH(RAW!F1110,'NEW HIRE ROSTER'!$A:$A,0))</f>
        <v>#N/A</v>
      </c>
      <c r="D1110" s="90" t="e">
        <f>INDEX('Validation List'!$H:$H,MATCH(RAW!E1110,'Validation List'!$F:$F,0))</f>
        <v>#N/A</v>
      </c>
      <c r="G1110" s="90" t="e">
        <f>VLOOKUP(F1110,ML!C1094:D1692,2,FALSE)</f>
        <v>#N/A</v>
      </c>
      <c r="H1110" s="90" t="e">
        <f>VLOOKUP(F1110,ML!C1094:E1692,3,FALSE)</f>
        <v>#N/A</v>
      </c>
    </row>
    <row r="1111" spans="1:8" x14ac:dyDescent="0.35">
      <c r="A1111" s="90" t="e">
        <f>VLOOKUP(E1111,'Validation List'!F1112:G1507,2,FALSE)</f>
        <v>#N/A</v>
      </c>
      <c r="B1111" s="90" t="e">
        <f>INDEX('NEW HIRE ROSTER'!$G:$G,MATCH(RAW!F1111,'NEW HIRE ROSTER'!$A:$A,0))</f>
        <v>#N/A</v>
      </c>
      <c r="C1111" s="90" t="e">
        <f>INDEX('NEW HIRE ROSTER'!$F:$F,MATCH(RAW!F1111,'NEW HIRE ROSTER'!$A:$A,0))</f>
        <v>#N/A</v>
      </c>
      <c r="D1111" s="90" t="e">
        <f>INDEX('Validation List'!$H:$H,MATCH(RAW!E1111,'Validation List'!$F:$F,0))</f>
        <v>#N/A</v>
      </c>
      <c r="G1111" s="90" t="e">
        <f>VLOOKUP(F1111,ML!C1095:D1693,2,FALSE)</f>
        <v>#N/A</v>
      </c>
      <c r="H1111" s="90" t="e">
        <f>VLOOKUP(F1111,ML!C1095:E1693,3,FALSE)</f>
        <v>#N/A</v>
      </c>
    </row>
    <row r="1112" spans="1:8" x14ac:dyDescent="0.35">
      <c r="A1112" s="90" t="e">
        <f>VLOOKUP(E1112,'Validation List'!F1113:G1508,2,FALSE)</f>
        <v>#N/A</v>
      </c>
      <c r="B1112" s="90" t="e">
        <f>INDEX('NEW HIRE ROSTER'!$G:$G,MATCH(RAW!F1112,'NEW HIRE ROSTER'!$A:$A,0))</f>
        <v>#N/A</v>
      </c>
      <c r="C1112" s="90" t="e">
        <f>INDEX('NEW HIRE ROSTER'!$F:$F,MATCH(RAW!F1112,'NEW HIRE ROSTER'!$A:$A,0))</f>
        <v>#N/A</v>
      </c>
      <c r="D1112" s="90" t="e">
        <f>INDEX('Validation List'!$H:$H,MATCH(RAW!E1112,'Validation List'!$F:$F,0))</f>
        <v>#N/A</v>
      </c>
      <c r="G1112" s="90" t="e">
        <f>VLOOKUP(F1112,ML!C1096:D1694,2,FALSE)</f>
        <v>#N/A</v>
      </c>
      <c r="H1112" s="90" t="e">
        <f>VLOOKUP(F1112,ML!C1096:E1694,3,FALSE)</f>
        <v>#N/A</v>
      </c>
    </row>
    <row r="1113" spans="1:8" x14ac:dyDescent="0.35">
      <c r="A1113" s="90" t="e">
        <f>VLOOKUP(E1113,'Validation List'!F1114:G1509,2,FALSE)</f>
        <v>#N/A</v>
      </c>
      <c r="B1113" s="90" t="e">
        <f>INDEX('NEW HIRE ROSTER'!$G:$G,MATCH(RAW!F1113,'NEW HIRE ROSTER'!$A:$A,0))</f>
        <v>#N/A</v>
      </c>
      <c r="C1113" s="90" t="e">
        <f>INDEX('NEW HIRE ROSTER'!$F:$F,MATCH(RAW!F1113,'NEW HIRE ROSTER'!$A:$A,0))</f>
        <v>#N/A</v>
      </c>
      <c r="D1113" s="90" t="e">
        <f>INDEX('Validation List'!$H:$H,MATCH(RAW!E1113,'Validation List'!$F:$F,0))</f>
        <v>#N/A</v>
      </c>
      <c r="G1113" s="90" t="e">
        <f>VLOOKUP(F1113,ML!C1097:D1695,2,FALSE)</f>
        <v>#N/A</v>
      </c>
      <c r="H1113" s="90" t="e">
        <f>VLOOKUP(F1113,ML!C1097:E1695,3,FALSE)</f>
        <v>#N/A</v>
      </c>
    </row>
    <row r="1114" spans="1:8" x14ac:dyDescent="0.35">
      <c r="A1114" s="90" t="e">
        <f>VLOOKUP(E1114,'Validation List'!F1115:G1510,2,FALSE)</f>
        <v>#N/A</v>
      </c>
      <c r="B1114" s="90" t="e">
        <f>INDEX('NEW HIRE ROSTER'!$G:$G,MATCH(RAW!F1114,'NEW HIRE ROSTER'!$A:$A,0))</f>
        <v>#N/A</v>
      </c>
      <c r="C1114" s="90" t="e">
        <f>INDEX('NEW HIRE ROSTER'!$F:$F,MATCH(RAW!F1114,'NEW HIRE ROSTER'!$A:$A,0))</f>
        <v>#N/A</v>
      </c>
      <c r="D1114" s="90" t="e">
        <f>INDEX('Validation List'!$H:$H,MATCH(RAW!E1114,'Validation List'!$F:$F,0))</f>
        <v>#N/A</v>
      </c>
      <c r="G1114" s="90" t="e">
        <f>VLOOKUP(F1114,ML!C1098:D1696,2,FALSE)</f>
        <v>#N/A</v>
      </c>
      <c r="H1114" s="90" t="e">
        <f>VLOOKUP(F1114,ML!C1098:E1696,3,FALSE)</f>
        <v>#N/A</v>
      </c>
    </row>
    <row r="1115" spans="1:8" x14ac:dyDescent="0.35">
      <c r="A1115" s="90" t="e">
        <f>VLOOKUP(E1115,'Validation List'!F1116:G1511,2,FALSE)</f>
        <v>#N/A</v>
      </c>
      <c r="B1115" s="90" t="e">
        <f>INDEX('NEW HIRE ROSTER'!$G:$G,MATCH(RAW!F1115,'NEW HIRE ROSTER'!$A:$A,0))</f>
        <v>#N/A</v>
      </c>
      <c r="C1115" s="90" t="e">
        <f>INDEX('NEW HIRE ROSTER'!$F:$F,MATCH(RAW!F1115,'NEW HIRE ROSTER'!$A:$A,0))</f>
        <v>#N/A</v>
      </c>
      <c r="D1115" s="90" t="e">
        <f>INDEX('Validation List'!$H:$H,MATCH(RAW!E1115,'Validation List'!$F:$F,0))</f>
        <v>#N/A</v>
      </c>
      <c r="G1115" s="90" t="e">
        <f>VLOOKUP(F1115,ML!C1099:D1697,2,FALSE)</f>
        <v>#N/A</v>
      </c>
      <c r="H1115" s="90" t="e">
        <f>VLOOKUP(F1115,ML!C1099:E1697,3,FALSE)</f>
        <v>#N/A</v>
      </c>
    </row>
    <row r="1116" spans="1:8" x14ac:dyDescent="0.35">
      <c r="A1116" s="90" t="e">
        <f>VLOOKUP(E1116,'Validation List'!F1117:G1512,2,FALSE)</f>
        <v>#N/A</v>
      </c>
      <c r="B1116" s="90" t="e">
        <f>INDEX('NEW HIRE ROSTER'!$G:$G,MATCH(RAW!F1116,'NEW HIRE ROSTER'!$A:$A,0))</f>
        <v>#N/A</v>
      </c>
      <c r="C1116" s="90" t="e">
        <f>INDEX('NEW HIRE ROSTER'!$F:$F,MATCH(RAW!F1116,'NEW HIRE ROSTER'!$A:$A,0))</f>
        <v>#N/A</v>
      </c>
      <c r="D1116" s="90" t="e">
        <f>INDEX('Validation List'!$H:$H,MATCH(RAW!E1116,'Validation List'!$F:$F,0))</f>
        <v>#N/A</v>
      </c>
      <c r="G1116" s="90" t="e">
        <f>VLOOKUP(F1116,ML!C1100:D1698,2,FALSE)</f>
        <v>#N/A</v>
      </c>
      <c r="H1116" s="90" t="e">
        <f>VLOOKUP(F1116,ML!C1100:E1698,3,FALSE)</f>
        <v>#N/A</v>
      </c>
    </row>
    <row r="1117" spans="1:8" x14ac:dyDescent="0.35">
      <c r="A1117" s="90" t="e">
        <f>VLOOKUP(E1117,'Validation List'!F1118:G1513,2,FALSE)</f>
        <v>#N/A</v>
      </c>
      <c r="B1117" s="90" t="e">
        <f>INDEX('NEW HIRE ROSTER'!$G:$G,MATCH(RAW!F1117,'NEW HIRE ROSTER'!$A:$A,0))</f>
        <v>#N/A</v>
      </c>
      <c r="C1117" s="90" t="e">
        <f>INDEX('NEW HIRE ROSTER'!$F:$F,MATCH(RAW!F1117,'NEW HIRE ROSTER'!$A:$A,0))</f>
        <v>#N/A</v>
      </c>
      <c r="D1117" s="90" t="e">
        <f>INDEX('Validation List'!$H:$H,MATCH(RAW!E1117,'Validation List'!$F:$F,0))</f>
        <v>#N/A</v>
      </c>
      <c r="G1117" s="90" t="e">
        <f>VLOOKUP(F1117,ML!C1101:D1699,2,FALSE)</f>
        <v>#N/A</v>
      </c>
      <c r="H1117" s="90" t="e">
        <f>VLOOKUP(F1117,ML!C1101:E1699,3,FALSE)</f>
        <v>#N/A</v>
      </c>
    </row>
    <row r="1118" spans="1:8" x14ac:dyDescent="0.35">
      <c r="A1118" s="90" t="e">
        <f>VLOOKUP(E1118,'Validation List'!F1119:G1514,2,FALSE)</f>
        <v>#N/A</v>
      </c>
      <c r="B1118" s="90" t="e">
        <f>INDEX('NEW HIRE ROSTER'!$G:$G,MATCH(RAW!F1118,'NEW HIRE ROSTER'!$A:$A,0))</f>
        <v>#N/A</v>
      </c>
      <c r="C1118" s="90" t="e">
        <f>INDEX('NEW HIRE ROSTER'!$F:$F,MATCH(RAW!F1118,'NEW HIRE ROSTER'!$A:$A,0))</f>
        <v>#N/A</v>
      </c>
      <c r="D1118" s="90" t="e">
        <f>INDEX('Validation List'!$H:$H,MATCH(RAW!E1118,'Validation List'!$F:$F,0))</f>
        <v>#N/A</v>
      </c>
      <c r="G1118" s="90" t="e">
        <f>VLOOKUP(F1118,ML!C1102:D1700,2,FALSE)</f>
        <v>#N/A</v>
      </c>
      <c r="H1118" s="90" t="e">
        <f>VLOOKUP(F1118,ML!C1102:E1700,3,FALSE)</f>
        <v>#N/A</v>
      </c>
    </row>
    <row r="1119" spans="1:8" x14ac:dyDescent="0.35">
      <c r="A1119" s="90" t="e">
        <f>VLOOKUP(E1119,'Validation List'!F1120:G1515,2,FALSE)</f>
        <v>#N/A</v>
      </c>
      <c r="B1119" s="90" t="e">
        <f>INDEX('NEW HIRE ROSTER'!$G:$G,MATCH(RAW!F1119,'NEW HIRE ROSTER'!$A:$A,0))</f>
        <v>#N/A</v>
      </c>
      <c r="C1119" s="90" t="e">
        <f>INDEX('NEW HIRE ROSTER'!$F:$F,MATCH(RAW!F1119,'NEW HIRE ROSTER'!$A:$A,0))</f>
        <v>#N/A</v>
      </c>
      <c r="D1119" s="90" t="e">
        <f>INDEX('Validation List'!$H:$H,MATCH(RAW!E1119,'Validation List'!$F:$F,0))</f>
        <v>#N/A</v>
      </c>
      <c r="G1119" s="90" t="e">
        <f>VLOOKUP(F1119,ML!C1103:D1701,2,FALSE)</f>
        <v>#N/A</v>
      </c>
      <c r="H1119" s="90" t="e">
        <f>VLOOKUP(F1119,ML!C1103:E1701,3,FALSE)</f>
        <v>#N/A</v>
      </c>
    </row>
    <row r="1120" spans="1:8" x14ac:dyDescent="0.35">
      <c r="A1120" s="90" t="e">
        <f>VLOOKUP(E1120,'Validation List'!F1121:G1516,2,FALSE)</f>
        <v>#N/A</v>
      </c>
      <c r="B1120" s="90" t="e">
        <f>INDEX('NEW HIRE ROSTER'!$G:$G,MATCH(RAW!F1120,'NEW HIRE ROSTER'!$A:$A,0))</f>
        <v>#N/A</v>
      </c>
      <c r="C1120" s="90" t="e">
        <f>INDEX('NEW HIRE ROSTER'!$F:$F,MATCH(RAW!F1120,'NEW HIRE ROSTER'!$A:$A,0))</f>
        <v>#N/A</v>
      </c>
      <c r="D1120" s="90" t="e">
        <f>INDEX('Validation List'!$H:$H,MATCH(RAW!E1120,'Validation List'!$F:$F,0))</f>
        <v>#N/A</v>
      </c>
      <c r="G1120" s="90" t="e">
        <f>VLOOKUP(F1120,ML!C1104:D1702,2,FALSE)</f>
        <v>#N/A</v>
      </c>
      <c r="H1120" s="90" t="e">
        <f>VLOOKUP(F1120,ML!C1104:E1702,3,FALSE)</f>
        <v>#N/A</v>
      </c>
    </row>
    <row r="1121" spans="1:8" x14ac:dyDescent="0.35">
      <c r="A1121" s="90" t="e">
        <f>VLOOKUP(E1121,'Validation List'!F1122:G1517,2,FALSE)</f>
        <v>#N/A</v>
      </c>
      <c r="B1121" s="90" t="e">
        <f>INDEX('NEW HIRE ROSTER'!$G:$G,MATCH(RAW!F1121,'NEW HIRE ROSTER'!$A:$A,0))</f>
        <v>#N/A</v>
      </c>
      <c r="C1121" s="90" t="e">
        <f>INDEX('NEW HIRE ROSTER'!$F:$F,MATCH(RAW!F1121,'NEW HIRE ROSTER'!$A:$A,0))</f>
        <v>#N/A</v>
      </c>
      <c r="D1121" s="90" t="e">
        <f>INDEX('Validation List'!$H:$H,MATCH(RAW!E1121,'Validation List'!$F:$F,0))</f>
        <v>#N/A</v>
      </c>
      <c r="G1121" s="90" t="e">
        <f>VLOOKUP(F1121,ML!C1105:D1703,2,FALSE)</f>
        <v>#N/A</v>
      </c>
      <c r="H1121" s="90" t="e">
        <f>VLOOKUP(F1121,ML!C1105:E1703,3,FALSE)</f>
        <v>#N/A</v>
      </c>
    </row>
    <row r="1122" spans="1:8" x14ac:dyDescent="0.35">
      <c r="A1122" s="90" t="e">
        <f>VLOOKUP(E1122,'Validation List'!F1123:G1518,2,FALSE)</f>
        <v>#N/A</v>
      </c>
      <c r="B1122" s="90" t="e">
        <f>INDEX('NEW HIRE ROSTER'!$G:$G,MATCH(RAW!F1122,'NEW HIRE ROSTER'!$A:$A,0))</f>
        <v>#N/A</v>
      </c>
      <c r="C1122" s="90" t="e">
        <f>INDEX('NEW HIRE ROSTER'!$F:$F,MATCH(RAW!F1122,'NEW HIRE ROSTER'!$A:$A,0))</f>
        <v>#N/A</v>
      </c>
      <c r="D1122" s="90" t="e">
        <f>INDEX('Validation List'!$H:$H,MATCH(RAW!E1122,'Validation List'!$F:$F,0))</f>
        <v>#N/A</v>
      </c>
      <c r="G1122" s="90" t="e">
        <f>VLOOKUP(F1122,ML!C1106:D1704,2,FALSE)</f>
        <v>#N/A</v>
      </c>
      <c r="H1122" s="90" t="e">
        <f>VLOOKUP(F1122,ML!C1106:E1704,3,FALSE)</f>
        <v>#N/A</v>
      </c>
    </row>
    <row r="1123" spans="1:8" x14ac:dyDescent="0.35">
      <c r="A1123" s="90" t="e">
        <f>VLOOKUP(E1123,'Validation List'!F1124:G1519,2,FALSE)</f>
        <v>#N/A</v>
      </c>
      <c r="B1123" s="90" t="e">
        <f>INDEX('NEW HIRE ROSTER'!$G:$G,MATCH(RAW!F1123,'NEW HIRE ROSTER'!$A:$A,0))</f>
        <v>#N/A</v>
      </c>
      <c r="C1123" s="90" t="e">
        <f>INDEX('NEW HIRE ROSTER'!$F:$F,MATCH(RAW!F1123,'NEW HIRE ROSTER'!$A:$A,0))</f>
        <v>#N/A</v>
      </c>
      <c r="D1123" s="90" t="e">
        <f>INDEX('Validation List'!$H:$H,MATCH(RAW!E1123,'Validation List'!$F:$F,0))</f>
        <v>#N/A</v>
      </c>
      <c r="G1123" s="90" t="e">
        <f>VLOOKUP(F1123,ML!C1107:D1705,2,FALSE)</f>
        <v>#N/A</v>
      </c>
      <c r="H1123" s="90" t="e">
        <f>VLOOKUP(F1123,ML!C1107:E1705,3,FALSE)</f>
        <v>#N/A</v>
      </c>
    </row>
    <row r="1124" spans="1:8" x14ac:dyDescent="0.35">
      <c r="A1124" s="90" t="e">
        <f>VLOOKUP(E1124,'Validation List'!F1125:G1520,2,FALSE)</f>
        <v>#N/A</v>
      </c>
      <c r="B1124" s="90" t="e">
        <f>INDEX('NEW HIRE ROSTER'!$G:$G,MATCH(RAW!F1124,'NEW HIRE ROSTER'!$A:$A,0))</f>
        <v>#N/A</v>
      </c>
      <c r="C1124" s="90" t="e">
        <f>INDEX('NEW HIRE ROSTER'!$F:$F,MATCH(RAW!F1124,'NEW HIRE ROSTER'!$A:$A,0))</f>
        <v>#N/A</v>
      </c>
      <c r="D1124" s="90" t="e">
        <f>INDEX('Validation List'!$H:$H,MATCH(RAW!E1124,'Validation List'!$F:$F,0))</f>
        <v>#N/A</v>
      </c>
      <c r="G1124" s="90" t="e">
        <f>VLOOKUP(F1124,ML!C1108:D1706,2,FALSE)</f>
        <v>#N/A</v>
      </c>
      <c r="H1124" s="90" t="e">
        <f>VLOOKUP(F1124,ML!C1108:E1706,3,FALSE)</f>
        <v>#N/A</v>
      </c>
    </row>
    <row r="1125" spans="1:8" x14ac:dyDescent="0.35">
      <c r="A1125" s="90" t="e">
        <f>VLOOKUP(E1125,'Validation List'!F1126:G1521,2,FALSE)</f>
        <v>#N/A</v>
      </c>
      <c r="B1125" s="90" t="e">
        <f>INDEX('NEW HIRE ROSTER'!$G:$G,MATCH(RAW!F1125,'NEW HIRE ROSTER'!$A:$A,0))</f>
        <v>#N/A</v>
      </c>
      <c r="C1125" s="90" t="e">
        <f>INDEX('NEW HIRE ROSTER'!$F:$F,MATCH(RAW!F1125,'NEW HIRE ROSTER'!$A:$A,0))</f>
        <v>#N/A</v>
      </c>
      <c r="D1125" s="90" t="e">
        <f>INDEX('Validation List'!$H:$H,MATCH(RAW!E1125,'Validation List'!$F:$F,0))</f>
        <v>#N/A</v>
      </c>
      <c r="G1125" s="90" t="e">
        <f>VLOOKUP(F1125,ML!C1109:D1707,2,FALSE)</f>
        <v>#N/A</v>
      </c>
      <c r="H1125" s="90" t="e">
        <f>VLOOKUP(F1125,ML!C1109:E1707,3,FALSE)</f>
        <v>#N/A</v>
      </c>
    </row>
    <row r="1126" spans="1:8" x14ac:dyDescent="0.35">
      <c r="A1126" s="90" t="e">
        <f>VLOOKUP(E1126,'Validation List'!F1127:G1522,2,FALSE)</f>
        <v>#N/A</v>
      </c>
      <c r="B1126" s="90" t="e">
        <f>INDEX('NEW HIRE ROSTER'!$G:$G,MATCH(RAW!F1126,'NEW HIRE ROSTER'!$A:$A,0))</f>
        <v>#N/A</v>
      </c>
      <c r="C1126" s="90" t="e">
        <f>INDEX('NEW HIRE ROSTER'!$F:$F,MATCH(RAW!F1126,'NEW HIRE ROSTER'!$A:$A,0))</f>
        <v>#N/A</v>
      </c>
      <c r="D1126" s="90" t="e">
        <f>INDEX('Validation List'!$H:$H,MATCH(RAW!E1126,'Validation List'!$F:$F,0))</f>
        <v>#N/A</v>
      </c>
      <c r="G1126" s="90" t="e">
        <f>VLOOKUP(F1126,ML!C1110:D1708,2,FALSE)</f>
        <v>#N/A</v>
      </c>
      <c r="H1126" s="90" t="e">
        <f>VLOOKUP(F1126,ML!C1110:E1708,3,FALSE)</f>
        <v>#N/A</v>
      </c>
    </row>
    <row r="1127" spans="1:8" x14ac:dyDescent="0.35">
      <c r="A1127" s="90" t="e">
        <f>VLOOKUP(E1127,'Validation List'!F1128:G1523,2,FALSE)</f>
        <v>#N/A</v>
      </c>
      <c r="B1127" s="90" t="e">
        <f>INDEX('NEW HIRE ROSTER'!$G:$G,MATCH(RAW!F1127,'NEW HIRE ROSTER'!$A:$A,0))</f>
        <v>#N/A</v>
      </c>
      <c r="C1127" s="90" t="e">
        <f>INDEX('NEW HIRE ROSTER'!$F:$F,MATCH(RAW!F1127,'NEW HIRE ROSTER'!$A:$A,0))</f>
        <v>#N/A</v>
      </c>
      <c r="D1127" s="90" t="e">
        <f>INDEX('Validation List'!$H:$H,MATCH(RAW!E1127,'Validation List'!$F:$F,0))</f>
        <v>#N/A</v>
      </c>
      <c r="G1127" s="90" t="e">
        <f>VLOOKUP(F1127,ML!C1111:D1709,2,FALSE)</f>
        <v>#N/A</v>
      </c>
      <c r="H1127" s="90" t="e">
        <f>VLOOKUP(F1127,ML!C1111:E1709,3,FALSE)</f>
        <v>#N/A</v>
      </c>
    </row>
    <row r="1128" spans="1:8" x14ac:dyDescent="0.35">
      <c r="A1128" s="90" t="e">
        <f>VLOOKUP(E1128,'Validation List'!F1129:G1524,2,FALSE)</f>
        <v>#N/A</v>
      </c>
      <c r="B1128" s="90" t="e">
        <f>INDEX('NEW HIRE ROSTER'!$G:$G,MATCH(RAW!F1128,'NEW HIRE ROSTER'!$A:$A,0))</f>
        <v>#N/A</v>
      </c>
      <c r="C1128" s="90" t="e">
        <f>INDEX('NEW HIRE ROSTER'!$F:$F,MATCH(RAW!F1128,'NEW HIRE ROSTER'!$A:$A,0))</f>
        <v>#N/A</v>
      </c>
      <c r="D1128" s="90" t="e">
        <f>INDEX('Validation List'!$H:$H,MATCH(RAW!E1128,'Validation List'!$F:$F,0))</f>
        <v>#N/A</v>
      </c>
      <c r="G1128" s="90" t="e">
        <f>VLOOKUP(F1128,ML!C1112:D1710,2,FALSE)</f>
        <v>#N/A</v>
      </c>
      <c r="H1128" s="90" t="e">
        <f>VLOOKUP(F1128,ML!C1112:E1710,3,FALSE)</f>
        <v>#N/A</v>
      </c>
    </row>
    <row r="1129" spans="1:8" x14ac:dyDescent="0.35">
      <c r="A1129" s="90" t="e">
        <f>VLOOKUP(E1129,'Validation List'!F1130:G1525,2,FALSE)</f>
        <v>#N/A</v>
      </c>
      <c r="B1129" s="90" t="e">
        <f>INDEX('NEW HIRE ROSTER'!$G:$G,MATCH(RAW!F1129,'NEW HIRE ROSTER'!$A:$A,0))</f>
        <v>#N/A</v>
      </c>
      <c r="C1129" s="90" t="e">
        <f>INDEX('NEW HIRE ROSTER'!$F:$F,MATCH(RAW!F1129,'NEW HIRE ROSTER'!$A:$A,0))</f>
        <v>#N/A</v>
      </c>
      <c r="D1129" s="90" t="e">
        <f>INDEX('Validation List'!$H:$H,MATCH(RAW!E1129,'Validation List'!$F:$F,0))</f>
        <v>#N/A</v>
      </c>
      <c r="G1129" s="90" t="e">
        <f>VLOOKUP(F1129,ML!C1113:D1711,2,FALSE)</f>
        <v>#N/A</v>
      </c>
      <c r="H1129" s="90" t="e">
        <f>VLOOKUP(F1129,ML!C1113:E1711,3,FALSE)</f>
        <v>#N/A</v>
      </c>
    </row>
    <row r="1130" spans="1:8" x14ac:dyDescent="0.35">
      <c r="A1130" s="90" t="e">
        <f>VLOOKUP(E1130,'Validation List'!F1131:G1526,2,FALSE)</f>
        <v>#N/A</v>
      </c>
      <c r="B1130" s="90" t="e">
        <f>INDEX('NEW HIRE ROSTER'!$G:$G,MATCH(RAW!F1130,'NEW HIRE ROSTER'!$A:$A,0))</f>
        <v>#N/A</v>
      </c>
      <c r="C1130" s="90" t="e">
        <f>INDEX('NEW HIRE ROSTER'!$F:$F,MATCH(RAW!F1130,'NEW HIRE ROSTER'!$A:$A,0))</f>
        <v>#N/A</v>
      </c>
      <c r="D1130" s="90" t="e">
        <f>INDEX('Validation List'!$H:$H,MATCH(RAW!E1130,'Validation List'!$F:$F,0))</f>
        <v>#N/A</v>
      </c>
      <c r="G1130" s="90" t="e">
        <f>VLOOKUP(F1130,ML!C1114:D1712,2,FALSE)</f>
        <v>#N/A</v>
      </c>
      <c r="H1130" s="90" t="e">
        <f>VLOOKUP(F1130,ML!C1114:E1712,3,FALSE)</f>
        <v>#N/A</v>
      </c>
    </row>
    <row r="1131" spans="1:8" x14ac:dyDescent="0.35">
      <c r="A1131" s="90" t="e">
        <f>VLOOKUP(E1131,'Validation List'!F1132:G1527,2,FALSE)</f>
        <v>#N/A</v>
      </c>
      <c r="B1131" s="90" t="e">
        <f>INDEX('NEW HIRE ROSTER'!$G:$G,MATCH(RAW!F1131,'NEW HIRE ROSTER'!$A:$A,0))</f>
        <v>#N/A</v>
      </c>
      <c r="C1131" s="90" t="e">
        <f>INDEX('NEW HIRE ROSTER'!$F:$F,MATCH(RAW!F1131,'NEW HIRE ROSTER'!$A:$A,0))</f>
        <v>#N/A</v>
      </c>
      <c r="D1131" s="90" t="e">
        <f>INDEX('Validation List'!$H:$H,MATCH(RAW!E1131,'Validation List'!$F:$F,0))</f>
        <v>#N/A</v>
      </c>
      <c r="G1131" s="90" t="e">
        <f>VLOOKUP(F1131,ML!C1115:D1713,2,FALSE)</f>
        <v>#N/A</v>
      </c>
      <c r="H1131" s="90" t="e">
        <f>VLOOKUP(F1131,ML!C1115:E1713,3,FALSE)</f>
        <v>#N/A</v>
      </c>
    </row>
    <row r="1132" spans="1:8" x14ac:dyDescent="0.35">
      <c r="A1132" s="90" t="e">
        <f>VLOOKUP(E1132,'Validation List'!F1133:G1528,2,FALSE)</f>
        <v>#N/A</v>
      </c>
      <c r="B1132" s="90" t="e">
        <f>INDEX('NEW HIRE ROSTER'!$G:$G,MATCH(RAW!F1132,'NEW HIRE ROSTER'!$A:$A,0))</f>
        <v>#N/A</v>
      </c>
      <c r="C1132" s="90" t="e">
        <f>INDEX('NEW HIRE ROSTER'!$F:$F,MATCH(RAW!F1132,'NEW HIRE ROSTER'!$A:$A,0))</f>
        <v>#N/A</v>
      </c>
      <c r="D1132" s="90" t="e">
        <f>INDEX('Validation List'!$H:$H,MATCH(RAW!E1132,'Validation List'!$F:$F,0))</f>
        <v>#N/A</v>
      </c>
      <c r="G1132" s="90" t="e">
        <f>VLOOKUP(F1132,ML!C1116:D1714,2,FALSE)</f>
        <v>#N/A</v>
      </c>
      <c r="H1132" s="90" t="e">
        <f>VLOOKUP(F1132,ML!C1116:E1714,3,FALSE)</f>
        <v>#N/A</v>
      </c>
    </row>
    <row r="1133" spans="1:8" x14ac:dyDescent="0.35">
      <c r="A1133" s="90" t="e">
        <f>VLOOKUP(E1133,'Validation List'!F1134:G1529,2,FALSE)</f>
        <v>#N/A</v>
      </c>
      <c r="B1133" s="90" t="e">
        <f>INDEX('NEW HIRE ROSTER'!$G:$G,MATCH(RAW!F1133,'NEW HIRE ROSTER'!$A:$A,0))</f>
        <v>#N/A</v>
      </c>
      <c r="C1133" s="90" t="e">
        <f>INDEX('NEW HIRE ROSTER'!$F:$F,MATCH(RAW!F1133,'NEW HIRE ROSTER'!$A:$A,0))</f>
        <v>#N/A</v>
      </c>
      <c r="D1133" s="90" t="e">
        <f>INDEX('Validation List'!$H:$H,MATCH(RAW!E1133,'Validation List'!$F:$F,0))</f>
        <v>#N/A</v>
      </c>
      <c r="G1133" s="90" t="e">
        <f>VLOOKUP(F1133,ML!C1117:D1715,2,FALSE)</f>
        <v>#N/A</v>
      </c>
      <c r="H1133" s="90" t="e">
        <f>VLOOKUP(F1133,ML!C1117:E1715,3,FALSE)</f>
        <v>#N/A</v>
      </c>
    </row>
    <row r="1134" spans="1:8" x14ac:dyDescent="0.35">
      <c r="A1134" s="90" t="e">
        <f>VLOOKUP(E1134,'Validation List'!F1135:G1530,2,FALSE)</f>
        <v>#N/A</v>
      </c>
      <c r="B1134" s="90" t="e">
        <f>INDEX('NEW HIRE ROSTER'!$G:$G,MATCH(RAW!F1134,'NEW HIRE ROSTER'!$A:$A,0))</f>
        <v>#N/A</v>
      </c>
      <c r="C1134" s="90" t="e">
        <f>INDEX('NEW HIRE ROSTER'!$F:$F,MATCH(RAW!F1134,'NEW HIRE ROSTER'!$A:$A,0))</f>
        <v>#N/A</v>
      </c>
      <c r="D1134" s="90" t="e">
        <f>INDEX('Validation List'!$H:$H,MATCH(RAW!E1134,'Validation List'!$F:$F,0))</f>
        <v>#N/A</v>
      </c>
      <c r="G1134" s="90" t="e">
        <f>VLOOKUP(F1134,ML!C1118:D1716,2,FALSE)</f>
        <v>#N/A</v>
      </c>
      <c r="H1134" s="90" t="e">
        <f>VLOOKUP(F1134,ML!C1118:E1716,3,FALSE)</f>
        <v>#N/A</v>
      </c>
    </row>
    <row r="1135" spans="1:8" x14ac:dyDescent="0.35">
      <c r="A1135" s="90" t="e">
        <f>VLOOKUP(E1135,'Validation List'!F1136:G1531,2,FALSE)</f>
        <v>#N/A</v>
      </c>
      <c r="B1135" s="90" t="e">
        <f>INDEX('NEW HIRE ROSTER'!$G:$G,MATCH(RAW!F1135,'NEW HIRE ROSTER'!$A:$A,0))</f>
        <v>#N/A</v>
      </c>
      <c r="C1135" s="90" t="e">
        <f>INDEX('NEW HIRE ROSTER'!$F:$F,MATCH(RAW!F1135,'NEW HIRE ROSTER'!$A:$A,0))</f>
        <v>#N/A</v>
      </c>
      <c r="D1135" s="90" t="e">
        <f>INDEX('Validation List'!$H:$H,MATCH(RAW!E1135,'Validation List'!$F:$F,0))</f>
        <v>#N/A</v>
      </c>
      <c r="G1135" s="90" t="e">
        <f>VLOOKUP(F1135,ML!C1119:D1717,2,FALSE)</f>
        <v>#N/A</v>
      </c>
      <c r="H1135" s="90" t="e">
        <f>VLOOKUP(F1135,ML!C1119:E1717,3,FALSE)</f>
        <v>#N/A</v>
      </c>
    </row>
    <row r="1136" spans="1:8" x14ac:dyDescent="0.35">
      <c r="A1136" s="90" t="e">
        <f>VLOOKUP(E1136,'Validation List'!F1137:G1532,2,FALSE)</f>
        <v>#N/A</v>
      </c>
      <c r="B1136" s="90" t="e">
        <f>INDEX('NEW HIRE ROSTER'!$G:$G,MATCH(RAW!F1136,'NEW HIRE ROSTER'!$A:$A,0))</f>
        <v>#N/A</v>
      </c>
      <c r="C1136" s="90" t="e">
        <f>INDEX('NEW HIRE ROSTER'!$F:$F,MATCH(RAW!F1136,'NEW HIRE ROSTER'!$A:$A,0))</f>
        <v>#N/A</v>
      </c>
      <c r="D1136" s="90" t="e">
        <f>INDEX('Validation List'!$H:$H,MATCH(RAW!E1136,'Validation List'!$F:$F,0))</f>
        <v>#N/A</v>
      </c>
      <c r="G1136" s="90" t="e">
        <f>VLOOKUP(F1136,ML!C1120:D1718,2,FALSE)</f>
        <v>#N/A</v>
      </c>
      <c r="H1136" s="90" t="e">
        <f>VLOOKUP(F1136,ML!C1120:E1718,3,FALSE)</f>
        <v>#N/A</v>
      </c>
    </row>
    <row r="1137" spans="1:8" x14ac:dyDescent="0.35">
      <c r="A1137" s="90" t="e">
        <f>VLOOKUP(E1137,'Validation List'!F1138:G1533,2,FALSE)</f>
        <v>#N/A</v>
      </c>
      <c r="B1137" s="90" t="e">
        <f>INDEX('NEW HIRE ROSTER'!$G:$G,MATCH(RAW!F1137,'NEW HIRE ROSTER'!$A:$A,0))</f>
        <v>#N/A</v>
      </c>
      <c r="C1137" s="90" t="e">
        <f>INDEX('NEW HIRE ROSTER'!$F:$F,MATCH(RAW!F1137,'NEW HIRE ROSTER'!$A:$A,0))</f>
        <v>#N/A</v>
      </c>
      <c r="D1137" s="90" t="e">
        <f>INDEX('Validation List'!$H:$H,MATCH(RAW!E1137,'Validation List'!$F:$F,0))</f>
        <v>#N/A</v>
      </c>
      <c r="G1137" s="90" t="e">
        <f>VLOOKUP(F1137,ML!C1121:D1719,2,FALSE)</f>
        <v>#N/A</v>
      </c>
      <c r="H1137" s="90" t="e">
        <f>VLOOKUP(F1137,ML!C1121:E1719,3,FALSE)</f>
        <v>#N/A</v>
      </c>
    </row>
    <row r="1138" spans="1:8" x14ac:dyDescent="0.35">
      <c r="A1138" s="90" t="e">
        <f>VLOOKUP(E1138,'Validation List'!F1139:G1534,2,FALSE)</f>
        <v>#N/A</v>
      </c>
      <c r="B1138" s="90" t="e">
        <f>INDEX('NEW HIRE ROSTER'!$G:$G,MATCH(RAW!F1138,'NEW HIRE ROSTER'!$A:$A,0))</f>
        <v>#N/A</v>
      </c>
      <c r="C1138" s="90" t="e">
        <f>INDEX('NEW HIRE ROSTER'!$F:$F,MATCH(RAW!F1138,'NEW HIRE ROSTER'!$A:$A,0))</f>
        <v>#N/A</v>
      </c>
      <c r="D1138" s="90" t="e">
        <f>INDEX('Validation List'!$H:$H,MATCH(RAW!E1138,'Validation List'!$F:$F,0))</f>
        <v>#N/A</v>
      </c>
      <c r="G1138" s="90" t="e">
        <f>VLOOKUP(F1138,ML!C1122:D1720,2,FALSE)</f>
        <v>#N/A</v>
      </c>
      <c r="H1138" s="90" t="e">
        <f>VLOOKUP(F1138,ML!C1122:E1720,3,FALSE)</f>
        <v>#N/A</v>
      </c>
    </row>
    <row r="1139" spans="1:8" x14ac:dyDescent="0.35">
      <c r="A1139" s="90" t="e">
        <f>VLOOKUP(E1139,'Validation List'!F1140:G1535,2,FALSE)</f>
        <v>#N/A</v>
      </c>
      <c r="B1139" s="90" t="e">
        <f>INDEX('NEW HIRE ROSTER'!$G:$G,MATCH(RAW!F1139,'NEW HIRE ROSTER'!$A:$A,0))</f>
        <v>#N/A</v>
      </c>
      <c r="C1139" s="90" t="e">
        <f>INDEX('NEW HIRE ROSTER'!$F:$F,MATCH(RAW!F1139,'NEW HIRE ROSTER'!$A:$A,0))</f>
        <v>#N/A</v>
      </c>
      <c r="D1139" s="90" t="e">
        <f>INDEX('Validation List'!$H:$H,MATCH(RAW!E1139,'Validation List'!$F:$F,0))</f>
        <v>#N/A</v>
      </c>
      <c r="G1139" s="90" t="e">
        <f>VLOOKUP(F1139,ML!C1123:D1721,2,FALSE)</f>
        <v>#N/A</v>
      </c>
      <c r="H1139" s="90" t="e">
        <f>VLOOKUP(F1139,ML!C1123:E1721,3,FALSE)</f>
        <v>#N/A</v>
      </c>
    </row>
    <row r="1140" spans="1:8" x14ac:dyDescent="0.35">
      <c r="A1140" s="90" t="e">
        <f>VLOOKUP(E1140,'Validation List'!F1141:G1536,2,FALSE)</f>
        <v>#N/A</v>
      </c>
      <c r="B1140" s="90" t="e">
        <f>INDEX('NEW HIRE ROSTER'!$G:$G,MATCH(RAW!F1140,'NEW HIRE ROSTER'!$A:$A,0))</f>
        <v>#N/A</v>
      </c>
      <c r="C1140" s="90" t="e">
        <f>INDEX('NEW HIRE ROSTER'!$F:$F,MATCH(RAW!F1140,'NEW HIRE ROSTER'!$A:$A,0))</f>
        <v>#N/A</v>
      </c>
      <c r="D1140" s="90" t="e">
        <f>INDEX('Validation List'!$H:$H,MATCH(RAW!E1140,'Validation List'!$F:$F,0))</f>
        <v>#N/A</v>
      </c>
      <c r="G1140" s="90" t="e">
        <f>VLOOKUP(F1140,ML!C1124:D1722,2,FALSE)</f>
        <v>#N/A</v>
      </c>
      <c r="H1140" s="90" t="e">
        <f>VLOOKUP(F1140,ML!C1124:E1722,3,FALSE)</f>
        <v>#N/A</v>
      </c>
    </row>
    <row r="1141" spans="1:8" x14ac:dyDescent="0.35">
      <c r="A1141" s="90" t="e">
        <f>VLOOKUP(E1141,'Validation List'!F1142:G1537,2,FALSE)</f>
        <v>#N/A</v>
      </c>
      <c r="B1141" s="90" t="e">
        <f>INDEX('NEW HIRE ROSTER'!$G:$G,MATCH(RAW!F1141,'NEW HIRE ROSTER'!$A:$A,0))</f>
        <v>#N/A</v>
      </c>
      <c r="C1141" s="90" t="e">
        <f>INDEX('NEW HIRE ROSTER'!$F:$F,MATCH(RAW!F1141,'NEW HIRE ROSTER'!$A:$A,0))</f>
        <v>#N/A</v>
      </c>
      <c r="D1141" s="90" t="e">
        <f>INDEX('Validation List'!$H:$H,MATCH(RAW!E1141,'Validation List'!$F:$F,0))</f>
        <v>#N/A</v>
      </c>
      <c r="G1141" s="90" t="e">
        <f>VLOOKUP(F1141,ML!C1125:D1723,2,FALSE)</f>
        <v>#N/A</v>
      </c>
      <c r="H1141" s="90" t="e">
        <f>VLOOKUP(F1141,ML!C1125:E1723,3,FALSE)</f>
        <v>#N/A</v>
      </c>
    </row>
    <row r="1142" spans="1:8" x14ac:dyDescent="0.35">
      <c r="A1142" s="90" t="e">
        <f>VLOOKUP(E1142,'Validation List'!F1143:G1538,2,FALSE)</f>
        <v>#N/A</v>
      </c>
      <c r="B1142" s="90" t="e">
        <f>INDEX('NEW HIRE ROSTER'!$G:$G,MATCH(RAW!F1142,'NEW HIRE ROSTER'!$A:$A,0))</f>
        <v>#N/A</v>
      </c>
      <c r="C1142" s="90" t="e">
        <f>INDEX('NEW HIRE ROSTER'!$F:$F,MATCH(RAW!F1142,'NEW HIRE ROSTER'!$A:$A,0))</f>
        <v>#N/A</v>
      </c>
      <c r="D1142" s="90" t="e">
        <f>INDEX('Validation List'!$H:$H,MATCH(RAW!E1142,'Validation List'!$F:$F,0))</f>
        <v>#N/A</v>
      </c>
      <c r="G1142" s="90" t="e">
        <f>VLOOKUP(F1142,ML!C1126:D1724,2,FALSE)</f>
        <v>#N/A</v>
      </c>
      <c r="H1142" s="90" t="e">
        <f>VLOOKUP(F1142,ML!C1126:E1724,3,FALSE)</f>
        <v>#N/A</v>
      </c>
    </row>
    <row r="1143" spans="1:8" x14ac:dyDescent="0.35">
      <c r="A1143" s="90" t="e">
        <f>VLOOKUP(E1143,'Validation List'!F1144:G1539,2,FALSE)</f>
        <v>#N/A</v>
      </c>
      <c r="B1143" s="90" t="e">
        <f>INDEX('NEW HIRE ROSTER'!$G:$G,MATCH(RAW!F1143,'NEW HIRE ROSTER'!$A:$A,0))</f>
        <v>#N/A</v>
      </c>
      <c r="C1143" s="90" t="e">
        <f>INDEX('NEW HIRE ROSTER'!$F:$F,MATCH(RAW!F1143,'NEW HIRE ROSTER'!$A:$A,0))</f>
        <v>#N/A</v>
      </c>
      <c r="D1143" s="90" t="e">
        <f>INDEX('Validation List'!$H:$H,MATCH(RAW!E1143,'Validation List'!$F:$F,0))</f>
        <v>#N/A</v>
      </c>
      <c r="G1143" s="90" t="e">
        <f>VLOOKUP(F1143,ML!C1127:D1725,2,FALSE)</f>
        <v>#N/A</v>
      </c>
      <c r="H1143" s="90" t="e">
        <f>VLOOKUP(F1143,ML!C1127:E1725,3,FALSE)</f>
        <v>#N/A</v>
      </c>
    </row>
    <row r="1144" spans="1:8" x14ac:dyDescent="0.35">
      <c r="A1144" s="90" t="e">
        <f>VLOOKUP(E1144,'Validation List'!F1145:G1540,2,FALSE)</f>
        <v>#N/A</v>
      </c>
      <c r="B1144" s="90" t="e">
        <f>INDEX('NEW HIRE ROSTER'!$G:$G,MATCH(RAW!F1144,'NEW HIRE ROSTER'!$A:$A,0))</f>
        <v>#N/A</v>
      </c>
      <c r="C1144" s="90" t="e">
        <f>INDEX('NEW HIRE ROSTER'!$F:$F,MATCH(RAW!F1144,'NEW HIRE ROSTER'!$A:$A,0))</f>
        <v>#N/A</v>
      </c>
      <c r="D1144" s="90" t="e">
        <f>INDEX('Validation List'!$H:$H,MATCH(RAW!E1144,'Validation List'!$F:$F,0))</f>
        <v>#N/A</v>
      </c>
      <c r="G1144" s="90" t="e">
        <f>VLOOKUP(F1144,ML!C1128:D1726,2,FALSE)</f>
        <v>#N/A</v>
      </c>
      <c r="H1144" s="90" t="e">
        <f>VLOOKUP(F1144,ML!C1128:E1726,3,FALSE)</f>
        <v>#N/A</v>
      </c>
    </row>
    <row r="1145" spans="1:8" x14ac:dyDescent="0.35">
      <c r="A1145" s="90" t="e">
        <f>VLOOKUP(E1145,'Validation List'!F1146:G1541,2,FALSE)</f>
        <v>#N/A</v>
      </c>
      <c r="B1145" s="90" t="e">
        <f>INDEX('NEW HIRE ROSTER'!$G:$G,MATCH(RAW!F1145,'NEW HIRE ROSTER'!$A:$A,0))</f>
        <v>#N/A</v>
      </c>
      <c r="C1145" s="90" t="e">
        <f>INDEX('NEW HIRE ROSTER'!$F:$F,MATCH(RAW!F1145,'NEW HIRE ROSTER'!$A:$A,0))</f>
        <v>#N/A</v>
      </c>
      <c r="D1145" s="90" t="e">
        <f>INDEX('Validation List'!$H:$H,MATCH(RAW!E1145,'Validation List'!$F:$F,0))</f>
        <v>#N/A</v>
      </c>
      <c r="G1145" s="90" t="e">
        <f>VLOOKUP(F1145,ML!C1129:D1727,2,FALSE)</f>
        <v>#N/A</v>
      </c>
      <c r="H1145" s="90" t="e">
        <f>VLOOKUP(F1145,ML!C1129:E1727,3,FALSE)</f>
        <v>#N/A</v>
      </c>
    </row>
    <row r="1146" spans="1:8" x14ac:dyDescent="0.35">
      <c r="A1146" s="90" t="e">
        <f>VLOOKUP(E1146,'Validation List'!F1147:G1542,2,FALSE)</f>
        <v>#N/A</v>
      </c>
      <c r="B1146" s="90" t="e">
        <f>INDEX('NEW HIRE ROSTER'!$G:$G,MATCH(RAW!F1146,'NEW HIRE ROSTER'!$A:$A,0))</f>
        <v>#N/A</v>
      </c>
      <c r="C1146" s="90" t="e">
        <f>INDEX('NEW HIRE ROSTER'!$F:$F,MATCH(RAW!F1146,'NEW HIRE ROSTER'!$A:$A,0))</f>
        <v>#N/A</v>
      </c>
      <c r="D1146" s="90" t="e">
        <f>INDEX('Validation List'!$H:$H,MATCH(RAW!E1146,'Validation List'!$F:$F,0))</f>
        <v>#N/A</v>
      </c>
      <c r="G1146" s="90" t="e">
        <f>VLOOKUP(F1146,ML!C1130:D1728,2,FALSE)</f>
        <v>#N/A</v>
      </c>
      <c r="H1146" s="90" t="e">
        <f>VLOOKUP(F1146,ML!C1130:E1728,3,FALSE)</f>
        <v>#N/A</v>
      </c>
    </row>
    <row r="1147" spans="1:8" x14ac:dyDescent="0.35">
      <c r="A1147" s="90" t="e">
        <f>VLOOKUP(E1147,'Validation List'!F1148:G1543,2,FALSE)</f>
        <v>#N/A</v>
      </c>
      <c r="B1147" s="90" t="e">
        <f>INDEX('NEW HIRE ROSTER'!$G:$G,MATCH(RAW!F1147,'NEW HIRE ROSTER'!$A:$A,0))</f>
        <v>#N/A</v>
      </c>
      <c r="C1147" s="90" t="e">
        <f>INDEX('NEW HIRE ROSTER'!$F:$F,MATCH(RAW!F1147,'NEW HIRE ROSTER'!$A:$A,0))</f>
        <v>#N/A</v>
      </c>
      <c r="D1147" s="90" t="e">
        <f>INDEX('Validation List'!$H:$H,MATCH(RAW!E1147,'Validation List'!$F:$F,0))</f>
        <v>#N/A</v>
      </c>
      <c r="G1147" s="90" t="e">
        <f>VLOOKUP(F1147,ML!C1131:D1729,2,FALSE)</f>
        <v>#N/A</v>
      </c>
      <c r="H1147" s="90" t="e">
        <f>VLOOKUP(F1147,ML!C1131:E1729,3,FALSE)</f>
        <v>#N/A</v>
      </c>
    </row>
    <row r="1148" spans="1:8" x14ac:dyDescent="0.35">
      <c r="A1148" s="90" t="e">
        <f>VLOOKUP(E1148,'Validation List'!F1149:G1544,2,FALSE)</f>
        <v>#N/A</v>
      </c>
      <c r="B1148" s="90" t="e">
        <f>INDEX('NEW HIRE ROSTER'!$G:$G,MATCH(RAW!F1148,'NEW HIRE ROSTER'!$A:$A,0))</f>
        <v>#N/A</v>
      </c>
      <c r="C1148" s="90" t="e">
        <f>INDEX('NEW HIRE ROSTER'!$F:$F,MATCH(RAW!F1148,'NEW HIRE ROSTER'!$A:$A,0))</f>
        <v>#N/A</v>
      </c>
      <c r="D1148" s="90" t="e">
        <f>INDEX('Validation List'!$H:$H,MATCH(RAW!E1148,'Validation List'!$F:$F,0))</f>
        <v>#N/A</v>
      </c>
      <c r="G1148" s="90" t="e">
        <f>VLOOKUP(F1148,ML!C1132:D1730,2,FALSE)</f>
        <v>#N/A</v>
      </c>
      <c r="H1148" s="90" t="e">
        <f>VLOOKUP(F1148,ML!C1132:E1730,3,FALSE)</f>
        <v>#N/A</v>
      </c>
    </row>
    <row r="1149" spans="1:8" x14ac:dyDescent="0.35">
      <c r="A1149" s="90" t="e">
        <f>VLOOKUP(E1149,'Validation List'!F1150:G1545,2,FALSE)</f>
        <v>#N/A</v>
      </c>
      <c r="B1149" s="90" t="e">
        <f>INDEX('NEW HIRE ROSTER'!$G:$G,MATCH(RAW!F1149,'NEW HIRE ROSTER'!$A:$A,0))</f>
        <v>#N/A</v>
      </c>
      <c r="C1149" s="90" t="e">
        <f>INDEX('NEW HIRE ROSTER'!$F:$F,MATCH(RAW!F1149,'NEW HIRE ROSTER'!$A:$A,0))</f>
        <v>#N/A</v>
      </c>
      <c r="D1149" s="90" t="e">
        <f>INDEX('Validation List'!$H:$H,MATCH(RAW!E1149,'Validation List'!$F:$F,0))</f>
        <v>#N/A</v>
      </c>
      <c r="G1149" s="90" t="e">
        <f>VLOOKUP(F1149,ML!C1133:D1731,2,FALSE)</f>
        <v>#N/A</v>
      </c>
      <c r="H1149" s="90" t="e">
        <f>VLOOKUP(F1149,ML!C1133:E1731,3,FALSE)</f>
        <v>#N/A</v>
      </c>
    </row>
    <row r="1150" spans="1:8" x14ac:dyDescent="0.35">
      <c r="A1150" s="90" t="e">
        <f>VLOOKUP(E1150,'Validation List'!F1151:G1546,2,FALSE)</f>
        <v>#N/A</v>
      </c>
      <c r="B1150" s="90" t="e">
        <f>INDEX('NEW HIRE ROSTER'!$G:$G,MATCH(RAW!F1150,'NEW HIRE ROSTER'!$A:$A,0))</f>
        <v>#N/A</v>
      </c>
      <c r="C1150" s="90" t="e">
        <f>INDEX('NEW HIRE ROSTER'!$F:$F,MATCH(RAW!F1150,'NEW HIRE ROSTER'!$A:$A,0))</f>
        <v>#N/A</v>
      </c>
      <c r="D1150" s="90" t="e">
        <f>INDEX('Validation List'!$H:$H,MATCH(RAW!E1150,'Validation List'!$F:$F,0))</f>
        <v>#N/A</v>
      </c>
      <c r="G1150" s="90" t="e">
        <f>VLOOKUP(F1150,ML!C1134:D1732,2,FALSE)</f>
        <v>#N/A</v>
      </c>
      <c r="H1150" s="90" t="e">
        <f>VLOOKUP(F1150,ML!C1134:E1732,3,FALSE)</f>
        <v>#N/A</v>
      </c>
    </row>
    <row r="1151" spans="1:8" x14ac:dyDescent="0.35">
      <c r="A1151" s="90" t="e">
        <f>VLOOKUP(E1151,'Validation List'!F1152:G1547,2,FALSE)</f>
        <v>#N/A</v>
      </c>
      <c r="B1151" s="90" t="e">
        <f>INDEX('NEW HIRE ROSTER'!$G:$G,MATCH(RAW!F1151,'NEW HIRE ROSTER'!$A:$A,0))</f>
        <v>#N/A</v>
      </c>
      <c r="C1151" s="90" t="e">
        <f>INDEX('NEW HIRE ROSTER'!$F:$F,MATCH(RAW!F1151,'NEW HIRE ROSTER'!$A:$A,0))</f>
        <v>#N/A</v>
      </c>
      <c r="D1151" s="90" t="e">
        <f>INDEX('Validation List'!$H:$H,MATCH(RAW!E1151,'Validation List'!$F:$F,0))</f>
        <v>#N/A</v>
      </c>
      <c r="G1151" s="90" t="e">
        <f>VLOOKUP(F1151,ML!C1135:D1733,2,FALSE)</f>
        <v>#N/A</v>
      </c>
      <c r="H1151" s="90" t="e">
        <f>VLOOKUP(F1151,ML!C1135:E1733,3,FALSE)</f>
        <v>#N/A</v>
      </c>
    </row>
    <row r="1152" spans="1:8" x14ac:dyDescent="0.35">
      <c r="A1152" s="90" t="e">
        <f>VLOOKUP(E1152,'Validation List'!F1153:G1548,2,FALSE)</f>
        <v>#N/A</v>
      </c>
      <c r="B1152" s="90" t="e">
        <f>INDEX('NEW HIRE ROSTER'!$G:$G,MATCH(RAW!F1152,'NEW HIRE ROSTER'!$A:$A,0))</f>
        <v>#N/A</v>
      </c>
      <c r="C1152" s="90" t="e">
        <f>INDEX('NEW HIRE ROSTER'!$F:$F,MATCH(RAW!F1152,'NEW HIRE ROSTER'!$A:$A,0))</f>
        <v>#N/A</v>
      </c>
      <c r="D1152" s="90" t="e">
        <f>INDEX('Validation List'!$H:$H,MATCH(RAW!E1152,'Validation List'!$F:$F,0))</f>
        <v>#N/A</v>
      </c>
      <c r="G1152" s="90" t="e">
        <f>VLOOKUP(F1152,ML!C1136:D1734,2,FALSE)</f>
        <v>#N/A</v>
      </c>
      <c r="H1152" s="90" t="e">
        <f>VLOOKUP(F1152,ML!C1136:E1734,3,FALSE)</f>
        <v>#N/A</v>
      </c>
    </row>
    <row r="1153" spans="1:8" x14ac:dyDescent="0.35">
      <c r="A1153" s="90" t="e">
        <f>VLOOKUP(E1153,'Validation List'!F1154:G1549,2,FALSE)</f>
        <v>#N/A</v>
      </c>
      <c r="B1153" s="90" t="e">
        <f>INDEX('NEW HIRE ROSTER'!$G:$G,MATCH(RAW!F1153,'NEW HIRE ROSTER'!$A:$A,0))</f>
        <v>#N/A</v>
      </c>
      <c r="C1153" s="90" t="e">
        <f>INDEX('NEW HIRE ROSTER'!$F:$F,MATCH(RAW!F1153,'NEW HIRE ROSTER'!$A:$A,0))</f>
        <v>#N/A</v>
      </c>
      <c r="D1153" s="90" t="e">
        <f>INDEX('Validation List'!$H:$H,MATCH(RAW!E1153,'Validation List'!$F:$F,0))</f>
        <v>#N/A</v>
      </c>
      <c r="G1153" s="90" t="e">
        <f>VLOOKUP(F1153,ML!C1137:D1735,2,FALSE)</f>
        <v>#N/A</v>
      </c>
      <c r="H1153" s="90" t="e">
        <f>VLOOKUP(F1153,ML!C1137:E1735,3,FALSE)</f>
        <v>#N/A</v>
      </c>
    </row>
    <row r="1154" spans="1:8" x14ac:dyDescent="0.35">
      <c r="A1154" s="90" t="e">
        <f>VLOOKUP(E1154,'Validation List'!F1155:G1550,2,FALSE)</f>
        <v>#N/A</v>
      </c>
      <c r="B1154" s="90" t="e">
        <f>INDEX('NEW HIRE ROSTER'!$G:$G,MATCH(RAW!F1154,'NEW HIRE ROSTER'!$A:$A,0))</f>
        <v>#N/A</v>
      </c>
      <c r="C1154" s="90" t="e">
        <f>INDEX('NEW HIRE ROSTER'!$F:$F,MATCH(RAW!F1154,'NEW HIRE ROSTER'!$A:$A,0))</f>
        <v>#N/A</v>
      </c>
      <c r="D1154" s="90" t="e">
        <f>INDEX('Validation List'!$H:$H,MATCH(RAW!E1154,'Validation List'!$F:$F,0))</f>
        <v>#N/A</v>
      </c>
      <c r="G1154" s="90" t="e">
        <f>VLOOKUP(F1154,ML!C1138:D1736,2,FALSE)</f>
        <v>#N/A</v>
      </c>
      <c r="H1154" s="90" t="e">
        <f>VLOOKUP(F1154,ML!C1138:E1736,3,FALSE)</f>
        <v>#N/A</v>
      </c>
    </row>
    <row r="1155" spans="1:8" x14ac:dyDescent="0.35">
      <c r="A1155" s="90" t="e">
        <f>VLOOKUP(E1155,'Validation List'!F1156:G1551,2,FALSE)</f>
        <v>#N/A</v>
      </c>
      <c r="B1155" s="90" t="e">
        <f>INDEX('NEW HIRE ROSTER'!$G:$G,MATCH(RAW!F1155,'NEW HIRE ROSTER'!$A:$A,0))</f>
        <v>#N/A</v>
      </c>
      <c r="C1155" s="90" t="e">
        <f>INDEX('NEW HIRE ROSTER'!$F:$F,MATCH(RAW!F1155,'NEW HIRE ROSTER'!$A:$A,0))</f>
        <v>#N/A</v>
      </c>
      <c r="D1155" s="90" t="e">
        <f>INDEX('Validation List'!$H:$H,MATCH(RAW!E1155,'Validation List'!$F:$F,0))</f>
        <v>#N/A</v>
      </c>
      <c r="G1155" s="90" t="e">
        <f>VLOOKUP(F1155,ML!C1139:D1737,2,FALSE)</f>
        <v>#N/A</v>
      </c>
      <c r="H1155" s="90" t="e">
        <f>VLOOKUP(F1155,ML!C1139:E1737,3,FALSE)</f>
        <v>#N/A</v>
      </c>
    </row>
    <row r="1156" spans="1:8" x14ac:dyDescent="0.35">
      <c r="A1156" s="90" t="e">
        <f>VLOOKUP(E1156,'Validation List'!F1157:G1552,2,FALSE)</f>
        <v>#N/A</v>
      </c>
      <c r="B1156" s="90" t="e">
        <f>INDEX('NEW HIRE ROSTER'!$G:$G,MATCH(RAW!F1156,'NEW HIRE ROSTER'!$A:$A,0))</f>
        <v>#N/A</v>
      </c>
      <c r="C1156" s="90" t="e">
        <f>INDEX('NEW HIRE ROSTER'!$F:$F,MATCH(RAW!F1156,'NEW HIRE ROSTER'!$A:$A,0))</f>
        <v>#N/A</v>
      </c>
      <c r="D1156" s="90" t="e">
        <f>INDEX('Validation List'!$H:$H,MATCH(RAW!E1156,'Validation List'!$F:$F,0))</f>
        <v>#N/A</v>
      </c>
      <c r="G1156" s="90" t="e">
        <f>VLOOKUP(F1156,ML!C1140:D1738,2,FALSE)</f>
        <v>#N/A</v>
      </c>
      <c r="H1156" s="90" t="e">
        <f>VLOOKUP(F1156,ML!C1140:E1738,3,FALSE)</f>
        <v>#N/A</v>
      </c>
    </row>
    <row r="1157" spans="1:8" x14ac:dyDescent="0.35">
      <c r="A1157" s="90" t="e">
        <f>VLOOKUP(E1157,'Validation List'!F1158:G1553,2,FALSE)</f>
        <v>#N/A</v>
      </c>
      <c r="B1157" s="90" t="e">
        <f>INDEX('NEW HIRE ROSTER'!$G:$G,MATCH(RAW!F1157,'NEW HIRE ROSTER'!$A:$A,0))</f>
        <v>#N/A</v>
      </c>
      <c r="C1157" s="90" t="e">
        <f>INDEX('NEW HIRE ROSTER'!$F:$F,MATCH(RAW!F1157,'NEW HIRE ROSTER'!$A:$A,0))</f>
        <v>#N/A</v>
      </c>
      <c r="D1157" s="90" t="e">
        <f>INDEX('Validation List'!$H:$H,MATCH(RAW!E1157,'Validation List'!$F:$F,0))</f>
        <v>#N/A</v>
      </c>
      <c r="G1157" s="90" t="e">
        <f>VLOOKUP(F1157,ML!C1141:D1739,2,FALSE)</f>
        <v>#N/A</v>
      </c>
      <c r="H1157" s="90" t="e">
        <f>VLOOKUP(F1157,ML!C1141:E1739,3,FALSE)</f>
        <v>#N/A</v>
      </c>
    </row>
    <row r="1158" spans="1:8" x14ac:dyDescent="0.35">
      <c r="A1158" s="90" t="e">
        <f>VLOOKUP(E1158,'Validation List'!F1159:G1554,2,FALSE)</f>
        <v>#N/A</v>
      </c>
      <c r="B1158" s="90" t="e">
        <f>INDEX('NEW HIRE ROSTER'!$G:$G,MATCH(RAW!F1158,'NEW HIRE ROSTER'!$A:$A,0))</f>
        <v>#N/A</v>
      </c>
      <c r="C1158" s="90" t="e">
        <f>INDEX('NEW HIRE ROSTER'!$F:$F,MATCH(RAW!F1158,'NEW HIRE ROSTER'!$A:$A,0))</f>
        <v>#N/A</v>
      </c>
      <c r="D1158" s="90" t="e">
        <f>INDEX('Validation List'!$H:$H,MATCH(RAW!E1158,'Validation List'!$F:$F,0))</f>
        <v>#N/A</v>
      </c>
      <c r="G1158" s="90" t="e">
        <f>VLOOKUP(F1158,ML!C1142:D1740,2,FALSE)</f>
        <v>#N/A</v>
      </c>
      <c r="H1158" s="90" t="e">
        <f>VLOOKUP(F1158,ML!C1142:E1740,3,FALSE)</f>
        <v>#N/A</v>
      </c>
    </row>
    <row r="1159" spans="1:8" x14ac:dyDescent="0.35">
      <c r="A1159" s="90" t="e">
        <f>VLOOKUP(E1159,'Validation List'!F1160:G1555,2,FALSE)</f>
        <v>#N/A</v>
      </c>
      <c r="B1159" s="90" t="e">
        <f>INDEX('NEW HIRE ROSTER'!$G:$G,MATCH(RAW!F1159,'NEW HIRE ROSTER'!$A:$A,0))</f>
        <v>#N/A</v>
      </c>
      <c r="C1159" s="90" t="e">
        <f>INDEX('NEW HIRE ROSTER'!$F:$F,MATCH(RAW!F1159,'NEW HIRE ROSTER'!$A:$A,0))</f>
        <v>#N/A</v>
      </c>
      <c r="D1159" s="90" t="e">
        <f>INDEX('Validation List'!$H:$H,MATCH(RAW!E1159,'Validation List'!$F:$F,0))</f>
        <v>#N/A</v>
      </c>
      <c r="G1159" s="90" t="e">
        <f>VLOOKUP(F1159,ML!C1143:D1741,2,FALSE)</f>
        <v>#N/A</v>
      </c>
      <c r="H1159" s="90" t="e">
        <f>VLOOKUP(F1159,ML!C1143:E1741,3,FALSE)</f>
        <v>#N/A</v>
      </c>
    </row>
    <row r="1160" spans="1:8" x14ac:dyDescent="0.35">
      <c r="A1160" s="90" t="e">
        <f>VLOOKUP(E1160,'Validation List'!F1161:G1556,2,FALSE)</f>
        <v>#N/A</v>
      </c>
      <c r="B1160" s="90" t="e">
        <f>INDEX('NEW HIRE ROSTER'!$G:$G,MATCH(RAW!F1160,'NEW HIRE ROSTER'!$A:$A,0))</f>
        <v>#N/A</v>
      </c>
      <c r="C1160" s="90" t="e">
        <f>INDEX('NEW HIRE ROSTER'!$F:$F,MATCH(RAW!F1160,'NEW HIRE ROSTER'!$A:$A,0))</f>
        <v>#N/A</v>
      </c>
      <c r="D1160" s="90" t="e">
        <f>INDEX('Validation List'!$H:$H,MATCH(RAW!E1160,'Validation List'!$F:$F,0))</f>
        <v>#N/A</v>
      </c>
      <c r="G1160" s="90" t="e">
        <f>VLOOKUP(F1160,ML!C1144:D1742,2,FALSE)</f>
        <v>#N/A</v>
      </c>
      <c r="H1160" s="90" t="e">
        <f>VLOOKUP(F1160,ML!C1144:E1742,3,FALSE)</f>
        <v>#N/A</v>
      </c>
    </row>
    <row r="1161" spans="1:8" x14ac:dyDescent="0.35">
      <c r="A1161" s="90" t="e">
        <f>VLOOKUP(E1161,'Validation List'!F1162:G1557,2,FALSE)</f>
        <v>#N/A</v>
      </c>
      <c r="B1161" s="90" t="e">
        <f>INDEX('NEW HIRE ROSTER'!$G:$G,MATCH(RAW!F1161,'NEW HIRE ROSTER'!$A:$A,0))</f>
        <v>#N/A</v>
      </c>
      <c r="C1161" s="90" t="e">
        <f>INDEX('NEW HIRE ROSTER'!$F:$F,MATCH(RAW!F1161,'NEW HIRE ROSTER'!$A:$A,0))</f>
        <v>#N/A</v>
      </c>
      <c r="D1161" s="90" t="e">
        <f>INDEX('Validation List'!$H:$H,MATCH(RAW!E1161,'Validation List'!$F:$F,0))</f>
        <v>#N/A</v>
      </c>
      <c r="G1161" s="90" t="e">
        <f>VLOOKUP(F1161,ML!C1145:D1743,2,FALSE)</f>
        <v>#N/A</v>
      </c>
      <c r="H1161" s="90" t="e">
        <f>VLOOKUP(F1161,ML!C1145:E1743,3,FALSE)</f>
        <v>#N/A</v>
      </c>
    </row>
    <row r="1162" spans="1:8" x14ac:dyDescent="0.35">
      <c r="A1162" s="90" t="e">
        <f>VLOOKUP(E1162,'Validation List'!F1163:G1558,2,FALSE)</f>
        <v>#N/A</v>
      </c>
      <c r="B1162" s="90" t="e">
        <f>INDEX('NEW HIRE ROSTER'!$G:$G,MATCH(RAW!F1162,'NEW HIRE ROSTER'!$A:$A,0))</f>
        <v>#N/A</v>
      </c>
      <c r="C1162" s="90" t="e">
        <f>INDEX('NEW HIRE ROSTER'!$F:$F,MATCH(RAW!F1162,'NEW HIRE ROSTER'!$A:$A,0))</f>
        <v>#N/A</v>
      </c>
      <c r="D1162" s="90" t="e">
        <f>INDEX('Validation List'!$H:$H,MATCH(RAW!E1162,'Validation List'!$F:$F,0))</f>
        <v>#N/A</v>
      </c>
      <c r="G1162" s="90" t="e">
        <f>VLOOKUP(F1162,ML!C1146:D1744,2,FALSE)</f>
        <v>#N/A</v>
      </c>
      <c r="H1162" s="90" t="e">
        <f>VLOOKUP(F1162,ML!C1146:E1744,3,FALSE)</f>
        <v>#N/A</v>
      </c>
    </row>
    <row r="1163" spans="1:8" x14ac:dyDescent="0.35">
      <c r="A1163" s="90" t="e">
        <f>VLOOKUP(E1163,'Validation List'!F1164:G1559,2,FALSE)</f>
        <v>#N/A</v>
      </c>
      <c r="B1163" s="90" t="e">
        <f>INDEX('NEW HIRE ROSTER'!$G:$G,MATCH(RAW!F1163,'NEW HIRE ROSTER'!$A:$A,0))</f>
        <v>#N/A</v>
      </c>
      <c r="C1163" s="90" t="e">
        <f>INDEX('NEW HIRE ROSTER'!$F:$F,MATCH(RAW!F1163,'NEW HIRE ROSTER'!$A:$A,0))</f>
        <v>#N/A</v>
      </c>
      <c r="D1163" s="90" t="e">
        <f>INDEX('Validation List'!$H:$H,MATCH(RAW!E1163,'Validation List'!$F:$F,0))</f>
        <v>#N/A</v>
      </c>
      <c r="G1163" s="90" t="e">
        <f>VLOOKUP(F1163,ML!C1147:D1745,2,FALSE)</f>
        <v>#N/A</v>
      </c>
      <c r="H1163" s="90" t="e">
        <f>VLOOKUP(F1163,ML!C1147:E1745,3,FALSE)</f>
        <v>#N/A</v>
      </c>
    </row>
    <row r="1164" spans="1:8" x14ac:dyDescent="0.35">
      <c r="A1164" s="90" t="e">
        <f>VLOOKUP(E1164,'Validation List'!F1165:G1560,2,FALSE)</f>
        <v>#N/A</v>
      </c>
      <c r="B1164" s="90" t="e">
        <f>INDEX('NEW HIRE ROSTER'!$G:$G,MATCH(RAW!F1164,'NEW HIRE ROSTER'!$A:$A,0))</f>
        <v>#N/A</v>
      </c>
      <c r="C1164" s="90" t="e">
        <f>INDEX('NEW HIRE ROSTER'!$F:$F,MATCH(RAW!F1164,'NEW HIRE ROSTER'!$A:$A,0))</f>
        <v>#N/A</v>
      </c>
      <c r="D1164" s="90" t="e">
        <f>INDEX('Validation List'!$H:$H,MATCH(RAW!E1164,'Validation List'!$F:$F,0))</f>
        <v>#N/A</v>
      </c>
      <c r="G1164" s="90" t="e">
        <f>VLOOKUP(F1164,ML!C1148:D1746,2,FALSE)</f>
        <v>#N/A</v>
      </c>
      <c r="H1164" s="90" t="e">
        <f>VLOOKUP(F1164,ML!C1148:E1746,3,FALSE)</f>
        <v>#N/A</v>
      </c>
    </row>
    <row r="1165" spans="1:8" x14ac:dyDescent="0.35">
      <c r="A1165" s="90" t="e">
        <f>VLOOKUP(E1165,'Validation List'!F1166:G1561,2,FALSE)</f>
        <v>#N/A</v>
      </c>
      <c r="B1165" s="90" t="e">
        <f>INDEX('NEW HIRE ROSTER'!$G:$G,MATCH(RAW!F1165,'NEW HIRE ROSTER'!$A:$A,0))</f>
        <v>#N/A</v>
      </c>
      <c r="C1165" s="90" t="e">
        <f>INDEX('NEW HIRE ROSTER'!$F:$F,MATCH(RAW!F1165,'NEW HIRE ROSTER'!$A:$A,0))</f>
        <v>#N/A</v>
      </c>
      <c r="D1165" s="90" t="e">
        <f>INDEX('Validation List'!$H:$H,MATCH(RAW!E1165,'Validation List'!$F:$F,0))</f>
        <v>#N/A</v>
      </c>
      <c r="G1165" s="90" t="e">
        <f>VLOOKUP(F1165,ML!C1149:D1747,2,FALSE)</f>
        <v>#N/A</v>
      </c>
      <c r="H1165" s="90" t="e">
        <f>VLOOKUP(F1165,ML!C1149:E1747,3,FALSE)</f>
        <v>#N/A</v>
      </c>
    </row>
    <row r="1166" spans="1:8" x14ac:dyDescent="0.35">
      <c r="A1166" s="90" t="e">
        <f>VLOOKUP(E1166,'Validation List'!F1167:G1562,2,FALSE)</f>
        <v>#N/A</v>
      </c>
      <c r="B1166" s="90" t="e">
        <f>INDEX('NEW HIRE ROSTER'!$G:$G,MATCH(RAW!F1166,'NEW HIRE ROSTER'!$A:$A,0))</f>
        <v>#N/A</v>
      </c>
      <c r="C1166" s="90" t="e">
        <f>INDEX('NEW HIRE ROSTER'!$F:$F,MATCH(RAW!F1166,'NEW HIRE ROSTER'!$A:$A,0))</f>
        <v>#N/A</v>
      </c>
      <c r="D1166" s="90" t="e">
        <f>INDEX('Validation List'!$H:$H,MATCH(RAW!E1166,'Validation List'!$F:$F,0))</f>
        <v>#N/A</v>
      </c>
      <c r="G1166" s="90" t="e">
        <f>VLOOKUP(F1166,ML!C1150:D1748,2,FALSE)</f>
        <v>#N/A</v>
      </c>
      <c r="H1166" s="90" t="e">
        <f>VLOOKUP(F1166,ML!C1150:E1748,3,FALSE)</f>
        <v>#N/A</v>
      </c>
    </row>
    <row r="1167" spans="1:8" x14ac:dyDescent="0.35">
      <c r="A1167" s="90" t="e">
        <f>VLOOKUP(E1167,'Validation List'!F1168:G1563,2,FALSE)</f>
        <v>#N/A</v>
      </c>
      <c r="B1167" s="90" t="e">
        <f>INDEX('NEW HIRE ROSTER'!$G:$G,MATCH(RAW!F1167,'NEW HIRE ROSTER'!$A:$A,0))</f>
        <v>#N/A</v>
      </c>
      <c r="C1167" s="90" t="e">
        <f>INDEX('NEW HIRE ROSTER'!$F:$F,MATCH(RAW!F1167,'NEW HIRE ROSTER'!$A:$A,0))</f>
        <v>#N/A</v>
      </c>
      <c r="D1167" s="90" t="e">
        <f>INDEX('Validation List'!$H:$H,MATCH(RAW!E1167,'Validation List'!$F:$F,0))</f>
        <v>#N/A</v>
      </c>
      <c r="G1167" s="90" t="e">
        <f>VLOOKUP(F1167,ML!C1151:D1749,2,FALSE)</f>
        <v>#N/A</v>
      </c>
      <c r="H1167" s="90" t="e">
        <f>VLOOKUP(F1167,ML!C1151:E1749,3,FALSE)</f>
        <v>#N/A</v>
      </c>
    </row>
    <row r="1168" spans="1:8" x14ac:dyDescent="0.35">
      <c r="A1168" s="90" t="e">
        <f>VLOOKUP(E1168,'Validation List'!F1169:G1564,2,FALSE)</f>
        <v>#N/A</v>
      </c>
      <c r="B1168" s="90" t="e">
        <f>INDEX('NEW HIRE ROSTER'!$G:$G,MATCH(RAW!F1168,'NEW HIRE ROSTER'!$A:$A,0))</f>
        <v>#N/A</v>
      </c>
      <c r="C1168" s="90" t="e">
        <f>INDEX('NEW HIRE ROSTER'!$F:$F,MATCH(RAW!F1168,'NEW HIRE ROSTER'!$A:$A,0))</f>
        <v>#N/A</v>
      </c>
      <c r="D1168" s="90" t="e">
        <f>INDEX('Validation List'!$H:$H,MATCH(RAW!E1168,'Validation List'!$F:$F,0))</f>
        <v>#N/A</v>
      </c>
      <c r="G1168" s="90" t="e">
        <f>VLOOKUP(F1168,ML!C1152:D1750,2,FALSE)</f>
        <v>#N/A</v>
      </c>
      <c r="H1168" s="90" t="e">
        <f>VLOOKUP(F1168,ML!C1152:E1750,3,FALSE)</f>
        <v>#N/A</v>
      </c>
    </row>
    <row r="1169" spans="1:8" x14ac:dyDescent="0.35">
      <c r="A1169" s="90" t="e">
        <f>VLOOKUP(E1169,'Validation List'!F1170:G1565,2,FALSE)</f>
        <v>#N/A</v>
      </c>
      <c r="B1169" s="90" t="e">
        <f>INDEX('NEW HIRE ROSTER'!$G:$G,MATCH(RAW!F1169,'NEW HIRE ROSTER'!$A:$A,0))</f>
        <v>#N/A</v>
      </c>
      <c r="C1169" s="90" t="e">
        <f>INDEX('NEW HIRE ROSTER'!$F:$F,MATCH(RAW!F1169,'NEW HIRE ROSTER'!$A:$A,0))</f>
        <v>#N/A</v>
      </c>
      <c r="D1169" s="90" t="e">
        <f>INDEX('Validation List'!$H:$H,MATCH(RAW!E1169,'Validation List'!$F:$F,0))</f>
        <v>#N/A</v>
      </c>
      <c r="G1169" s="90" t="e">
        <f>VLOOKUP(F1169,ML!C1153:D1751,2,FALSE)</f>
        <v>#N/A</v>
      </c>
      <c r="H1169" s="90" t="e">
        <f>VLOOKUP(F1169,ML!C1153:E1751,3,FALSE)</f>
        <v>#N/A</v>
      </c>
    </row>
    <row r="1170" spans="1:8" x14ac:dyDescent="0.35">
      <c r="A1170" s="90" t="e">
        <f>VLOOKUP(E1170,'Validation List'!F1171:G1566,2,FALSE)</f>
        <v>#N/A</v>
      </c>
      <c r="B1170" s="90" t="e">
        <f>INDEX('NEW HIRE ROSTER'!$G:$G,MATCH(RAW!F1170,'NEW HIRE ROSTER'!$A:$A,0))</f>
        <v>#N/A</v>
      </c>
      <c r="C1170" s="90" t="e">
        <f>INDEX('NEW HIRE ROSTER'!$F:$F,MATCH(RAW!F1170,'NEW HIRE ROSTER'!$A:$A,0))</f>
        <v>#N/A</v>
      </c>
      <c r="D1170" s="90" t="e">
        <f>INDEX('Validation List'!$H:$H,MATCH(RAW!E1170,'Validation List'!$F:$F,0))</f>
        <v>#N/A</v>
      </c>
      <c r="G1170" s="90" t="e">
        <f>VLOOKUP(F1170,ML!C1154:D1752,2,FALSE)</f>
        <v>#N/A</v>
      </c>
      <c r="H1170" s="90" t="e">
        <f>VLOOKUP(F1170,ML!C1154:E1752,3,FALSE)</f>
        <v>#N/A</v>
      </c>
    </row>
    <row r="1171" spans="1:8" x14ac:dyDescent="0.35">
      <c r="A1171" s="90" t="e">
        <f>VLOOKUP(E1171,'Validation List'!F1172:G1567,2,FALSE)</f>
        <v>#N/A</v>
      </c>
      <c r="B1171" s="90" t="e">
        <f>INDEX('NEW HIRE ROSTER'!$G:$G,MATCH(RAW!F1171,'NEW HIRE ROSTER'!$A:$A,0))</f>
        <v>#N/A</v>
      </c>
      <c r="C1171" s="90" t="e">
        <f>INDEX('NEW HIRE ROSTER'!$F:$F,MATCH(RAW!F1171,'NEW HIRE ROSTER'!$A:$A,0))</f>
        <v>#N/A</v>
      </c>
      <c r="D1171" s="90" t="e">
        <f>INDEX('Validation List'!$H:$H,MATCH(RAW!E1171,'Validation List'!$F:$F,0))</f>
        <v>#N/A</v>
      </c>
      <c r="G1171" s="90" t="e">
        <f>VLOOKUP(F1171,ML!C1155:D1753,2,FALSE)</f>
        <v>#N/A</v>
      </c>
      <c r="H1171" s="90" t="e">
        <f>VLOOKUP(F1171,ML!C1155:E1753,3,FALSE)</f>
        <v>#N/A</v>
      </c>
    </row>
    <row r="1172" spans="1:8" x14ac:dyDescent="0.35">
      <c r="A1172" s="90" t="e">
        <f>VLOOKUP(E1172,'Validation List'!F1173:G1568,2,FALSE)</f>
        <v>#N/A</v>
      </c>
      <c r="B1172" s="90" t="e">
        <f>INDEX('NEW HIRE ROSTER'!$G:$G,MATCH(RAW!F1172,'NEW HIRE ROSTER'!$A:$A,0))</f>
        <v>#N/A</v>
      </c>
      <c r="C1172" s="90" t="e">
        <f>INDEX('NEW HIRE ROSTER'!$F:$F,MATCH(RAW!F1172,'NEW HIRE ROSTER'!$A:$A,0))</f>
        <v>#N/A</v>
      </c>
      <c r="D1172" s="90" t="e">
        <f>INDEX('Validation List'!$H:$H,MATCH(RAW!E1172,'Validation List'!$F:$F,0))</f>
        <v>#N/A</v>
      </c>
      <c r="G1172" s="90" t="e">
        <f>VLOOKUP(F1172,ML!C1156:D1754,2,FALSE)</f>
        <v>#N/A</v>
      </c>
      <c r="H1172" s="90" t="e">
        <f>VLOOKUP(F1172,ML!C1156:E1754,3,FALSE)</f>
        <v>#N/A</v>
      </c>
    </row>
    <row r="1173" spans="1:8" x14ac:dyDescent="0.35">
      <c r="A1173" s="90" t="e">
        <f>VLOOKUP(E1173,'Validation List'!F1174:G1569,2,FALSE)</f>
        <v>#N/A</v>
      </c>
      <c r="B1173" s="90" t="e">
        <f>INDEX('NEW HIRE ROSTER'!$G:$G,MATCH(RAW!F1173,'NEW HIRE ROSTER'!$A:$A,0))</f>
        <v>#N/A</v>
      </c>
      <c r="C1173" s="90" t="e">
        <f>INDEX('NEW HIRE ROSTER'!$F:$F,MATCH(RAW!F1173,'NEW HIRE ROSTER'!$A:$A,0))</f>
        <v>#N/A</v>
      </c>
      <c r="D1173" s="90" t="e">
        <f>INDEX('Validation List'!$H:$H,MATCH(RAW!E1173,'Validation List'!$F:$F,0))</f>
        <v>#N/A</v>
      </c>
      <c r="G1173" s="90" t="e">
        <f>VLOOKUP(F1173,ML!C1157:D1755,2,FALSE)</f>
        <v>#N/A</v>
      </c>
      <c r="H1173" s="90" t="e">
        <f>VLOOKUP(F1173,ML!C1157:E1755,3,FALSE)</f>
        <v>#N/A</v>
      </c>
    </row>
    <row r="1174" spans="1:8" x14ac:dyDescent="0.35">
      <c r="A1174" s="90" t="e">
        <f>VLOOKUP(E1174,'Validation List'!F1175:G1570,2,FALSE)</f>
        <v>#N/A</v>
      </c>
      <c r="B1174" s="90" t="e">
        <f>INDEX('NEW HIRE ROSTER'!$G:$G,MATCH(RAW!F1174,'NEW HIRE ROSTER'!$A:$A,0))</f>
        <v>#N/A</v>
      </c>
      <c r="C1174" s="90" t="e">
        <f>INDEX('NEW HIRE ROSTER'!$F:$F,MATCH(RAW!F1174,'NEW HIRE ROSTER'!$A:$A,0))</f>
        <v>#N/A</v>
      </c>
      <c r="D1174" s="90" t="e">
        <f>INDEX('Validation List'!$H:$H,MATCH(RAW!E1174,'Validation List'!$F:$F,0))</f>
        <v>#N/A</v>
      </c>
      <c r="G1174" s="90" t="e">
        <f>VLOOKUP(F1174,ML!C1158:D1756,2,FALSE)</f>
        <v>#N/A</v>
      </c>
      <c r="H1174" s="90" t="e">
        <f>VLOOKUP(F1174,ML!C1158:E1756,3,FALSE)</f>
        <v>#N/A</v>
      </c>
    </row>
    <row r="1175" spans="1:8" x14ac:dyDescent="0.35">
      <c r="A1175" s="90" t="e">
        <f>VLOOKUP(E1175,'Validation List'!F1176:G1571,2,FALSE)</f>
        <v>#N/A</v>
      </c>
      <c r="B1175" s="90" t="e">
        <f>INDEX('NEW HIRE ROSTER'!$G:$G,MATCH(RAW!F1175,'NEW HIRE ROSTER'!$A:$A,0))</f>
        <v>#N/A</v>
      </c>
      <c r="C1175" s="90" t="e">
        <f>INDEX('NEW HIRE ROSTER'!$F:$F,MATCH(RAW!F1175,'NEW HIRE ROSTER'!$A:$A,0))</f>
        <v>#N/A</v>
      </c>
      <c r="D1175" s="90" t="e">
        <f>INDEX('Validation List'!$H:$H,MATCH(RAW!E1175,'Validation List'!$F:$F,0))</f>
        <v>#N/A</v>
      </c>
      <c r="G1175" s="90" t="e">
        <f>VLOOKUP(F1175,ML!C1159:D1757,2,FALSE)</f>
        <v>#N/A</v>
      </c>
      <c r="H1175" s="90" t="e">
        <f>VLOOKUP(F1175,ML!C1159:E1757,3,FALSE)</f>
        <v>#N/A</v>
      </c>
    </row>
    <row r="1176" spans="1:8" x14ac:dyDescent="0.35">
      <c r="A1176" s="90" t="e">
        <f>VLOOKUP(E1176,'Validation List'!F1177:G1572,2,FALSE)</f>
        <v>#N/A</v>
      </c>
      <c r="B1176" s="90" t="e">
        <f>INDEX('NEW HIRE ROSTER'!$G:$G,MATCH(RAW!F1176,'NEW HIRE ROSTER'!$A:$A,0))</f>
        <v>#N/A</v>
      </c>
      <c r="C1176" s="90" t="e">
        <f>INDEX('NEW HIRE ROSTER'!$F:$F,MATCH(RAW!F1176,'NEW HIRE ROSTER'!$A:$A,0))</f>
        <v>#N/A</v>
      </c>
      <c r="D1176" s="90" t="e">
        <f>INDEX('Validation List'!$H:$H,MATCH(RAW!E1176,'Validation List'!$F:$F,0))</f>
        <v>#N/A</v>
      </c>
      <c r="G1176" s="90" t="e">
        <f>VLOOKUP(F1176,ML!C1160:D1758,2,FALSE)</f>
        <v>#N/A</v>
      </c>
      <c r="H1176" s="90" t="e">
        <f>VLOOKUP(F1176,ML!C1160:E1758,3,FALSE)</f>
        <v>#N/A</v>
      </c>
    </row>
    <row r="1177" spans="1:8" x14ac:dyDescent="0.35">
      <c r="A1177" s="90" t="e">
        <f>VLOOKUP(E1177,'Validation List'!F1178:G1573,2,FALSE)</f>
        <v>#N/A</v>
      </c>
      <c r="B1177" s="90" t="e">
        <f>INDEX('NEW HIRE ROSTER'!$G:$G,MATCH(RAW!F1177,'NEW HIRE ROSTER'!$A:$A,0))</f>
        <v>#N/A</v>
      </c>
      <c r="C1177" s="90" t="e">
        <f>INDEX('NEW HIRE ROSTER'!$F:$F,MATCH(RAW!F1177,'NEW HIRE ROSTER'!$A:$A,0))</f>
        <v>#N/A</v>
      </c>
      <c r="D1177" s="90" t="e">
        <f>INDEX('Validation List'!$H:$H,MATCH(RAW!E1177,'Validation List'!$F:$F,0))</f>
        <v>#N/A</v>
      </c>
      <c r="G1177" s="90" t="e">
        <f>VLOOKUP(F1177,ML!C1161:D1759,2,FALSE)</f>
        <v>#N/A</v>
      </c>
      <c r="H1177" s="90" t="e">
        <f>VLOOKUP(F1177,ML!C1161:E1759,3,FALSE)</f>
        <v>#N/A</v>
      </c>
    </row>
    <row r="1178" spans="1:8" x14ac:dyDescent="0.35">
      <c r="A1178" s="90" t="e">
        <f>VLOOKUP(E1178,'Validation List'!F1179:G1574,2,FALSE)</f>
        <v>#N/A</v>
      </c>
      <c r="B1178" s="90" t="e">
        <f>INDEX('NEW HIRE ROSTER'!$G:$G,MATCH(RAW!F1178,'NEW HIRE ROSTER'!$A:$A,0))</f>
        <v>#N/A</v>
      </c>
      <c r="C1178" s="90" t="e">
        <f>INDEX('NEW HIRE ROSTER'!$F:$F,MATCH(RAW!F1178,'NEW HIRE ROSTER'!$A:$A,0))</f>
        <v>#N/A</v>
      </c>
      <c r="D1178" s="90" t="e">
        <f>INDEX('Validation List'!$H:$H,MATCH(RAW!E1178,'Validation List'!$F:$F,0))</f>
        <v>#N/A</v>
      </c>
      <c r="G1178" s="90" t="e">
        <f>VLOOKUP(F1178,ML!C1162:D1760,2,FALSE)</f>
        <v>#N/A</v>
      </c>
      <c r="H1178" s="90" t="e">
        <f>VLOOKUP(F1178,ML!C1162:E1760,3,FALSE)</f>
        <v>#N/A</v>
      </c>
    </row>
    <row r="1179" spans="1:8" x14ac:dyDescent="0.35">
      <c r="A1179" s="90" t="e">
        <f>VLOOKUP(E1179,'Validation List'!F1180:G1575,2,FALSE)</f>
        <v>#N/A</v>
      </c>
      <c r="B1179" s="90" t="e">
        <f>INDEX('NEW HIRE ROSTER'!$G:$G,MATCH(RAW!F1179,'NEW HIRE ROSTER'!$A:$A,0))</f>
        <v>#N/A</v>
      </c>
      <c r="C1179" s="90" t="e">
        <f>INDEX('NEW HIRE ROSTER'!$F:$F,MATCH(RAW!F1179,'NEW HIRE ROSTER'!$A:$A,0))</f>
        <v>#N/A</v>
      </c>
      <c r="D1179" s="90" t="e">
        <f>INDEX('Validation List'!$H:$H,MATCH(RAW!E1179,'Validation List'!$F:$F,0))</f>
        <v>#N/A</v>
      </c>
      <c r="G1179" s="90" t="e">
        <f>VLOOKUP(F1179,ML!C1163:D1761,2,FALSE)</f>
        <v>#N/A</v>
      </c>
      <c r="H1179" s="90" t="e">
        <f>VLOOKUP(F1179,ML!C1163:E1761,3,FALSE)</f>
        <v>#N/A</v>
      </c>
    </row>
    <row r="1180" spans="1:8" x14ac:dyDescent="0.35">
      <c r="A1180" s="90" t="e">
        <f>VLOOKUP(E1180,'Validation List'!F1181:G1576,2,FALSE)</f>
        <v>#N/A</v>
      </c>
      <c r="B1180" s="90" t="e">
        <f>INDEX('NEW HIRE ROSTER'!$G:$G,MATCH(RAW!F1180,'NEW HIRE ROSTER'!$A:$A,0))</f>
        <v>#N/A</v>
      </c>
      <c r="C1180" s="90" t="e">
        <f>INDEX('NEW HIRE ROSTER'!$F:$F,MATCH(RAW!F1180,'NEW HIRE ROSTER'!$A:$A,0))</f>
        <v>#N/A</v>
      </c>
      <c r="D1180" s="90" t="e">
        <f>INDEX('Validation List'!$H:$H,MATCH(RAW!E1180,'Validation List'!$F:$F,0))</f>
        <v>#N/A</v>
      </c>
      <c r="G1180" s="90" t="e">
        <f>VLOOKUP(F1180,ML!C1164:D1762,2,FALSE)</f>
        <v>#N/A</v>
      </c>
      <c r="H1180" s="90" t="e">
        <f>VLOOKUP(F1180,ML!C1164:E1762,3,FALSE)</f>
        <v>#N/A</v>
      </c>
    </row>
    <row r="1181" spans="1:8" x14ac:dyDescent="0.35">
      <c r="A1181" s="90" t="e">
        <f>VLOOKUP(E1181,'Validation List'!F1182:G1577,2,FALSE)</f>
        <v>#N/A</v>
      </c>
      <c r="B1181" s="90" t="e">
        <f>INDEX('NEW HIRE ROSTER'!$G:$G,MATCH(RAW!F1181,'NEW HIRE ROSTER'!$A:$A,0))</f>
        <v>#N/A</v>
      </c>
      <c r="C1181" s="90" t="e">
        <f>INDEX('NEW HIRE ROSTER'!$F:$F,MATCH(RAW!F1181,'NEW HIRE ROSTER'!$A:$A,0))</f>
        <v>#N/A</v>
      </c>
      <c r="D1181" s="90" t="e">
        <f>INDEX('Validation List'!$H:$H,MATCH(RAW!E1181,'Validation List'!$F:$F,0))</f>
        <v>#N/A</v>
      </c>
      <c r="G1181" s="90" t="e">
        <f>VLOOKUP(F1181,ML!C1165:D1763,2,FALSE)</f>
        <v>#N/A</v>
      </c>
      <c r="H1181" s="90" t="e">
        <f>VLOOKUP(F1181,ML!C1165:E1763,3,FALSE)</f>
        <v>#N/A</v>
      </c>
    </row>
    <row r="1182" spans="1:8" x14ac:dyDescent="0.35">
      <c r="A1182" s="90" t="e">
        <f>VLOOKUP(E1182,'Validation List'!F1183:G1578,2,FALSE)</f>
        <v>#N/A</v>
      </c>
      <c r="B1182" s="90" t="e">
        <f>INDEX('NEW HIRE ROSTER'!$G:$G,MATCH(RAW!F1182,'NEW HIRE ROSTER'!$A:$A,0))</f>
        <v>#N/A</v>
      </c>
      <c r="C1182" s="90" t="e">
        <f>INDEX('NEW HIRE ROSTER'!$F:$F,MATCH(RAW!F1182,'NEW HIRE ROSTER'!$A:$A,0))</f>
        <v>#N/A</v>
      </c>
      <c r="D1182" s="90" t="e">
        <f>INDEX('Validation List'!$H:$H,MATCH(RAW!E1182,'Validation List'!$F:$F,0))</f>
        <v>#N/A</v>
      </c>
      <c r="G1182" s="90" t="e">
        <f>VLOOKUP(F1182,ML!C1166:D1764,2,FALSE)</f>
        <v>#N/A</v>
      </c>
      <c r="H1182" s="90" t="e">
        <f>VLOOKUP(F1182,ML!C1166:E1764,3,FALSE)</f>
        <v>#N/A</v>
      </c>
    </row>
    <row r="1183" spans="1:8" x14ac:dyDescent="0.35">
      <c r="A1183" s="90" t="e">
        <f>VLOOKUP(E1183,'Validation List'!F1184:G1579,2,FALSE)</f>
        <v>#N/A</v>
      </c>
      <c r="B1183" s="90" t="e">
        <f>INDEX('NEW HIRE ROSTER'!$G:$G,MATCH(RAW!F1183,'NEW HIRE ROSTER'!$A:$A,0))</f>
        <v>#N/A</v>
      </c>
      <c r="C1183" s="90" t="e">
        <f>INDEX('NEW HIRE ROSTER'!$F:$F,MATCH(RAW!F1183,'NEW HIRE ROSTER'!$A:$A,0))</f>
        <v>#N/A</v>
      </c>
      <c r="D1183" s="90" t="e">
        <f>INDEX('Validation List'!$H:$H,MATCH(RAW!E1183,'Validation List'!$F:$F,0))</f>
        <v>#N/A</v>
      </c>
      <c r="G1183" s="90" t="e">
        <f>VLOOKUP(F1183,ML!C1167:D1765,2,FALSE)</f>
        <v>#N/A</v>
      </c>
      <c r="H1183" s="90" t="e">
        <f>VLOOKUP(F1183,ML!C1167:E1765,3,FALSE)</f>
        <v>#N/A</v>
      </c>
    </row>
    <row r="1184" spans="1:8" x14ac:dyDescent="0.35">
      <c r="A1184" s="90" t="e">
        <f>VLOOKUP(E1184,'Validation List'!F1185:G1580,2,FALSE)</f>
        <v>#N/A</v>
      </c>
      <c r="B1184" s="90" t="e">
        <f>INDEX('NEW HIRE ROSTER'!$G:$G,MATCH(RAW!F1184,'NEW HIRE ROSTER'!$A:$A,0))</f>
        <v>#N/A</v>
      </c>
      <c r="C1184" s="90" t="e">
        <f>INDEX('NEW HIRE ROSTER'!$F:$F,MATCH(RAW!F1184,'NEW HIRE ROSTER'!$A:$A,0))</f>
        <v>#N/A</v>
      </c>
      <c r="D1184" s="90" t="e">
        <f>INDEX('Validation List'!$H:$H,MATCH(RAW!E1184,'Validation List'!$F:$F,0))</f>
        <v>#N/A</v>
      </c>
      <c r="G1184" s="90" t="e">
        <f>VLOOKUP(F1184,ML!C1168:D1766,2,FALSE)</f>
        <v>#N/A</v>
      </c>
      <c r="H1184" s="90" t="e">
        <f>VLOOKUP(F1184,ML!C1168:E1766,3,FALSE)</f>
        <v>#N/A</v>
      </c>
    </row>
    <row r="1185" spans="1:8" x14ac:dyDescent="0.35">
      <c r="A1185" s="90" t="e">
        <f>VLOOKUP(E1185,'Validation List'!F1186:G1581,2,FALSE)</f>
        <v>#N/A</v>
      </c>
      <c r="B1185" s="90" t="e">
        <f>INDEX('NEW HIRE ROSTER'!$G:$G,MATCH(RAW!F1185,'NEW HIRE ROSTER'!$A:$A,0))</f>
        <v>#N/A</v>
      </c>
      <c r="C1185" s="90" t="e">
        <f>INDEX('NEW HIRE ROSTER'!$F:$F,MATCH(RAW!F1185,'NEW HIRE ROSTER'!$A:$A,0))</f>
        <v>#N/A</v>
      </c>
      <c r="D1185" s="90" t="e">
        <f>INDEX('Validation List'!$H:$H,MATCH(RAW!E1185,'Validation List'!$F:$F,0))</f>
        <v>#N/A</v>
      </c>
      <c r="G1185" s="90" t="e">
        <f>VLOOKUP(F1185,ML!C1169:D1767,2,FALSE)</f>
        <v>#N/A</v>
      </c>
      <c r="H1185" s="90" t="e">
        <f>VLOOKUP(F1185,ML!C1169:E1767,3,FALSE)</f>
        <v>#N/A</v>
      </c>
    </row>
    <row r="1186" spans="1:8" x14ac:dyDescent="0.35">
      <c r="A1186" s="90" t="e">
        <f>VLOOKUP(E1186,'Validation List'!F1187:G1582,2,FALSE)</f>
        <v>#N/A</v>
      </c>
      <c r="B1186" s="90" t="e">
        <f>INDEX('NEW HIRE ROSTER'!$G:$G,MATCH(RAW!F1186,'NEW HIRE ROSTER'!$A:$A,0))</f>
        <v>#N/A</v>
      </c>
      <c r="C1186" s="90" t="e">
        <f>INDEX('NEW HIRE ROSTER'!$F:$F,MATCH(RAW!F1186,'NEW HIRE ROSTER'!$A:$A,0))</f>
        <v>#N/A</v>
      </c>
      <c r="D1186" s="90" t="e">
        <f>INDEX('Validation List'!$H:$H,MATCH(RAW!E1186,'Validation List'!$F:$F,0))</f>
        <v>#N/A</v>
      </c>
      <c r="G1186" s="90" t="e">
        <f>VLOOKUP(F1186,ML!C1170:D1768,2,FALSE)</f>
        <v>#N/A</v>
      </c>
      <c r="H1186" s="90" t="e">
        <f>VLOOKUP(F1186,ML!C1170:E1768,3,FALSE)</f>
        <v>#N/A</v>
      </c>
    </row>
    <row r="1187" spans="1:8" x14ac:dyDescent="0.35">
      <c r="A1187" s="90" t="e">
        <f>VLOOKUP(E1187,'Validation List'!F1188:G1583,2,FALSE)</f>
        <v>#N/A</v>
      </c>
      <c r="B1187" s="90" t="e">
        <f>INDEX('NEW HIRE ROSTER'!$G:$G,MATCH(RAW!F1187,'NEW HIRE ROSTER'!$A:$A,0))</f>
        <v>#N/A</v>
      </c>
      <c r="C1187" s="90" t="e">
        <f>INDEX('NEW HIRE ROSTER'!$F:$F,MATCH(RAW!F1187,'NEW HIRE ROSTER'!$A:$A,0))</f>
        <v>#N/A</v>
      </c>
      <c r="D1187" s="90" t="e">
        <f>INDEX('Validation List'!$H:$H,MATCH(RAW!E1187,'Validation List'!$F:$F,0))</f>
        <v>#N/A</v>
      </c>
      <c r="G1187" s="90" t="e">
        <f>VLOOKUP(F1187,ML!C1171:D1769,2,FALSE)</f>
        <v>#N/A</v>
      </c>
      <c r="H1187" s="90" t="e">
        <f>VLOOKUP(F1187,ML!C1171:E1769,3,FALSE)</f>
        <v>#N/A</v>
      </c>
    </row>
    <row r="1188" spans="1:8" x14ac:dyDescent="0.35">
      <c r="A1188" s="90" t="e">
        <f>VLOOKUP(E1188,'Validation List'!F1189:G1584,2,FALSE)</f>
        <v>#N/A</v>
      </c>
      <c r="B1188" s="90" t="e">
        <f>INDEX('NEW HIRE ROSTER'!$G:$G,MATCH(RAW!F1188,'NEW HIRE ROSTER'!$A:$A,0))</f>
        <v>#N/A</v>
      </c>
      <c r="C1188" s="90" t="e">
        <f>INDEX('NEW HIRE ROSTER'!$F:$F,MATCH(RAW!F1188,'NEW HIRE ROSTER'!$A:$A,0))</f>
        <v>#N/A</v>
      </c>
      <c r="D1188" s="90" t="e">
        <f>INDEX('Validation List'!$H:$H,MATCH(RAW!E1188,'Validation List'!$F:$F,0))</f>
        <v>#N/A</v>
      </c>
      <c r="G1188" s="90" t="e">
        <f>VLOOKUP(F1188,ML!C1172:D1770,2,FALSE)</f>
        <v>#N/A</v>
      </c>
      <c r="H1188" s="90" t="e">
        <f>VLOOKUP(F1188,ML!C1172:E1770,3,FALSE)</f>
        <v>#N/A</v>
      </c>
    </row>
    <row r="1189" spans="1:8" x14ac:dyDescent="0.35">
      <c r="A1189" s="90" t="e">
        <f>VLOOKUP(E1189,'Validation List'!F1190:G1585,2,FALSE)</f>
        <v>#N/A</v>
      </c>
      <c r="B1189" s="90" t="e">
        <f>INDEX('NEW HIRE ROSTER'!$G:$G,MATCH(RAW!F1189,'NEW HIRE ROSTER'!$A:$A,0))</f>
        <v>#N/A</v>
      </c>
      <c r="C1189" s="90" t="e">
        <f>INDEX('NEW HIRE ROSTER'!$F:$F,MATCH(RAW!F1189,'NEW HIRE ROSTER'!$A:$A,0))</f>
        <v>#N/A</v>
      </c>
      <c r="D1189" s="90" t="e">
        <f>INDEX('Validation List'!$H:$H,MATCH(RAW!E1189,'Validation List'!$F:$F,0))</f>
        <v>#N/A</v>
      </c>
      <c r="G1189" s="90" t="e">
        <f>VLOOKUP(F1189,ML!C1173:D1771,2,FALSE)</f>
        <v>#N/A</v>
      </c>
      <c r="H1189" s="90" t="e">
        <f>VLOOKUP(F1189,ML!C1173:E1771,3,FALSE)</f>
        <v>#N/A</v>
      </c>
    </row>
    <row r="1190" spans="1:8" x14ac:dyDescent="0.35">
      <c r="A1190" s="90" t="e">
        <f>VLOOKUP(E1190,'Validation List'!F1191:G1586,2,FALSE)</f>
        <v>#N/A</v>
      </c>
      <c r="B1190" s="90" t="e">
        <f>INDEX('NEW HIRE ROSTER'!$G:$G,MATCH(RAW!F1190,'NEW HIRE ROSTER'!$A:$A,0))</f>
        <v>#N/A</v>
      </c>
      <c r="C1190" s="90" t="e">
        <f>INDEX('NEW HIRE ROSTER'!$F:$F,MATCH(RAW!F1190,'NEW HIRE ROSTER'!$A:$A,0))</f>
        <v>#N/A</v>
      </c>
      <c r="D1190" s="90" t="e">
        <f>INDEX('Validation List'!$H:$H,MATCH(RAW!E1190,'Validation List'!$F:$F,0))</f>
        <v>#N/A</v>
      </c>
      <c r="G1190" s="90" t="e">
        <f>VLOOKUP(F1190,ML!C1174:D1772,2,FALSE)</f>
        <v>#N/A</v>
      </c>
      <c r="H1190" s="90" t="e">
        <f>VLOOKUP(F1190,ML!C1174:E1772,3,FALSE)</f>
        <v>#N/A</v>
      </c>
    </row>
    <row r="1191" spans="1:8" x14ac:dyDescent="0.35">
      <c r="A1191" s="90" t="e">
        <f>VLOOKUP(E1191,'Validation List'!F1192:G1587,2,FALSE)</f>
        <v>#N/A</v>
      </c>
      <c r="B1191" s="90" t="e">
        <f>INDEX('NEW HIRE ROSTER'!$G:$G,MATCH(RAW!F1191,'NEW HIRE ROSTER'!$A:$A,0))</f>
        <v>#N/A</v>
      </c>
      <c r="C1191" s="90" t="e">
        <f>INDEX('NEW HIRE ROSTER'!$F:$F,MATCH(RAW!F1191,'NEW HIRE ROSTER'!$A:$A,0))</f>
        <v>#N/A</v>
      </c>
      <c r="D1191" s="90" t="e">
        <f>INDEX('Validation List'!$H:$H,MATCH(RAW!E1191,'Validation List'!$F:$F,0))</f>
        <v>#N/A</v>
      </c>
      <c r="G1191" s="90" t="e">
        <f>VLOOKUP(F1191,ML!C1175:D1773,2,FALSE)</f>
        <v>#N/A</v>
      </c>
      <c r="H1191" s="90" t="e">
        <f>VLOOKUP(F1191,ML!C1175:E1773,3,FALSE)</f>
        <v>#N/A</v>
      </c>
    </row>
    <row r="1192" spans="1:8" x14ac:dyDescent="0.35">
      <c r="A1192" s="90" t="e">
        <f>VLOOKUP(E1192,'Validation List'!F1193:G1588,2,FALSE)</f>
        <v>#N/A</v>
      </c>
      <c r="B1192" s="90" t="e">
        <f>INDEX('NEW HIRE ROSTER'!$G:$G,MATCH(RAW!F1192,'NEW HIRE ROSTER'!$A:$A,0))</f>
        <v>#N/A</v>
      </c>
      <c r="C1192" s="90" t="e">
        <f>INDEX('NEW HIRE ROSTER'!$F:$F,MATCH(RAW!F1192,'NEW HIRE ROSTER'!$A:$A,0))</f>
        <v>#N/A</v>
      </c>
      <c r="D1192" s="90" t="e">
        <f>INDEX('Validation List'!$H:$H,MATCH(RAW!E1192,'Validation List'!$F:$F,0))</f>
        <v>#N/A</v>
      </c>
      <c r="G1192" s="90" t="e">
        <f>VLOOKUP(F1192,ML!C1176:D1774,2,FALSE)</f>
        <v>#N/A</v>
      </c>
      <c r="H1192" s="90" t="e">
        <f>VLOOKUP(F1192,ML!C1176:E1774,3,FALSE)</f>
        <v>#N/A</v>
      </c>
    </row>
    <row r="1193" spans="1:8" x14ac:dyDescent="0.35">
      <c r="A1193" s="90" t="e">
        <f>VLOOKUP(E1193,'Validation List'!F1194:G1589,2,FALSE)</f>
        <v>#N/A</v>
      </c>
      <c r="B1193" s="90" t="e">
        <f>INDEX('NEW HIRE ROSTER'!$G:$G,MATCH(RAW!F1193,'NEW HIRE ROSTER'!$A:$A,0))</f>
        <v>#N/A</v>
      </c>
      <c r="C1193" s="90" t="e">
        <f>INDEX('NEW HIRE ROSTER'!$F:$F,MATCH(RAW!F1193,'NEW HIRE ROSTER'!$A:$A,0))</f>
        <v>#N/A</v>
      </c>
      <c r="D1193" s="90" t="e">
        <f>INDEX('Validation List'!$H:$H,MATCH(RAW!E1193,'Validation List'!$F:$F,0))</f>
        <v>#N/A</v>
      </c>
      <c r="G1193" s="90" t="e">
        <f>VLOOKUP(F1193,ML!C1177:D1775,2,FALSE)</f>
        <v>#N/A</v>
      </c>
      <c r="H1193" s="90" t="e">
        <f>VLOOKUP(F1193,ML!C1177:E1775,3,FALSE)</f>
        <v>#N/A</v>
      </c>
    </row>
    <row r="1194" spans="1:8" x14ac:dyDescent="0.35">
      <c r="A1194" s="90" t="e">
        <f>VLOOKUP(E1194,'Validation List'!F1195:G1590,2,FALSE)</f>
        <v>#N/A</v>
      </c>
      <c r="B1194" s="90" t="e">
        <f>INDEX('NEW HIRE ROSTER'!$G:$G,MATCH(RAW!F1194,'NEW HIRE ROSTER'!$A:$A,0))</f>
        <v>#N/A</v>
      </c>
      <c r="C1194" s="90" t="e">
        <f>INDEX('NEW HIRE ROSTER'!$F:$F,MATCH(RAW!F1194,'NEW HIRE ROSTER'!$A:$A,0))</f>
        <v>#N/A</v>
      </c>
      <c r="D1194" s="90" t="e">
        <f>INDEX('Validation List'!$H:$H,MATCH(RAW!E1194,'Validation List'!$F:$F,0))</f>
        <v>#N/A</v>
      </c>
      <c r="G1194" s="90" t="e">
        <f>VLOOKUP(F1194,ML!C1178:D1776,2,FALSE)</f>
        <v>#N/A</v>
      </c>
      <c r="H1194" s="90" t="e">
        <f>VLOOKUP(F1194,ML!C1178:E1776,3,FALSE)</f>
        <v>#N/A</v>
      </c>
    </row>
    <row r="1195" spans="1:8" x14ac:dyDescent="0.35">
      <c r="A1195" s="90" t="e">
        <f>VLOOKUP(E1195,'Validation List'!F1196:G1591,2,FALSE)</f>
        <v>#N/A</v>
      </c>
      <c r="B1195" s="90" t="e">
        <f>INDEX('NEW HIRE ROSTER'!$G:$G,MATCH(RAW!F1195,'NEW HIRE ROSTER'!$A:$A,0))</f>
        <v>#N/A</v>
      </c>
      <c r="C1195" s="90" t="e">
        <f>INDEX('NEW HIRE ROSTER'!$F:$F,MATCH(RAW!F1195,'NEW HIRE ROSTER'!$A:$A,0))</f>
        <v>#N/A</v>
      </c>
      <c r="D1195" s="90" t="e">
        <f>INDEX('Validation List'!$H:$H,MATCH(RAW!E1195,'Validation List'!$F:$F,0))</f>
        <v>#N/A</v>
      </c>
      <c r="G1195" s="90" t="e">
        <f>VLOOKUP(F1195,ML!C1179:D1777,2,FALSE)</f>
        <v>#N/A</v>
      </c>
      <c r="H1195" s="90" t="e">
        <f>VLOOKUP(F1195,ML!C1179:E1777,3,FALSE)</f>
        <v>#N/A</v>
      </c>
    </row>
    <row r="1196" spans="1:8" x14ac:dyDescent="0.35">
      <c r="A1196" s="90" t="e">
        <f>VLOOKUP(E1196,'Validation List'!F1197:G1592,2,FALSE)</f>
        <v>#N/A</v>
      </c>
      <c r="B1196" s="90" t="e">
        <f>INDEX('NEW HIRE ROSTER'!$G:$G,MATCH(RAW!F1196,'NEW HIRE ROSTER'!$A:$A,0))</f>
        <v>#N/A</v>
      </c>
      <c r="C1196" s="90" t="e">
        <f>INDEX('NEW HIRE ROSTER'!$F:$F,MATCH(RAW!F1196,'NEW HIRE ROSTER'!$A:$A,0))</f>
        <v>#N/A</v>
      </c>
      <c r="D1196" s="90" t="e">
        <f>INDEX('Validation List'!$H:$H,MATCH(RAW!E1196,'Validation List'!$F:$F,0))</f>
        <v>#N/A</v>
      </c>
      <c r="G1196" s="90" t="e">
        <f>VLOOKUP(F1196,ML!C1180:D1778,2,FALSE)</f>
        <v>#N/A</v>
      </c>
      <c r="H1196" s="90" t="e">
        <f>VLOOKUP(F1196,ML!C1180:E1778,3,FALSE)</f>
        <v>#N/A</v>
      </c>
    </row>
    <row r="1197" spans="1:8" x14ac:dyDescent="0.35">
      <c r="A1197" s="90" t="e">
        <f>VLOOKUP(E1197,'Validation List'!F1198:G1593,2,FALSE)</f>
        <v>#N/A</v>
      </c>
      <c r="B1197" s="90" t="e">
        <f>INDEX('NEW HIRE ROSTER'!$G:$G,MATCH(RAW!F1197,'NEW HIRE ROSTER'!$A:$A,0))</f>
        <v>#N/A</v>
      </c>
      <c r="C1197" s="90" t="e">
        <f>INDEX('NEW HIRE ROSTER'!$F:$F,MATCH(RAW!F1197,'NEW HIRE ROSTER'!$A:$A,0))</f>
        <v>#N/A</v>
      </c>
      <c r="D1197" s="90" t="e">
        <f>INDEX('Validation List'!$H:$H,MATCH(RAW!E1197,'Validation List'!$F:$F,0))</f>
        <v>#N/A</v>
      </c>
      <c r="G1197" s="90" t="e">
        <f>VLOOKUP(F1197,ML!C1181:D1779,2,FALSE)</f>
        <v>#N/A</v>
      </c>
      <c r="H1197" s="90" t="e">
        <f>VLOOKUP(F1197,ML!C1181:E1779,3,FALSE)</f>
        <v>#N/A</v>
      </c>
    </row>
    <row r="1198" spans="1:8" x14ac:dyDescent="0.35">
      <c r="A1198" s="90" t="e">
        <f>VLOOKUP(E1198,'Validation List'!F1199:G1594,2,FALSE)</f>
        <v>#N/A</v>
      </c>
      <c r="B1198" s="90" t="e">
        <f>INDEX('NEW HIRE ROSTER'!$G:$G,MATCH(RAW!F1198,'NEW HIRE ROSTER'!$A:$A,0))</f>
        <v>#N/A</v>
      </c>
      <c r="C1198" s="90" t="e">
        <f>INDEX('NEW HIRE ROSTER'!$F:$F,MATCH(RAW!F1198,'NEW HIRE ROSTER'!$A:$A,0))</f>
        <v>#N/A</v>
      </c>
      <c r="D1198" s="90" t="e">
        <f>INDEX('Validation List'!$H:$H,MATCH(RAW!E1198,'Validation List'!$F:$F,0))</f>
        <v>#N/A</v>
      </c>
      <c r="G1198" s="90" t="e">
        <f>VLOOKUP(F1198,ML!C1182:D1780,2,FALSE)</f>
        <v>#N/A</v>
      </c>
      <c r="H1198" s="90" t="e">
        <f>VLOOKUP(F1198,ML!C1182:E1780,3,FALSE)</f>
        <v>#N/A</v>
      </c>
    </row>
    <row r="1199" spans="1:8" x14ac:dyDescent="0.35">
      <c r="A1199" s="90" t="e">
        <f>VLOOKUP(E1199,'Validation List'!F1200:G1595,2,FALSE)</f>
        <v>#N/A</v>
      </c>
      <c r="B1199" s="90" t="e">
        <f>INDEX('NEW HIRE ROSTER'!$G:$G,MATCH(RAW!F1199,'NEW HIRE ROSTER'!$A:$A,0))</f>
        <v>#N/A</v>
      </c>
      <c r="C1199" s="90" t="e">
        <f>INDEX('NEW HIRE ROSTER'!$F:$F,MATCH(RAW!F1199,'NEW HIRE ROSTER'!$A:$A,0))</f>
        <v>#N/A</v>
      </c>
      <c r="D1199" s="90" t="e">
        <f>INDEX('Validation List'!$H:$H,MATCH(RAW!E1199,'Validation List'!$F:$F,0))</f>
        <v>#N/A</v>
      </c>
      <c r="G1199" s="90" t="e">
        <f>VLOOKUP(F1199,ML!C1183:D1781,2,FALSE)</f>
        <v>#N/A</v>
      </c>
      <c r="H1199" s="90" t="e">
        <f>VLOOKUP(F1199,ML!C1183:E1781,3,FALSE)</f>
        <v>#N/A</v>
      </c>
    </row>
    <row r="1200" spans="1:8" x14ac:dyDescent="0.35">
      <c r="A1200" s="90" t="e">
        <f>VLOOKUP(E1200,'Validation List'!F1201:G1596,2,FALSE)</f>
        <v>#N/A</v>
      </c>
      <c r="B1200" s="90" t="e">
        <f>INDEX('NEW HIRE ROSTER'!$G:$G,MATCH(RAW!F1200,'NEW HIRE ROSTER'!$A:$A,0))</f>
        <v>#N/A</v>
      </c>
      <c r="C1200" s="90" t="e">
        <f>INDEX('NEW HIRE ROSTER'!$F:$F,MATCH(RAW!F1200,'NEW HIRE ROSTER'!$A:$A,0))</f>
        <v>#N/A</v>
      </c>
      <c r="D1200" s="90" t="e">
        <f>INDEX('Validation List'!$H:$H,MATCH(RAW!E1200,'Validation List'!$F:$F,0))</f>
        <v>#N/A</v>
      </c>
      <c r="G1200" s="90" t="e">
        <f>VLOOKUP(F1200,ML!C1184:D1782,2,FALSE)</f>
        <v>#N/A</v>
      </c>
      <c r="H1200" s="90" t="e">
        <f>VLOOKUP(F1200,ML!C1184:E1782,3,FALSE)</f>
        <v>#N/A</v>
      </c>
    </row>
    <row r="1201" spans="1:8" x14ac:dyDescent="0.35">
      <c r="A1201" s="90" t="e">
        <f>VLOOKUP(E1201,'Validation List'!F1202:G1597,2,FALSE)</f>
        <v>#N/A</v>
      </c>
      <c r="B1201" s="90" t="e">
        <f>INDEX('NEW HIRE ROSTER'!$G:$G,MATCH(RAW!F1201,'NEW HIRE ROSTER'!$A:$A,0))</f>
        <v>#N/A</v>
      </c>
      <c r="C1201" s="90" t="e">
        <f>INDEX('NEW HIRE ROSTER'!$F:$F,MATCH(RAW!F1201,'NEW HIRE ROSTER'!$A:$A,0))</f>
        <v>#N/A</v>
      </c>
      <c r="D1201" s="90" t="e">
        <f>INDEX('Validation List'!$H:$H,MATCH(RAW!E1201,'Validation List'!$F:$F,0))</f>
        <v>#N/A</v>
      </c>
      <c r="G1201" s="90" t="e">
        <f>VLOOKUP(F1201,ML!C1185:D1783,2,FALSE)</f>
        <v>#N/A</v>
      </c>
      <c r="H1201" s="90" t="e">
        <f>VLOOKUP(F1201,ML!C1185:E1783,3,FALSE)</f>
        <v>#N/A</v>
      </c>
    </row>
    <row r="1202" spans="1:8" x14ac:dyDescent="0.35">
      <c r="A1202" s="90" t="e">
        <f>VLOOKUP(E1202,'Validation List'!F1203:G1598,2,FALSE)</f>
        <v>#N/A</v>
      </c>
      <c r="B1202" s="90" t="e">
        <f>INDEX('NEW HIRE ROSTER'!$G:$G,MATCH(RAW!F1202,'NEW HIRE ROSTER'!$A:$A,0))</f>
        <v>#N/A</v>
      </c>
      <c r="C1202" s="90" t="e">
        <f>INDEX('NEW HIRE ROSTER'!$F:$F,MATCH(RAW!F1202,'NEW HIRE ROSTER'!$A:$A,0))</f>
        <v>#N/A</v>
      </c>
      <c r="D1202" s="90" t="e">
        <f>INDEX('Validation List'!$H:$H,MATCH(RAW!E1202,'Validation List'!$F:$F,0))</f>
        <v>#N/A</v>
      </c>
      <c r="G1202" s="90" t="e">
        <f>VLOOKUP(F1202,ML!C1186:D1784,2,FALSE)</f>
        <v>#N/A</v>
      </c>
      <c r="H1202" s="90" t="e">
        <f>VLOOKUP(F1202,ML!C1186:E1784,3,FALSE)</f>
        <v>#N/A</v>
      </c>
    </row>
    <row r="1203" spans="1:8" x14ac:dyDescent="0.35">
      <c r="A1203" s="90" t="e">
        <f>VLOOKUP(E1203,'Validation List'!F1204:G1599,2,FALSE)</f>
        <v>#N/A</v>
      </c>
      <c r="B1203" s="90" t="e">
        <f>INDEX('NEW HIRE ROSTER'!$G:$G,MATCH(RAW!F1203,'NEW HIRE ROSTER'!$A:$A,0))</f>
        <v>#N/A</v>
      </c>
      <c r="C1203" s="90" t="e">
        <f>INDEX('NEW HIRE ROSTER'!$F:$F,MATCH(RAW!F1203,'NEW HIRE ROSTER'!$A:$A,0))</f>
        <v>#N/A</v>
      </c>
      <c r="D1203" s="90" t="e">
        <f>INDEX('Validation List'!$H:$H,MATCH(RAW!E1203,'Validation List'!$F:$F,0))</f>
        <v>#N/A</v>
      </c>
      <c r="G1203" s="90" t="e">
        <f>VLOOKUP(F1203,ML!C1187:D1785,2,FALSE)</f>
        <v>#N/A</v>
      </c>
      <c r="H1203" s="90" t="e">
        <f>VLOOKUP(F1203,ML!C1187:E1785,3,FALSE)</f>
        <v>#N/A</v>
      </c>
    </row>
    <row r="1204" spans="1:8" x14ac:dyDescent="0.35">
      <c r="A1204" s="90" t="e">
        <f>VLOOKUP(E1204,'Validation List'!F1205:G1600,2,FALSE)</f>
        <v>#N/A</v>
      </c>
      <c r="B1204" s="90" t="e">
        <f>INDEX('NEW HIRE ROSTER'!$G:$G,MATCH(RAW!F1204,'NEW HIRE ROSTER'!$A:$A,0))</f>
        <v>#N/A</v>
      </c>
      <c r="C1204" s="90" t="e">
        <f>INDEX('NEW HIRE ROSTER'!$F:$F,MATCH(RAW!F1204,'NEW HIRE ROSTER'!$A:$A,0))</f>
        <v>#N/A</v>
      </c>
      <c r="D1204" s="90" t="e">
        <f>INDEX('Validation List'!$H:$H,MATCH(RAW!E1204,'Validation List'!$F:$F,0))</f>
        <v>#N/A</v>
      </c>
      <c r="G1204" s="90" t="e">
        <f>VLOOKUP(F1204,ML!C1188:D1786,2,FALSE)</f>
        <v>#N/A</v>
      </c>
      <c r="H1204" s="90" t="e">
        <f>VLOOKUP(F1204,ML!C1188:E1786,3,FALSE)</f>
        <v>#N/A</v>
      </c>
    </row>
    <row r="1205" spans="1:8" x14ac:dyDescent="0.35">
      <c r="A1205" s="90" t="e">
        <f>VLOOKUP(E1205,'Validation List'!F1206:G1601,2,FALSE)</f>
        <v>#N/A</v>
      </c>
      <c r="B1205" s="90" t="e">
        <f>INDEX('NEW HIRE ROSTER'!$G:$G,MATCH(RAW!F1205,'NEW HIRE ROSTER'!$A:$A,0))</f>
        <v>#N/A</v>
      </c>
      <c r="C1205" s="90" t="e">
        <f>INDEX('NEW HIRE ROSTER'!$F:$F,MATCH(RAW!F1205,'NEW HIRE ROSTER'!$A:$A,0))</f>
        <v>#N/A</v>
      </c>
      <c r="D1205" s="90" t="e">
        <f>INDEX('Validation List'!$H:$H,MATCH(RAW!E1205,'Validation List'!$F:$F,0))</f>
        <v>#N/A</v>
      </c>
      <c r="G1205" s="90" t="e">
        <f>VLOOKUP(F1205,ML!C1189:D1787,2,FALSE)</f>
        <v>#N/A</v>
      </c>
      <c r="H1205" s="90" t="e">
        <f>VLOOKUP(F1205,ML!C1189:E1787,3,FALSE)</f>
        <v>#N/A</v>
      </c>
    </row>
    <row r="1206" spans="1:8" x14ac:dyDescent="0.35">
      <c r="A1206" s="90" t="e">
        <f>VLOOKUP(E1206,'Validation List'!F1207:G1602,2,FALSE)</f>
        <v>#N/A</v>
      </c>
      <c r="B1206" s="90" t="e">
        <f>INDEX('NEW HIRE ROSTER'!$G:$G,MATCH(RAW!F1206,'NEW HIRE ROSTER'!$A:$A,0))</f>
        <v>#N/A</v>
      </c>
      <c r="C1206" s="90" t="e">
        <f>INDEX('NEW HIRE ROSTER'!$F:$F,MATCH(RAW!F1206,'NEW HIRE ROSTER'!$A:$A,0))</f>
        <v>#N/A</v>
      </c>
      <c r="D1206" s="90" t="e">
        <f>INDEX('Validation List'!$H:$H,MATCH(RAW!E1206,'Validation List'!$F:$F,0))</f>
        <v>#N/A</v>
      </c>
      <c r="G1206" s="90" t="e">
        <f>VLOOKUP(F1206,ML!C1190:D1788,2,FALSE)</f>
        <v>#N/A</v>
      </c>
      <c r="H1206" s="90" t="e">
        <f>VLOOKUP(F1206,ML!C1190:E1788,3,FALSE)</f>
        <v>#N/A</v>
      </c>
    </row>
    <row r="1207" spans="1:8" x14ac:dyDescent="0.35">
      <c r="A1207" s="90" t="e">
        <f>VLOOKUP(E1207,'Validation List'!F1208:G1603,2,FALSE)</f>
        <v>#N/A</v>
      </c>
      <c r="B1207" s="90" t="e">
        <f>INDEX('NEW HIRE ROSTER'!$G:$G,MATCH(RAW!F1207,'NEW HIRE ROSTER'!$A:$A,0))</f>
        <v>#N/A</v>
      </c>
      <c r="C1207" s="90" t="e">
        <f>INDEX('NEW HIRE ROSTER'!$F:$F,MATCH(RAW!F1207,'NEW HIRE ROSTER'!$A:$A,0))</f>
        <v>#N/A</v>
      </c>
      <c r="D1207" s="90" t="e">
        <f>INDEX('Validation List'!$H:$H,MATCH(RAW!E1207,'Validation List'!$F:$F,0))</f>
        <v>#N/A</v>
      </c>
      <c r="G1207" s="90" t="e">
        <f>VLOOKUP(F1207,ML!C1191:D1789,2,FALSE)</f>
        <v>#N/A</v>
      </c>
      <c r="H1207" s="90" t="e">
        <f>VLOOKUP(F1207,ML!C1191:E1789,3,FALSE)</f>
        <v>#N/A</v>
      </c>
    </row>
    <row r="1208" spans="1:8" x14ac:dyDescent="0.35">
      <c r="A1208" s="90" t="e">
        <f>VLOOKUP(E1208,'Validation List'!F1209:G1604,2,FALSE)</f>
        <v>#N/A</v>
      </c>
      <c r="B1208" s="90" t="e">
        <f>INDEX('NEW HIRE ROSTER'!$G:$G,MATCH(RAW!F1208,'NEW HIRE ROSTER'!$A:$A,0))</f>
        <v>#N/A</v>
      </c>
      <c r="C1208" s="90" t="e">
        <f>INDEX('NEW HIRE ROSTER'!$F:$F,MATCH(RAW!F1208,'NEW HIRE ROSTER'!$A:$A,0))</f>
        <v>#N/A</v>
      </c>
      <c r="D1208" s="90" t="e">
        <f>INDEX('Validation List'!$H:$H,MATCH(RAW!E1208,'Validation List'!$F:$F,0))</f>
        <v>#N/A</v>
      </c>
      <c r="G1208" s="90" t="e">
        <f>VLOOKUP(F1208,ML!C1192:D1790,2,FALSE)</f>
        <v>#N/A</v>
      </c>
      <c r="H1208" s="90" t="e">
        <f>VLOOKUP(F1208,ML!C1192:E1790,3,FALSE)</f>
        <v>#N/A</v>
      </c>
    </row>
    <row r="1209" spans="1:8" x14ac:dyDescent="0.35">
      <c r="A1209" s="90" t="e">
        <f>VLOOKUP(E1209,'Validation List'!F1210:G1605,2,FALSE)</f>
        <v>#N/A</v>
      </c>
      <c r="B1209" s="90" t="e">
        <f>INDEX('NEW HIRE ROSTER'!$G:$G,MATCH(RAW!F1209,'NEW HIRE ROSTER'!$A:$A,0))</f>
        <v>#N/A</v>
      </c>
      <c r="C1209" s="90" t="e">
        <f>INDEX('NEW HIRE ROSTER'!$F:$F,MATCH(RAW!F1209,'NEW HIRE ROSTER'!$A:$A,0))</f>
        <v>#N/A</v>
      </c>
      <c r="D1209" s="90" t="e">
        <f>INDEX('Validation List'!$H:$H,MATCH(RAW!E1209,'Validation List'!$F:$F,0))</f>
        <v>#N/A</v>
      </c>
      <c r="G1209" s="90" t="e">
        <f>VLOOKUP(F1209,ML!C1193:D1791,2,FALSE)</f>
        <v>#N/A</v>
      </c>
      <c r="H1209" s="90" t="e">
        <f>VLOOKUP(F1209,ML!C1193:E1791,3,FALSE)</f>
        <v>#N/A</v>
      </c>
    </row>
    <row r="1210" spans="1:8" x14ac:dyDescent="0.35">
      <c r="A1210" s="90" t="e">
        <f>VLOOKUP(E1210,'Validation List'!F1211:G1606,2,FALSE)</f>
        <v>#N/A</v>
      </c>
      <c r="B1210" s="90" t="e">
        <f>INDEX('NEW HIRE ROSTER'!$G:$G,MATCH(RAW!F1210,'NEW HIRE ROSTER'!$A:$A,0))</f>
        <v>#N/A</v>
      </c>
      <c r="C1210" s="90" t="e">
        <f>INDEX('NEW HIRE ROSTER'!$F:$F,MATCH(RAW!F1210,'NEW HIRE ROSTER'!$A:$A,0))</f>
        <v>#N/A</v>
      </c>
      <c r="D1210" s="90" t="e">
        <f>INDEX('Validation List'!$H:$H,MATCH(RAW!E1210,'Validation List'!$F:$F,0))</f>
        <v>#N/A</v>
      </c>
      <c r="G1210" s="90" t="e">
        <f>VLOOKUP(F1210,ML!C1194:D1792,2,FALSE)</f>
        <v>#N/A</v>
      </c>
      <c r="H1210" s="90" t="e">
        <f>VLOOKUP(F1210,ML!C1194:E1792,3,FALSE)</f>
        <v>#N/A</v>
      </c>
    </row>
    <row r="1211" spans="1:8" x14ac:dyDescent="0.35">
      <c r="A1211" s="90" t="e">
        <f>VLOOKUP(E1211,'Validation List'!F1212:G1607,2,FALSE)</f>
        <v>#N/A</v>
      </c>
      <c r="B1211" s="90" t="e">
        <f>INDEX('NEW HIRE ROSTER'!$G:$G,MATCH(RAW!F1211,'NEW HIRE ROSTER'!$A:$A,0))</f>
        <v>#N/A</v>
      </c>
      <c r="C1211" s="90" t="e">
        <f>INDEX('NEW HIRE ROSTER'!$F:$F,MATCH(RAW!F1211,'NEW HIRE ROSTER'!$A:$A,0))</f>
        <v>#N/A</v>
      </c>
      <c r="D1211" s="90" t="e">
        <f>INDEX('Validation List'!$H:$H,MATCH(RAW!E1211,'Validation List'!$F:$F,0))</f>
        <v>#N/A</v>
      </c>
      <c r="G1211" s="90" t="e">
        <f>VLOOKUP(F1211,ML!C1195:D1793,2,FALSE)</f>
        <v>#N/A</v>
      </c>
      <c r="H1211" s="90" t="e">
        <f>VLOOKUP(F1211,ML!C1195:E1793,3,FALSE)</f>
        <v>#N/A</v>
      </c>
    </row>
    <row r="1212" spans="1:8" x14ac:dyDescent="0.35">
      <c r="A1212" s="90" t="e">
        <f>VLOOKUP(E1212,'Validation List'!F1213:G1608,2,FALSE)</f>
        <v>#N/A</v>
      </c>
      <c r="B1212" s="90" t="e">
        <f>INDEX('NEW HIRE ROSTER'!$G:$G,MATCH(RAW!F1212,'NEW HIRE ROSTER'!$A:$A,0))</f>
        <v>#N/A</v>
      </c>
      <c r="C1212" s="90" t="e">
        <f>INDEX('NEW HIRE ROSTER'!$F:$F,MATCH(RAW!F1212,'NEW HIRE ROSTER'!$A:$A,0))</f>
        <v>#N/A</v>
      </c>
      <c r="D1212" s="90" t="e">
        <f>INDEX('Validation List'!$H:$H,MATCH(RAW!E1212,'Validation List'!$F:$F,0))</f>
        <v>#N/A</v>
      </c>
      <c r="G1212" s="90" t="e">
        <f>VLOOKUP(F1212,ML!C1196:D1794,2,FALSE)</f>
        <v>#N/A</v>
      </c>
      <c r="H1212" s="90" t="e">
        <f>VLOOKUP(F1212,ML!C1196:E1794,3,FALSE)</f>
        <v>#N/A</v>
      </c>
    </row>
    <row r="1213" spans="1:8" x14ac:dyDescent="0.35">
      <c r="A1213" s="90" t="e">
        <f>VLOOKUP(E1213,'Validation List'!F1214:G1609,2,FALSE)</f>
        <v>#N/A</v>
      </c>
      <c r="B1213" s="90" t="e">
        <f>INDEX('NEW HIRE ROSTER'!$G:$G,MATCH(RAW!F1213,'NEW HIRE ROSTER'!$A:$A,0))</f>
        <v>#N/A</v>
      </c>
      <c r="C1213" s="90" t="e">
        <f>INDEX('NEW HIRE ROSTER'!$F:$F,MATCH(RAW!F1213,'NEW HIRE ROSTER'!$A:$A,0))</f>
        <v>#N/A</v>
      </c>
      <c r="D1213" s="90" t="e">
        <f>INDEX('Validation List'!$H:$H,MATCH(RAW!E1213,'Validation List'!$F:$F,0))</f>
        <v>#N/A</v>
      </c>
      <c r="G1213" s="90" t="e">
        <f>VLOOKUP(F1213,ML!C1197:D1795,2,FALSE)</f>
        <v>#N/A</v>
      </c>
      <c r="H1213" s="90" t="e">
        <f>VLOOKUP(F1213,ML!C1197:E1795,3,FALSE)</f>
        <v>#N/A</v>
      </c>
    </row>
    <row r="1214" spans="1:8" x14ac:dyDescent="0.35">
      <c r="A1214" s="90" t="e">
        <f>VLOOKUP(E1214,'Validation List'!F1215:G1610,2,FALSE)</f>
        <v>#N/A</v>
      </c>
      <c r="B1214" s="90" t="e">
        <f>INDEX('NEW HIRE ROSTER'!$G:$G,MATCH(RAW!F1214,'NEW HIRE ROSTER'!$A:$A,0))</f>
        <v>#N/A</v>
      </c>
      <c r="C1214" s="90" t="e">
        <f>INDEX('NEW HIRE ROSTER'!$F:$F,MATCH(RAW!F1214,'NEW HIRE ROSTER'!$A:$A,0))</f>
        <v>#N/A</v>
      </c>
      <c r="D1214" s="90" t="e">
        <f>INDEX('Validation List'!$H:$H,MATCH(RAW!E1214,'Validation List'!$F:$F,0))</f>
        <v>#N/A</v>
      </c>
      <c r="G1214" s="90" t="e">
        <f>VLOOKUP(F1214,ML!C1198:D1796,2,FALSE)</f>
        <v>#N/A</v>
      </c>
      <c r="H1214" s="90" t="e">
        <f>VLOOKUP(F1214,ML!C1198:E1796,3,FALSE)</f>
        <v>#N/A</v>
      </c>
    </row>
    <row r="1215" spans="1:8" x14ac:dyDescent="0.35">
      <c r="A1215" s="90" t="e">
        <f>VLOOKUP(E1215,'Validation List'!F1216:G1611,2,FALSE)</f>
        <v>#N/A</v>
      </c>
      <c r="B1215" s="90" t="e">
        <f>INDEX('NEW HIRE ROSTER'!$G:$G,MATCH(RAW!F1215,'NEW HIRE ROSTER'!$A:$A,0))</f>
        <v>#N/A</v>
      </c>
      <c r="C1215" s="90" t="e">
        <f>INDEX('NEW HIRE ROSTER'!$F:$F,MATCH(RAW!F1215,'NEW HIRE ROSTER'!$A:$A,0))</f>
        <v>#N/A</v>
      </c>
      <c r="D1215" s="90" t="e">
        <f>INDEX('Validation List'!$H:$H,MATCH(RAW!E1215,'Validation List'!$F:$F,0))</f>
        <v>#N/A</v>
      </c>
      <c r="G1215" s="90" t="e">
        <f>VLOOKUP(F1215,ML!C1199:D1797,2,FALSE)</f>
        <v>#N/A</v>
      </c>
      <c r="H1215" s="90" t="e">
        <f>VLOOKUP(F1215,ML!C1199:E1797,3,FALSE)</f>
        <v>#N/A</v>
      </c>
    </row>
    <row r="1216" spans="1:8" x14ac:dyDescent="0.35">
      <c r="A1216" s="90" t="e">
        <f>VLOOKUP(E1216,'Validation List'!F1217:G1612,2,FALSE)</f>
        <v>#N/A</v>
      </c>
      <c r="B1216" s="90" t="e">
        <f>INDEX('NEW HIRE ROSTER'!$G:$G,MATCH(RAW!F1216,'NEW HIRE ROSTER'!$A:$A,0))</f>
        <v>#N/A</v>
      </c>
      <c r="C1216" s="90" t="e">
        <f>INDEX('NEW HIRE ROSTER'!$F:$F,MATCH(RAW!F1216,'NEW HIRE ROSTER'!$A:$A,0))</f>
        <v>#N/A</v>
      </c>
      <c r="D1216" s="90" t="e">
        <f>INDEX('Validation List'!$H:$H,MATCH(RAW!E1216,'Validation List'!$F:$F,0))</f>
        <v>#N/A</v>
      </c>
      <c r="G1216" s="90" t="e">
        <f>VLOOKUP(F1216,ML!C1200:D1798,2,FALSE)</f>
        <v>#N/A</v>
      </c>
      <c r="H1216" s="90" t="e">
        <f>VLOOKUP(F1216,ML!C1200:E1798,3,FALSE)</f>
        <v>#N/A</v>
      </c>
    </row>
    <row r="1217" spans="1:8" x14ac:dyDescent="0.35">
      <c r="A1217" s="90" t="e">
        <f>VLOOKUP(E1217,'Validation List'!F1218:G1613,2,FALSE)</f>
        <v>#N/A</v>
      </c>
      <c r="B1217" s="90" t="e">
        <f>INDEX('NEW HIRE ROSTER'!$G:$G,MATCH(RAW!F1217,'NEW HIRE ROSTER'!$A:$A,0))</f>
        <v>#N/A</v>
      </c>
      <c r="C1217" s="90" t="e">
        <f>INDEX('NEW HIRE ROSTER'!$F:$F,MATCH(RAW!F1217,'NEW HIRE ROSTER'!$A:$A,0))</f>
        <v>#N/A</v>
      </c>
      <c r="D1217" s="90" t="e">
        <f>INDEX('Validation List'!$H:$H,MATCH(RAW!E1217,'Validation List'!$F:$F,0))</f>
        <v>#N/A</v>
      </c>
      <c r="G1217" s="90" t="e">
        <f>VLOOKUP(F1217,ML!C1201:D1799,2,FALSE)</f>
        <v>#N/A</v>
      </c>
      <c r="H1217" s="90" t="e">
        <f>VLOOKUP(F1217,ML!C1201:E1799,3,FALSE)</f>
        <v>#N/A</v>
      </c>
    </row>
    <row r="1218" spans="1:8" x14ac:dyDescent="0.35">
      <c r="A1218" s="90" t="e">
        <f>VLOOKUP(E1218,'Validation List'!F1219:G1614,2,FALSE)</f>
        <v>#N/A</v>
      </c>
      <c r="B1218" s="90" t="e">
        <f>INDEX('NEW HIRE ROSTER'!$G:$G,MATCH(RAW!F1218,'NEW HIRE ROSTER'!$A:$A,0))</f>
        <v>#N/A</v>
      </c>
      <c r="C1218" s="90" t="e">
        <f>INDEX('NEW HIRE ROSTER'!$F:$F,MATCH(RAW!F1218,'NEW HIRE ROSTER'!$A:$A,0))</f>
        <v>#N/A</v>
      </c>
      <c r="D1218" s="90" t="e">
        <f>INDEX('Validation List'!$H:$H,MATCH(RAW!E1218,'Validation List'!$F:$F,0))</f>
        <v>#N/A</v>
      </c>
      <c r="G1218" s="90" t="e">
        <f>VLOOKUP(F1218,ML!C1202:D1800,2,FALSE)</f>
        <v>#N/A</v>
      </c>
      <c r="H1218" s="90" t="e">
        <f>VLOOKUP(F1218,ML!C1202:E1800,3,FALSE)</f>
        <v>#N/A</v>
      </c>
    </row>
    <row r="1219" spans="1:8" x14ac:dyDescent="0.35">
      <c r="A1219" s="90" t="e">
        <f>VLOOKUP(E1219,'Validation List'!F1220:G1615,2,FALSE)</f>
        <v>#N/A</v>
      </c>
      <c r="B1219" s="90" t="e">
        <f>INDEX('NEW HIRE ROSTER'!$G:$G,MATCH(RAW!F1219,'NEW HIRE ROSTER'!$A:$A,0))</f>
        <v>#N/A</v>
      </c>
      <c r="C1219" s="90" t="e">
        <f>INDEX('NEW HIRE ROSTER'!$F:$F,MATCH(RAW!F1219,'NEW HIRE ROSTER'!$A:$A,0))</f>
        <v>#N/A</v>
      </c>
      <c r="D1219" s="90" t="e">
        <f>INDEX('Validation List'!$H:$H,MATCH(RAW!E1219,'Validation List'!$F:$F,0))</f>
        <v>#N/A</v>
      </c>
      <c r="G1219" s="90" t="e">
        <f>VLOOKUP(F1219,ML!C1203:D1801,2,FALSE)</f>
        <v>#N/A</v>
      </c>
      <c r="H1219" s="90" t="e">
        <f>VLOOKUP(F1219,ML!C1203:E1801,3,FALSE)</f>
        <v>#N/A</v>
      </c>
    </row>
    <row r="1220" spans="1:8" x14ac:dyDescent="0.35">
      <c r="A1220" s="90" t="e">
        <f>VLOOKUP(E1220,'Validation List'!F1221:G1616,2,FALSE)</f>
        <v>#N/A</v>
      </c>
      <c r="B1220" s="90" t="e">
        <f>INDEX('NEW HIRE ROSTER'!$G:$G,MATCH(RAW!F1220,'NEW HIRE ROSTER'!$A:$A,0))</f>
        <v>#N/A</v>
      </c>
      <c r="C1220" s="90" t="e">
        <f>INDEX('NEW HIRE ROSTER'!$F:$F,MATCH(RAW!F1220,'NEW HIRE ROSTER'!$A:$A,0))</f>
        <v>#N/A</v>
      </c>
      <c r="D1220" s="90" t="e">
        <f>INDEX('Validation List'!$H:$H,MATCH(RAW!E1220,'Validation List'!$F:$F,0))</f>
        <v>#N/A</v>
      </c>
      <c r="G1220" s="90" t="e">
        <f>VLOOKUP(F1220,ML!C1204:D1802,2,FALSE)</f>
        <v>#N/A</v>
      </c>
      <c r="H1220" s="90" t="e">
        <f>VLOOKUP(F1220,ML!C1204:E1802,3,FALSE)</f>
        <v>#N/A</v>
      </c>
    </row>
    <row r="1221" spans="1:8" x14ac:dyDescent="0.35">
      <c r="A1221" s="90" t="e">
        <f>VLOOKUP(E1221,'Validation List'!F1222:G1617,2,FALSE)</f>
        <v>#N/A</v>
      </c>
      <c r="B1221" s="90" t="e">
        <f>INDEX('NEW HIRE ROSTER'!$G:$G,MATCH(RAW!F1221,'NEW HIRE ROSTER'!$A:$A,0))</f>
        <v>#N/A</v>
      </c>
      <c r="C1221" s="90" t="e">
        <f>INDEX('NEW HIRE ROSTER'!$F:$F,MATCH(RAW!F1221,'NEW HIRE ROSTER'!$A:$A,0))</f>
        <v>#N/A</v>
      </c>
      <c r="D1221" s="90" t="e">
        <f>INDEX('Validation List'!$H:$H,MATCH(RAW!E1221,'Validation List'!$F:$F,0))</f>
        <v>#N/A</v>
      </c>
      <c r="G1221" s="90" t="e">
        <f>VLOOKUP(F1221,ML!C1205:D1803,2,FALSE)</f>
        <v>#N/A</v>
      </c>
      <c r="H1221" s="90" t="e">
        <f>VLOOKUP(F1221,ML!C1205:E1803,3,FALSE)</f>
        <v>#N/A</v>
      </c>
    </row>
    <row r="1222" spans="1:8" x14ac:dyDescent="0.35">
      <c r="A1222" s="90" t="e">
        <f>VLOOKUP(E1222,'Validation List'!F1223:G1618,2,FALSE)</f>
        <v>#N/A</v>
      </c>
      <c r="B1222" s="90" t="e">
        <f>INDEX('NEW HIRE ROSTER'!$G:$G,MATCH(RAW!F1222,'NEW HIRE ROSTER'!$A:$A,0))</f>
        <v>#N/A</v>
      </c>
      <c r="C1222" s="90" t="e">
        <f>INDEX('NEW HIRE ROSTER'!$F:$F,MATCH(RAW!F1222,'NEW HIRE ROSTER'!$A:$A,0))</f>
        <v>#N/A</v>
      </c>
      <c r="D1222" s="90" t="e">
        <f>INDEX('Validation List'!$H:$H,MATCH(RAW!E1222,'Validation List'!$F:$F,0))</f>
        <v>#N/A</v>
      </c>
      <c r="G1222" s="90" t="e">
        <f>VLOOKUP(F1222,ML!C1206:D1804,2,FALSE)</f>
        <v>#N/A</v>
      </c>
      <c r="H1222" s="90" t="e">
        <f>VLOOKUP(F1222,ML!C1206:E1804,3,FALSE)</f>
        <v>#N/A</v>
      </c>
    </row>
    <row r="1223" spans="1:8" x14ac:dyDescent="0.35">
      <c r="A1223" s="90" t="e">
        <f>VLOOKUP(E1223,'Validation List'!F1224:G1619,2,FALSE)</f>
        <v>#N/A</v>
      </c>
      <c r="B1223" s="90" t="e">
        <f>INDEX('NEW HIRE ROSTER'!$G:$G,MATCH(RAW!F1223,'NEW HIRE ROSTER'!$A:$A,0))</f>
        <v>#N/A</v>
      </c>
      <c r="C1223" s="90" t="e">
        <f>INDEX('NEW HIRE ROSTER'!$F:$F,MATCH(RAW!F1223,'NEW HIRE ROSTER'!$A:$A,0))</f>
        <v>#N/A</v>
      </c>
      <c r="D1223" s="90" t="e">
        <f>INDEX('Validation List'!$H:$H,MATCH(RAW!E1223,'Validation List'!$F:$F,0))</f>
        <v>#N/A</v>
      </c>
      <c r="G1223" s="90" t="e">
        <f>VLOOKUP(F1223,ML!C1207:D1805,2,FALSE)</f>
        <v>#N/A</v>
      </c>
      <c r="H1223" s="90" t="e">
        <f>VLOOKUP(F1223,ML!C1207:E1805,3,FALSE)</f>
        <v>#N/A</v>
      </c>
    </row>
    <row r="1224" spans="1:8" x14ac:dyDescent="0.35">
      <c r="A1224" s="90" t="e">
        <f>VLOOKUP(E1224,'Validation List'!F1225:G1620,2,FALSE)</f>
        <v>#N/A</v>
      </c>
      <c r="B1224" s="90" t="e">
        <f>INDEX('NEW HIRE ROSTER'!$G:$G,MATCH(RAW!F1224,'NEW HIRE ROSTER'!$A:$A,0))</f>
        <v>#N/A</v>
      </c>
      <c r="C1224" s="90" t="e">
        <f>INDEX('NEW HIRE ROSTER'!$F:$F,MATCH(RAW!F1224,'NEW HIRE ROSTER'!$A:$A,0))</f>
        <v>#N/A</v>
      </c>
      <c r="D1224" s="90" t="e">
        <f>INDEX('Validation List'!$H:$H,MATCH(RAW!E1224,'Validation List'!$F:$F,0))</f>
        <v>#N/A</v>
      </c>
      <c r="G1224" s="90" t="e">
        <f>VLOOKUP(F1224,ML!C1208:D1806,2,FALSE)</f>
        <v>#N/A</v>
      </c>
      <c r="H1224" s="90" t="e">
        <f>VLOOKUP(F1224,ML!C1208:E1806,3,FALSE)</f>
        <v>#N/A</v>
      </c>
    </row>
    <row r="1225" spans="1:8" x14ac:dyDescent="0.35">
      <c r="A1225" s="90" t="e">
        <f>VLOOKUP(E1225,'Validation List'!F1226:G1621,2,FALSE)</f>
        <v>#N/A</v>
      </c>
      <c r="B1225" s="90" t="e">
        <f>INDEX('NEW HIRE ROSTER'!$G:$G,MATCH(RAW!F1225,'NEW HIRE ROSTER'!$A:$A,0))</f>
        <v>#N/A</v>
      </c>
      <c r="C1225" s="90" t="e">
        <f>INDEX('NEW HIRE ROSTER'!$F:$F,MATCH(RAW!F1225,'NEW HIRE ROSTER'!$A:$A,0))</f>
        <v>#N/A</v>
      </c>
      <c r="D1225" s="90" t="e">
        <f>INDEX('Validation List'!$H:$H,MATCH(RAW!E1225,'Validation List'!$F:$F,0))</f>
        <v>#N/A</v>
      </c>
      <c r="G1225" s="90" t="e">
        <f>VLOOKUP(F1225,ML!C1209:D1807,2,FALSE)</f>
        <v>#N/A</v>
      </c>
      <c r="H1225" s="90" t="e">
        <f>VLOOKUP(F1225,ML!C1209:E1807,3,FALSE)</f>
        <v>#N/A</v>
      </c>
    </row>
    <row r="1226" spans="1:8" x14ac:dyDescent="0.35">
      <c r="A1226" s="90" t="e">
        <f>VLOOKUP(E1226,'Validation List'!F1227:G1622,2,FALSE)</f>
        <v>#N/A</v>
      </c>
      <c r="B1226" s="90" t="e">
        <f>INDEX('NEW HIRE ROSTER'!$G:$G,MATCH(RAW!F1226,'NEW HIRE ROSTER'!$A:$A,0))</f>
        <v>#N/A</v>
      </c>
      <c r="C1226" s="90" t="e">
        <f>INDEX('NEW HIRE ROSTER'!$F:$F,MATCH(RAW!F1226,'NEW HIRE ROSTER'!$A:$A,0))</f>
        <v>#N/A</v>
      </c>
      <c r="D1226" s="90" t="e">
        <f>INDEX('Validation List'!$H:$H,MATCH(RAW!E1226,'Validation List'!$F:$F,0))</f>
        <v>#N/A</v>
      </c>
      <c r="G1226" s="90" t="e">
        <f>VLOOKUP(F1226,ML!C1210:D1808,2,FALSE)</f>
        <v>#N/A</v>
      </c>
      <c r="H1226" s="90" t="e">
        <f>VLOOKUP(F1226,ML!C1210:E1808,3,FALSE)</f>
        <v>#N/A</v>
      </c>
    </row>
    <row r="1227" spans="1:8" x14ac:dyDescent="0.35">
      <c r="A1227" s="90" t="e">
        <f>VLOOKUP(E1227,'Validation List'!F1228:G1623,2,FALSE)</f>
        <v>#N/A</v>
      </c>
      <c r="B1227" s="90" t="e">
        <f>INDEX('NEW HIRE ROSTER'!$G:$G,MATCH(RAW!F1227,'NEW HIRE ROSTER'!$A:$A,0))</f>
        <v>#N/A</v>
      </c>
      <c r="C1227" s="90" t="e">
        <f>INDEX('NEW HIRE ROSTER'!$F:$F,MATCH(RAW!F1227,'NEW HIRE ROSTER'!$A:$A,0))</f>
        <v>#N/A</v>
      </c>
      <c r="D1227" s="90" t="e">
        <f>INDEX('Validation List'!$H:$H,MATCH(RAW!E1227,'Validation List'!$F:$F,0))</f>
        <v>#N/A</v>
      </c>
      <c r="G1227" s="90" t="e">
        <f>VLOOKUP(F1227,ML!C1211:D1809,2,FALSE)</f>
        <v>#N/A</v>
      </c>
      <c r="H1227" s="90" t="e">
        <f>VLOOKUP(F1227,ML!C1211:E1809,3,FALSE)</f>
        <v>#N/A</v>
      </c>
    </row>
    <row r="1228" spans="1:8" x14ac:dyDescent="0.35">
      <c r="A1228" s="90" t="e">
        <f>VLOOKUP(E1228,'Validation List'!F1229:G1624,2,FALSE)</f>
        <v>#N/A</v>
      </c>
      <c r="B1228" s="90" t="e">
        <f>INDEX('NEW HIRE ROSTER'!$G:$G,MATCH(RAW!F1228,'NEW HIRE ROSTER'!$A:$A,0))</f>
        <v>#N/A</v>
      </c>
      <c r="C1228" s="90" t="e">
        <f>INDEX('NEW HIRE ROSTER'!$F:$F,MATCH(RAW!F1228,'NEW HIRE ROSTER'!$A:$A,0))</f>
        <v>#N/A</v>
      </c>
      <c r="D1228" s="90" t="e">
        <f>INDEX('Validation List'!$H:$H,MATCH(RAW!E1228,'Validation List'!$F:$F,0))</f>
        <v>#N/A</v>
      </c>
      <c r="G1228" s="90" t="e">
        <f>VLOOKUP(F1228,ML!C1212:D1810,2,FALSE)</f>
        <v>#N/A</v>
      </c>
      <c r="H1228" s="90" t="e">
        <f>VLOOKUP(F1228,ML!C1212:E1810,3,FALSE)</f>
        <v>#N/A</v>
      </c>
    </row>
    <row r="1229" spans="1:8" x14ac:dyDescent="0.35">
      <c r="A1229" s="90" t="e">
        <f>VLOOKUP(E1229,'Validation List'!F1230:G1625,2,FALSE)</f>
        <v>#N/A</v>
      </c>
      <c r="B1229" s="90" t="e">
        <f>INDEX('NEW HIRE ROSTER'!$G:$G,MATCH(RAW!F1229,'NEW HIRE ROSTER'!$A:$A,0))</f>
        <v>#N/A</v>
      </c>
      <c r="C1229" s="90" t="e">
        <f>INDEX('NEW HIRE ROSTER'!$F:$F,MATCH(RAW!F1229,'NEW HIRE ROSTER'!$A:$A,0))</f>
        <v>#N/A</v>
      </c>
      <c r="D1229" s="90" t="e">
        <f>INDEX('Validation List'!$H:$H,MATCH(RAW!E1229,'Validation List'!$F:$F,0))</f>
        <v>#N/A</v>
      </c>
      <c r="G1229" s="90" t="e">
        <f>VLOOKUP(F1229,ML!C1213:D1811,2,FALSE)</f>
        <v>#N/A</v>
      </c>
      <c r="H1229" s="90" t="e">
        <f>VLOOKUP(F1229,ML!C1213:E1811,3,FALSE)</f>
        <v>#N/A</v>
      </c>
    </row>
    <row r="1230" spans="1:8" x14ac:dyDescent="0.35">
      <c r="A1230" s="90" t="e">
        <f>VLOOKUP(E1230,'Validation List'!F1231:G1626,2,FALSE)</f>
        <v>#N/A</v>
      </c>
      <c r="B1230" s="90" t="e">
        <f>INDEX('NEW HIRE ROSTER'!$G:$G,MATCH(RAW!F1230,'NEW HIRE ROSTER'!$A:$A,0))</f>
        <v>#N/A</v>
      </c>
      <c r="C1230" s="90" t="e">
        <f>INDEX('NEW HIRE ROSTER'!$F:$F,MATCH(RAW!F1230,'NEW HIRE ROSTER'!$A:$A,0))</f>
        <v>#N/A</v>
      </c>
      <c r="D1230" s="90" t="e">
        <f>INDEX('Validation List'!$H:$H,MATCH(RAW!E1230,'Validation List'!$F:$F,0))</f>
        <v>#N/A</v>
      </c>
      <c r="G1230" s="90" t="e">
        <f>VLOOKUP(F1230,ML!C1214:D1812,2,FALSE)</f>
        <v>#N/A</v>
      </c>
      <c r="H1230" s="90" t="e">
        <f>VLOOKUP(F1230,ML!C1214:E1812,3,FALSE)</f>
        <v>#N/A</v>
      </c>
    </row>
    <row r="1231" spans="1:8" x14ac:dyDescent="0.35">
      <c r="A1231" s="90" t="e">
        <f>VLOOKUP(E1231,'Validation List'!F1232:G1627,2,FALSE)</f>
        <v>#N/A</v>
      </c>
      <c r="B1231" s="90" t="e">
        <f>INDEX('NEW HIRE ROSTER'!$G:$G,MATCH(RAW!F1231,'NEW HIRE ROSTER'!$A:$A,0))</f>
        <v>#N/A</v>
      </c>
      <c r="C1231" s="90" t="e">
        <f>INDEX('NEW HIRE ROSTER'!$F:$F,MATCH(RAW!F1231,'NEW HIRE ROSTER'!$A:$A,0))</f>
        <v>#N/A</v>
      </c>
      <c r="D1231" s="90" t="e">
        <f>INDEX('Validation List'!$H:$H,MATCH(RAW!E1231,'Validation List'!$F:$F,0))</f>
        <v>#N/A</v>
      </c>
      <c r="G1231" s="90" t="e">
        <f>VLOOKUP(F1231,ML!C1215:D1813,2,FALSE)</f>
        <v>#N/A</v>
      </c>
      <c r="H1231" s="90" t="e">
        <f>VLOOKUP(F1231,ML!C1215:E1813,3,FALSE)</f>
        <v>#N/A</v>
      </c>
    </row>
    <row r="1232" spans="1:8" x14ac:dyDescent="0.35">
      <c r="A1232" s="90" t="e">
        <f>VLOOKUP(E1232,'Validation List'!F1233:G1628,2,FALSE)</f>
        <v>#N/A</v>
      </c>
      <c r="B1232" s="90" t="e">
        <f>INDEX('NEW HIRE ROSTER'!$G:$G,MATCH(RAW!F1232,'NEW HIRE ROSTER'!$A:$A,0))</f>
        <v>#N/A</v>
      </c>
      <c r="C1232" s="90" t="e">
        <f>INDEX('NEW HIRE ROSTER'!$F:$F,MATCH(RAW!F1232,'NEW HIRE ROSTER'!$A:$A,0))</f>
        <v>#N/A</v>
      </c>
      <c r="D1232" s="90" t="e">
        <f>INDEX('Validation List'!$H:$H,MATCH(RAW!E1232,'Validation List'!$F:$F,0))</f>
        <v>#N/A</v>
      </c>
      <c r="G1232" s="90" t="e">
        <f>VLOOKUP(F1232,ML!C1216:D1814,2,FALSE)</f>
        <v>#N/A</v>
      </c>
      <c r="H1232" s="90" t="e">
        <f>VLOOKUP(F1232,ML!C1216:E1814,3,FALSE)</f>
        <v>#N/A</v>
      </c>
    </row>
    <row r="1233" spans="1:8" x14ac:dyDescent="0.35">
      <c r="A1233" s="90" t="e">
        <f>VLOOKUP(E1233,'Validation List'!F1234:G1629,2,FALSE)</f>
        <v>#N/A</v>
      </c>
      <c r="B1233" s="90" t="e">
        <f>INDEX('NEW HIRE ROSTER'!$G:$G,MATCH(RAW!F1233,'NEW HIRE ROSTER'!$A:$A,0))</f>
        <v>#N/A</v>
      </c>
      <c r="C1233" s="90" t="e">
        <f>INDEX('NEW HIRE ROSTER'!$F:$F,MATCH(RAW!F1233,'NEW HIRE ROSTER'!$A:$A,0))</f>
        <v>#N/A</v>
      </c>
      <c r="D1233" s="90" t="e">
        <f>INDEX('Validation List'!$H:$H,MATCH(RAW!E1233,'Validation List'!$F:$F,0))</f>
        <v>#N/A</v>
      </c>
      <c r="G1233" s="90" t="e">
        <f>VLOOKUP(F1233,ML!C1217:D1815,2,FALSE)</f>
        <v>#N/A</v>
      </c>
      <c r="H1233" s="90" t="e">
        <f>VLOOKUP(F1233,ML!C1217:E1815,3,FALSE)</f>
        <v>#N/A</v>
      </c>
    </row>
    <row r="1234" spans="1:8" x14ac:dyDescent="0.35">
      <c r="A1234" s="90" t="e">
        <f>VLOOKUP(E1234,'Validation List'!F1235:G1630,2,FALSE)</f>
        <v>#N/A</v>
      </c>
      <c r="B1234" s="90" t="e">
        <f>INDEX('NEW HIRE ROSTER'!$G:$G,MATCH(RAW!F1234,'NEW HIRE ROSTER'!$A:$A,0))</f>
        <v>#N/A</v>
      </c>
      <c r="C1234" s="90" t="e">
        <f>INDEX('NEW HIRE ROSTER'!$F:$F,MATCH(RAW!F1234,'NEW HIRE ROSTER'!$A:$A,0))</f>
        <v>#N/A</v>
      </c>
      <c r="D1234" s="90" t="e">
        <f>INDEX('Validation List'!$H:$H,MATCH(RAW!E1234,'Validation List'!$F:$F,0))</f>
        <v>#N/A</v>
      </c>
      <c r="G1234" s="90" t="e">
        <f>VLOOKUP(F1234,ML!C1218:D1816,2,FALSE)</f>
        <v>#N/A</v>
      </c>
      <c r="H1234" s="90" t="e">
        <f>VLOOKUP(F1234,ML!C1218:E1816,3,FALSE)</f>
        <v>#N/A</v>
      </c>
    </row>
    <row r="1235" spans="1:8" x14ac:dyDescent="0.35">
      <c r="A1235" s="90" t="e">
        <f>VLOOKUP(E1235,'Validation List'!F1236:G1631,2,FALSE)</f>
        <v>#N/A</v>
      </c>
      <c r="B1235" s="90" t="e">
        <f>INDEX('NEW HIRE ROSTER'!$G:$G,MATCH(RAW!F1235,'NEW HIRE ROSTER'!$A:$A,0))</f>
        <v>#N/A</v>
      </c>
      <c r="C1235" s="90" t="e">
        <f>INDEX('NEW HIRE ROSTER'!$F:$F,MATCH(RAW!F1235,'NEW HIRE ROSTER'!$A:$A,0))</f>
        <v>#N/A</v>
      </c>
      <c r="D1235" s="90" t="e">
        <f>INDEX('Validation List'!$H:$H,MATCH(RAW!E1235,'Validation List'!$F:$F,0))</f>
        <v>#N/A</v>
      </c>
      <c r="G1235" s="90" t="e">
        <f>VLOOKUP(F1235,ML!C1219:D1817,2,FALSE)</f>
        <v>#N/A</v>
      </c>
      <c r="H1235" s="90" t="e">
        <f>VLOOKUP(F1235,ML!C1219:E1817,3,FALSE)</f>
        <v>#N/A</v>
      </c>
    </row>
    <row r="1236" spans="1:8" x14ac:dyDescent="0.35">
      <c r="A1236" s="90" t="e">
        <f>VLOOKUP(E1236,'Validation List'!F1237:G1632,2,FALSE)</f>
        <v>#N/A</v>
      </c>
      <c r="B1236" s="90" t="e">
        <f>INDEX('NEW HIRE ROSTER'!$G:$G,MATCH(RAW!F1236,'NEW HIRE ROSTER'!$A:$A,0))</f>
        <v>#N/A</v>
      </c>
      <c r="C1236" s="90" t="e">
        <f>INDEX('NEW HIRE ROSTER'!$F:$F,MATCH(RAW!F1236,'NEW HIRE ROSTER'!$A:$A,0))</f>
        <v>#N/A</v>
      </c>
      <c r="D1236" s="90" t="e">
        <f>INDEX('Validation List'!$H:$H,MATCH(RAW!E1236,'Validation List'!$F:$F,0))</f>
        <v>#N/A</v>
      </c>
      <c r="G1236" s="90" t="e">
        <f>VLOOKUP(F1236,ML!C1220:D1818,2,FALSE)</f>
        <v>#N/A</v>
      </c>
      <c r="H1236" s="90" t="e">
        <f>VLOOKUP(F1236,ML!C1220:E1818,3,FALSE)</f>
        <v>#N/A</v>
      </c>
    </row>
    <row r="1237" spans="1:8" x14ac:dyDescent="0.35">
      <c r="A1237" s="90" t="e">
        <f>VLOOKUP(E1237,'Validation List'!F1238:G1633,2,FALSE)</f>
        <v>#N/A</v>
      </c>
      <c r="B1237" s="90" t="e">
        <f>INDEX('NEW HIRE ROSTER'!$G:$G,MATCH(RAW!F1237,'NEW HIRE ROSTER'!$A:$A,0))</f>
        <v>#N/A</v>
      </c>
      <c r="C1237" s="90" t="e">
        <f>INDEX('NEW HIRE ROSTER'!$F:$F,MATCH(RAW!F1237,'NEW HIRE ROSTER'!$A:$A,0))</f>
        <v>#N/A</v>
      </c>
      <c r="D1237" s="90" t="e">
        <f>INDEX('Validation List'!$H:$H,MATCH(RAW!E1237,'Validation List'!$F:$F,0))</f>
        <v>#N/A</v>
      </c>
      <c r="G1237" s="90" t="e">
        <f>VLOOKUP(F1237,ML!C1221:D1819,2,FALSE)</f>
        <v>#N/A</v>
      </c>
      <c r="H1237" s="90" t="e">
        <f>VLOOKUP(F1237,ML!C1221:E1819,3,FALSE)</f>
        <v>#N/A</v>
      </c>
    </row>
    <row r="1238" spans="1:8" x14ac:dyDescent="0.35">
      <c r="A1238" s="90" t="e">
        <f>VLOOKUP(E1238,'Validation List'!F1239:G1634,2,FALSE)</f>
        <v>#N/A</v>
      </c>
      <c r="B1238" s="90" t="e">
        <f>INDEX('NEW HIRE ROSTER'!$G:$G,MATCH(RAW!F1238,'NEW HIRE ROSTER'!$A:$A,0))</f>
        <v>#N/A</v>
      </c>
      <c r="C1238" s="90" t="e">
        <f>INDEX('NEW HIRE ROSTER'!$F:$F,MATCH(RAW!F1238,'NEW HIRE ROSTER'!$A:$A,0))</f>
        <v>#N/A</v>
      </c>
      <c r="D1238" s="90" t="e">
        <f>INDEX('Validation List'!$H:$H,MATCH(RAW!E1238,'Validation List'!$F:$F,0))</f>
        <v>#N/A</v>
      </c>
      <c r="G1238" s="90" t="e">
        <f>VLOOKUP(F1238,ML!C1222:D1820,2,FALSE)</f>
        <v>#N/A</v>
      </c>
      <c r="H1238" s="90" t="e">
        <f>VLOOKUP(F1238,ML!C1222:E1820,3,FALSE)</f>
        <v>#N/A</v>
      </c>
    </row>
    <row r="1239" spans="1:8" x14ac:dyDescent="0.35">
      <c r="A1239" s="90" t="e">
        <f>VLOOKUP(E1239,'Validation List'!F1240:G1635,2,FALSE)</f>
        <v>#N/A</v>
      </c>
      <c r="B1239" s="90" t="e">
        <f>INDEX('NEW HIRE ROSTER'!$G:$G,MATCH(RAW!F1239,'NEW HIRE ROSTER'!$A:$A,0))</f>
        <v>#N/A</v>
      </c>
      <c r="C1239" s="90" t="e">
        <f>INDEX('NEW HIRE ROSTER'!$F:$F,MATCH(RAW!F1239,'NEW HIRE ROSTER'!$A:$A,0))</f>
        <v>#N/A</v>
      </c>
      <c r="D1239" s="90" t="e">
        <f>INDEX('Validation List'!$H:$H,MATCH(RAW!E1239,'Validation List'!$F:$F,0))</f>
        <v>#N/A</v>
      </c>
      <c r="G1239" s="90" t="e">
        <f>VLOOKUP(F1239,ML!C1223:D1821,2,FALSE)</f>
        <v>#N/A</v>
      </c>
      <c r="H1239" s="90" t="e">
        <f>VLOOKUP(F1239,ML!C1223:E1821,3,FALSE)</f>
        <v>#N/A</v>
      </c>
    </row>
    <row r="1240" spans="1:8" x14ac:dyDescent="0.35">
      <c r="A1240" s="90" t="e">
        <f>VLOOKUP(E1240,'Validation List'!F1241:G1636,2,FALSE)</f>
        <v>#N/A</v>
      </c>
      <c r="B1240" s="90" t="e">
        <f>INDEX('NEW HIRE ROSTER'!$G:$G,MATCH(RAW!F1240,'NEW HIRE ROSTER'!$A:$A,0))</f>
        <v>#N/A</v>
      </c>
      <c r="C1240" s="90" t="e">
        <f>INDEX('NEW HIRE ROSTER'!$F:$F,MATCH(RAW!F1240,'NEW HIRE ROSTER'!$A:$A,0))</f>
        <v>#N/A</v>
      </c>
      <c r="D1240" s="90" t="e">
        <f>INDEX('Validation List'!$H:$H,MATCH(RAW!E1240,'Validation List'!$F:$F,0))</f>
        <v>#N/A</v>
      </c>
      <c r="G1240" s="90" t="e">
        <f>VLOOKUP(F1240,ML!C1224:D1822,2,FALSE)</f>
        <v>#N/A</v>
      </c>
      <c r="H1240" s="90" t="e">
        <f>VLOOKUP(F1240,ML!C1224:E1822,3,FALSE)</f>
        <v>#N/A</v>
      </c>
    </row>
    <row r="1241" spans="1:8" x14ac:dyDescent="0.35">
      <c r="A1241" s="90" t="e">
        <f>VLOOKUP(E1241,'Validation List'!F1242:G1637,2,FALSE)</f>
        <v>#N/A</v>
      </c>
      <c r="B1241" s="90" t="e">
        <f>INDEX('NEW HIRE ROSTER'!$G:$G,MATCH(RAW!F1241,'NEW HIRE ROSTER'!$A:$A,0))</f>
        <v>#N/A</v>
      </c>
      <c r="C1241" s="90" t="e">
        <f>INDEX('NEW HIRE ROSTER'!$F:$F,MATCH(RAW!F1241,'NEW HIRE ROSTER'!$A:$A,0))</f>
        <v>#N/A</v>
      </c>
      <c r="D1241" s="90" t="e">
        <f>INDEX('Validation List'!$H:$H,MATCH(RAW!E1241,'Validation List'!$F:$F,0))</f>
        <v>#N/A</v>
      </c>
      <c r="G1241" s="90" t="e">
        <f>VLOOKUP(F1241,ML!C1225:D1823,2,FALSE)</f>
        <v>#N/A</v>
      </c>
      <c r="H1241" s="90" t="e">
        <f>VLOOKUP(F1241,ML!C1225:E1823,3,FALSE)</f>
        <v>#N/A</v>
      </c>
    </row>
    <row r="1242" spans="1:8" x14ac:dyDescent="0.35">
      <c r="A1242" s="90" t="e">
        <f>VLOOKUP(E1242,'Validation List'!F1243:G1638,2,FALSE)</f>
        <v>#N/A</v>
      </c>
      <c r="B1242" s="90" t="e">
        <f>INDEX('NEW HIRE ROSTER'!$G:$G,MATCH(RAW!F1242,'NEW HIRE ROSTER'!$A:$A,0))</f>
        <v>#N/A</v>
      </c>
      <c r="C1242" s="90" t="e">
        <f>INDEX('NEW HIRE ROSTER'!$F:$F,MATCH(RAW!F1242,'NEW HIRE ROSTER'!$A:$A,0))</f>
        <v>#N/A</v>
      </c>
      <c r="D1242" s="90" t="e">
        <f>INDEX('Validation List'!$H:$H,MATCH(RAW!E1242,'Validation List'!$F:$F,0))</f>
        <v>#N/A</v>
      </c>
      <c r="G1242" s="90" t="e">
        <f>VLOOKUP(F1242,ML!C1226:D1824,2,FALSE)</f>
        <v>#N/A</v>
      </c>
      <c r="H1242" s="90" t="e">
        <f>VLOOKUP(F1242,ML!C1226:E1824,3,FALSE)</f>
        <v>#N/A</v>
      </c>
    </row>
    <row r="1243" spans="1:8" x14ac:dyDescent="0.35">
      <c r="A1243" s="90" t="e">
        <f>VLOOKUP(E1243,'Validation List'!F1244:G1639,2,FALSE)</f>
        <v>#N/A</v>
      </c>
      <c r="B1243" s="90" t="e">
        <f>INDEX('NEW HIRE ROSTER'!$G:$G,MATCH(RAW!F1243,'NEW HIRE ROSTER'!$A:$A,0))</f>
        <v>#N/A</v>
      </c>
      <c r="C1243" s="90" t="e">
        <f>INDEX('NEW HIRE ROSTER'!$F:$F,MATCH(RAW!F1243,'NEW HIRE ROSTER'!$A:$A,0))</f>
        <v>#N/A</v>
      </c>
      <c r="D1243" s="90" t="e">
        <f>INDEX('Validation List'!$H:$H,MATCH(RAW!E1243,'Validation List'!$F:$F,0))</f>
        <v>#N/A</v>
      </c>
      <c r="G1243" s="90" t="e">
        <f>VLOOKUP(F1243,ML!C1227:D1825,2,FALSE)</f>
        <v>#N/A</v>
      </c>
      <c r="H1243" s="90" t="e">
        <f>VLOOKUP(F1243,ML!C1227:E1825,3,FALSE)</f>
        <v>#N/A</v>
      </c>
    </row>
    <row r="1244" spans="1:8" x14ac:dyDescent="0.35">
      <c r="A1244" s="90" t="e">
        <f>VLOOKUP(E1244,'Validation List'!F1245:G1640,2,FALSE)</f>
        <v>#N/A</v>
      </c>
      <c r="B1244" s="90" t="e">
        <f>INDEX('NEW HIRE ROSTER'!$G:$G,MATCH(RAW!F1244,'NEW HIRE ROSTER'!$A:$A,0))</f>
        <v>#N/A</v>
      </c>
      <c r="C1244" s="90" t="e">
        <f>INDEX('NEW HIRE ROSTER'!$F:$F,MATCH(RAW!F1244,'NEW HIRE ROSTER'!$A:$A,0))</f>
        <v>#N/A</v>
      </c>
      <c r="D1244" s="90" t="e">
        <f>INDEX('Validation List'!$H:$H,MATCH(RAW!E1244,'Validation List'!$F:$F,0))</f>
        <v>#N/A</v>
      </c>
      <c r="G1244" s="90" t="e">
        <f>VLOOKUP(F1244,ML!C1228:D1826,2,FALSE)</f>
        <v>#N/A</v>
      </c>
      <c r="H1244" s="90" t="e">
        <f>VLOOKUP(F1244,ML!C1228:E1826,3,FALSE)</f>
        <v>#N/A</v>
      </c>
    </row>
    <row r="1245" spans="1:8" x14ac:dyDescent="0.35">
      <c r="A1245" s="90" t="e">
        <f>VLOOKUP(E1245,'Validation List'!F1246:G1641,2,FALSE)</f>
        <v>#N/A</v>
      </c>
      <c r="B1245" s="90" t="e">
        <f>INDEX('NEW HIRE ROSTER'!$G:$G,MATCH(RAW!F1245,'NEW HIRE ROSTER'!$A:$A,0))</f>
        <v>#N/A</v>
      </c>
      <c r="C1245" s="90" t="e">
        <f>INDEX('NEW HIRE ROSTER'!$F:$F,MATCH(RAW!F1245,'NEW HIRE ROSTER'!$A:$A,0))</f>
        <v>#N/A</v>
      </c>
      <c r="D1245" s="90" t="e">
        <f>INDEX('Validation List'!$H:$H,MATCH(RAW!E1245,'Validation List'!$F:$F,0))</f>
        <v>#N/A</v>
      </c>
      <c r="G1245" s="90" t="e">
        <f>VLOOKUP(F1245,ML!C1229:D1827,2,FALSE)</f>
        <v>#N/A</v>
      </c>
      <c r="H1245" s="90" t="e">
        <f>VLOOKUP(F1245,ML!C1229:E1827,3,FALSE)</f>
        <v>#N/A</v>
      </c>
    </row>
    <row r="1246" spans="1:8" x14ac:dyDescent="0.35">
      <c r="A1246" s="90" t="e">
        <f>VLOOKUP(E1246,'Validation List'!F1247:G1642,2,FALSE)</f>
        <v>#N/A</v>
      </c>
      <c r="B1246" s="90" t="e">
        <f>INDEX('NEW HIRE ROSTER'!$G:$G,MATCH(RAW!F1246,'NEW HIRE ROSTER'!$A:$A,0))</f>
        <v>#N/A</v>
      </c>
      <c r="C1246" s="90" t="e">
        <f>INDEX('NEW HIRE ROSTER'!$F:$F,MATCH(RAW!F1246,'NEW HIRE ROSTER'!$A:$A,0))</f>
        <v>#N/A</v>
      </c>
      <c r="D1246" s="90" t="e">
        <f>INDEX('Validation List'!$H:$H,MATCH(RAW!E1246,'Validation List'!$F:$F,0))</f>
        <v>#N/A</v>
      </c>
      <c r="G1246" s="90" t="e">
        <f>VLOOKUP(F1246,ML!C1230:D1828,2,FALSE)</f>
        <v>#N/A</v>
      </c>
      <c r="H1246" s="90" t="e">
        <f>VLOOKUP(F1246,ML!C1230:E1828,3,FALSE)</f>
        <v>#N/A</v>
      </c>
    </row>
    <row r="1247" spans="1:8" x14ac:dyDescent="0.35">
      <c r="A1247" s="90" t="e">
        <f>VLOOKUP(E1247,'Validation List'!F1248:G1643,2,FALSE)</f>
        <v>#N/A</v>
      </c>
      <c r="B1247" s="90" t="e">
        <f>INDEX('NEW HIRE ROSTER'!$G:$G,MATCH(RAW!F1247,'NEW HIRE ROSTER'!$A:$A,0))</f>
        <v>#N/A</v>
      </c>
      <c r="C1247" s="90" t="e">
        <f>INDEX('NEW HIRE ROSTER'!$F:$F,MATCH(RAW!F1247,'NEW HIRE ROSTER'!$A:$A,0))</f>
        <v>#N/A</v>
      </c>
      <c r="D1247" s="90" t="e">
        <f>INDEX('Validation List'!$H:$H,MATCH(RAW!E1247,'Validation List'!$F:$F,0))</f>
        <v>#N/A</v>
      </c>
      <c r="G1247" s="90" t="e">
        <f>VLOOKUP(F1247,ML!C1231:D1829,2,FALSE)</f>
        <v>#N/A</v>
      </c>
      <c r="H1247" s="90" t="e">
        <f>VLOOKUP(F1247,ML!C1231:E1829,3,FALSE)</f>
        <v>#N/A</v>
      </c>
    </row>
    <row r="1248" spans="1:8" x14ac:dyDescent="0.35">
      <c r="A1248" s="90" t="e">
        <f>VLOOKUP(E1248,'Validation List'!F1249:G1644,2,FALSE)</f>
        <v>#N/A</v>
      </c>
      <c r="B1248" s="90" t="e">
        <f>INDEX('NEW HIRE ROSTER'!$G:$G,MATCH(RAW!F1248,'NEW HIRE ROSTER'!$A:$A,0))</f>
        <v>#N/A</v>
      </c>
      <c r="C1248" s="90" t="e">
        <f>INDEX('NEW HIRE ROSTER'!$F:$F,MATCH(RAW!F1248,'NEW HIRE ROSTER'!$A:$A,0))</f>
        <v>#N/A</v>
      </c>
      <c r="D1248" s="90" t="e">
        <f>INDEX('Validation List'!$H:$H,MATCH(RAW!E1248,'Validation List'!$F:$F,0))</f>
        <v>#N/A</v>
      </c>
      <c r="G1248" s="90" t="e">
        <f>VLOOKUP(F1248,ML!C1232:D1830,2,FALSE)</f>
        <v>#N/A</v>
      </c>
      <c r="H1248" s="90" t="e">
        <f>VLOOKUP(F1248,ML!C1232:E1830,3,FALSE)</f>
        <v>#N/A</v>
      </c>
    </row>
    <row r="1249" spans="1:8" x14ac:dyDescent="0.35">
      <c r="A1249" s="90" t="e">
        <f>VLOOKUP(E1249,'Validation List'!F1250:G1645,2,FALSE)</f>
        <v>#N/A</v>
      </c>
      <c r="B1249" s="90" t="e">
        <f>INDEX('NEW HIRE ROSTER'!$G:$G,MATCH(RAW!F1249,'NEW HIRE ROSTER'!$A:$A,0))</f>
        <v>#N/A</v>
      </c>
      <c r="C1249" s="90" t="e">
        <f>INDEX('NEW HIRE ROSTER'!$F:$F,MATCH(RAW!F1249,'NEW HIRE ROSTER'!$A:$A,0))</f>
        <v>#N/A</v>
      </c>
      <c r="D1249" s="90" t="e">
        <f>INDEX('Validation List'!$H:$H,MATCH(RAW!E1249,'Validation List'!$F:$F,0))</f>
        <v>#N/A</v>
      </c>
      <c r="G1249" s="90" t="e">
        <f>VLOOKUP(F1249,ML!C1233:D1831,2,FALSE)</f>
        <v>#N/A</v>
      </c>
      <c r="H1249" s="90" t="e">
        <f>VLOOKUP(F1249,ML!C1233:E1831,3,FALSE)</f>
        <v>#N/A</v>
      </c>
    </row>
    <row r="1250" spans="1:8" x14ac:dyDescent="0.35">
      <c r="A1250" s="90" t="e">
        <f>VLOOKUP(E1250,'Validation List'!F1251:G1646,2,FALSE)</f>
        <v>#N/A</v>
      </c>
      <c r="B1250" s="90" t="e">
        <f>INDEX('NEW HIRE ROSTER'!$G:$G,MATCH(RAW!F1250,'NEW HIRE ROSTER'!$A:$A,0))</f>
        <v>#N/A</v>
      </c>
      <c r="C1250" s="90" t="e">
        <f>INDEX('NEW HIRE ROSTER'!$F:$F,MATCH(RAW!F1250,'NEW HIRE ROSTER'!$A:$A,0))</f>
        <v>#N/A</v>
      </c>
      <c r="D1250" s="90" t="e">
        <f>INDEX('Validation List'!$H:$H,MATCH(RAW!E1250,'Validation List'!$F:$F,0))</f>
        <v>#N/A</v>
      </c>
      <c r="G1250" s="90" t="e">
        <f>VLOOKUP(F1250,ML!C1234:D1832,2,FALSE)</f>
        <v>#N/A</v>
      </c>
      <c r="H1250" s="90" t="e">
        <f>VLOOKUP(F1250,ML!C1234:E1832,3,FALSE)</f>
        <v>#N/A</v>
      </c>
    </row>
    <row r="1251" spans="1:8" x14ac:dyDescent="0.35">
      <c r="A1251" s="90" t="e">
        <f>VLOOKUP(E1251,'Validation List'!F1252:G1647,2,FALSE)</f>
        <v>#N/A</v>
      </c>
      <c r="B1251" s="90" t="e">
        <f>INDEX('NEW HIRE ROSTER'!$G:$G,MATCH(RAW!F1251,'NEW HIRE ROSTER'!$A:$A,0))</f>
        <v>#N/A</v>
      </c>
      <c r="C1251" s="90" t="e">
        <f>INDEX('NEW HIRE ROSTER'!$F:$F,MATCH(RAW!F1251,'NEW HIRE ROSTER'!$A:$A,0))</f>
        <v>#N/A</v>
      </c>
      <c r="D1251" s="90" t="e">
        <f>INDEX('Validation List'!$H:$H,MATCH(RAW!E1251,'Validation List'!$F:$F,0))</f>
        <v>#N/A</v>
      </c>
      <c r="G1251" s="90" t="e">
        <f>VLOOKUP(F1251,ML!C1235:D1833,2,FALSE)</f>
        <v>#N/A</v>
      </c>
      <c r="H1251" s="90" t="e">
        <f>VLOOKUP(F1251,ML!C1235:E1833,3,FALSE)</f>
        <v>#N/A</v>
      </c>
    </row>
    <row r="1252" spans="1:8" x14ac:dyDescent="0.35">
      <c r="A1252" s="90" t="e">
        <f>VLOOKUP(E1252,'Validation List'!F1253:G1648,2,FALSE)</f>
        <v>#N/A</v>
      </c>
      <c r="B1252" s="90" t="e">
        <f>INDEX('NEW HIRE ROSTER'!$G:$G,MATCH(RAW!F1252,'NEW HIRE ROSTER'!$A:$A,0))</f>
        <v>#N/A</v>
      </c>
      <c r="C1252" s="90" t="e">
        <f>INDEX('NEW HIRE ROSTER'!$F:$F,MATCH(RAW!F1252,'NEW HIRE ROSTER'!$A:$A,0))</f>
        <v>#N/A</v>
      </c>
      <c r="D1252" s="90" t="e">
        <f>INDEX('Validation List'!$H:$H,MATCH(RAW!E1252,'Validation List'!$F:$F,0))</f>
        <v>#N/A</v>
      </c>
      <c r="G1252" s="90" t="e">
        <f>VLOOKUP(F1252,ML!C1236:D1834,2,FALSE)</f>
        <v>#N/A</v>
      </c>
      <c r="H1252" s="90" t="e">
        <f>VLOOKUP(F1252,ML!C1236:E1834,3,FALSE)</f>
        <v>#N/A</v>
      </c>
    </row>
    <row r="1253" spans="1:8" x14ac:dyDescent="0.35">
      <c r="A1253" s="90" t="e">
        <f>VLOOKUP(E1253,'Validation List'!F1254:G1649,2,FALSE)</f>
        <v>#N/A</v>
      </c>
      <c r="B1253" s="90" t="e">
        <f>INDEX('NEW HIRE ROSTER'!$G:$G,MATCH(RAW!F1253,'NEW HIRE ROSTER'!$A:$A,0))</f>
        <v>#N/A</v>
      </c>
      <c r="C1253" s="90" t="e">
        <f>INDEX('NEW HIRE ROSTER'!$F:$F,MATCH(RAW!F1253,'NEW HIRE ROSTER'!$A:$A,0))</f>
        <v>#N/A</v>
      </c>
      <c r="D1253" s="90" t="e">
        <f>INDEX('Validation List'!$H:$H,MATCH(RAW!E1253,'Validation List'!$F:$F,0))</f>
        <v>#N/A</v>
      </c>
      <c r="G1253" s="90" t="e">
        <f>VLOOKUP(F1253,ML!C1237:D1835,2,FALSE)</f>
        <v>#N/A</v>
      </c>
      <c r="H1253" s="90" t="e">
        <f>VLOOKUP(F1253,ML!C1237:E1835,3,FALSE)</f>
        <v>#N/A</v>
      </c>
    </row>
    <row r="1254" spans="1:8" x14ac:dyDescent="0.35">
      <c r="A1254" s="90" t="e">
        <f>VLOOKUP(E1254,'Validation List'!F1255:G1650,2,FALSE)</f>
        <v>#N/A</v>
      </c>
      <c r="B1254" s="90" t="e">
        <f>INDEX('NEW HIRE ROSTER'!$G:$G,MATCH(RAW!F1254,'NEW HIRE ROSTER'!$A:$A,0))</f>
        <v>#N/A</v>
      </c>
      <c r="C1254" s="90" t="e">
        <f>INDEX('NEW HIRE ROSTER'!$F:$F,MATCH(RAW!F1254,'NEW HIRE ROSTER'!$A:$A,0))</f>
        <v>#N/A</v>
      </c>
      <c r="D1254" s="90" t="e">
        <f>INDEX('Validation List'!$H:$H,MATCH(RAW!E1254,'Validation List'!$F:$F,0))</f>
        <v>#N/A</v>
      </c>
      <c r="G1254" s="90" t="e">
        <f>VLOOKUP(F1254,ML!C1238:D1836,2,FALSE)</f>
        <v>#N/A</v>
      </c>
      <c r="H1254" s="90" t="e">
        <f>VLOOKUP(F1254,ML!C1238:E1836,3,FALSE)</f>
        <v>#N/A</v>
      </c>
    </row>
    <row r="1255" spans="1:8" x14ac:dyDescent="0.35">
      <c r="A1255" s="90" t="e">
        <f>VLOOKUP(E1255,'Validation List'!F1256:G1651,2,FALSE)</f>
        <v>#N/A</v>
      </c>
      <c r="B1255" s="90" t="e">
        <f>INDEX('NEW HIRE ROSTER'!$G:$G,MATCH(RAW!F1255,'NEW HIRE ROSTER'!$A:$A,0))</f>
        <v>#N/A</v>
      </c>
      <c r="C1255" s="90" t="e">
        <f>INDEX('NEW HIRE ROSTER'!$F:$F,MATCH(RAW!F1255,'NEW HIRE ROSTER'!$A:$A,0))</f>
        <v>#N/A</v>
      </c>
      <c r="D1255" s="90" t="e">
        <f>INDEX('Validation List'!$H:$H,MATCH(RAW!E1255,'Validation List'!$F:$F,0))</f>
        <v>#N/A</v>
      </c>
      <c r="G1255" s="90" t="e">
        <f>VLOOKUP(F1255,ML!C1239:D1837,2,FALSE)</f>
        <v>#N/A</v>
      </c>
      <c r="H1255" s="90" t="e">
        <f>VLOOKUP(F1255,ML!C1239:E1837,3,FALSE)</f>
        <v>#N/A</v>
      </c>
    </row>
    <row r="1256" spans="1:8" x14ac:dyDescent="0.35">
      <c r="A1256" s="90" t="e">
        <f>VLOOKUP(E1256,'Validation List'!F1257:G1652,2,FALSE)</f>
        <v>#N/A</v>
      </c>
      <c r="B1256" s="90" t="e">
        <f>INDEX('NEW HIRE ROSTER'!$G:$G,MATCH(RAW!F1256,'NEW HIRE ROSTER'!$A:$A,0))</f>
        <v>#N/A</v>
      </c>
      <c r="C1256" s="90" t="e">
        <f>INDEX('NEW HIRE ROSTER'!$F:$F,MATCH(RAW!F1256,'NEW HIRE ROSTER'!$A:$A,0))</f>
        <v>#N/A</v>
      </c>
      <c r="D1256" s="90" t="e">
        <f>INDEX('Validation List'!$H:$H,MATCH(RAW!E1256,'Validation List'!$F:$F,0))</f>
        <v>#N/A</v>
      </c>
      <c r="G1256" s="90" t="e">
        <f>VLOOKUP(F1256,ML!C1240:D1838,2,FALSE)</f>
        <v>#N/A</v>
      </c>
      <c r="H1256" s="90" t="e">
        <f>VLOOKUP(F1256,ML!C1240:E1838,3,FALSE)</f>
        <v>#N/A</v>
      </c>
    </row>
    <row r="1257" spans="1:8" x14ac:dyDescent="0.35">
      <c r="A1257" s="90" t="e">
        <f>VLOOKUP(E1257,'Validation List'!F1258:G1653,2,FALSE)</f>
        <v>#N/A</v>
      </c>
      <c r="B1257" s="90" t="e">
        <f>INDEX('NEW HIRE ROSTER'!$G:$G,MATCH(RAW!F1257,'NEW HIRE ROSTER'!$A:$A,0))</f>
        <v>#N/A</v>
      </c>
      <c r="C1257" s="90" t="e">
        <f>INDEX('NEW HIRE ROSTER'!$F:$F,MATCH(RAW!F1257,'NEW HIRE ROSTER'!$A:$A,0))</f>
        <v>#N/A</v>
      </c>
      <c r="D1257" s="90" t="e">
        <f>INDEX('Validation List'!$H:$H,MATCH(RAW!E1257,'Validation List'!$F:$F,0))</f>
        <v>#N/A</v>
      </c>
      <c r="G1257" s="90" t="e">
        <f>VLOOKUP(F1257,ML!C1241:D1839,2,FALSE)</f>
        <v>#N/A</v>
      </c>
      <c r="H1257" s="90" t="e">
        <f>VLOOKUP(F1257,ML!C1241:E1839,3,FALSE)</f>
        <v>#N/A</v>
      </c>
    </row>
    <row r="1258" spans="1:8" x14ac:dyDescent="0.35">
      <c r="A1258" s="90" t="e">
        <f>VLOOKUP(E1258,'Validation List'!F1259:G1654,2,FALSE)</f>
        <v>#N/A</v>
      </c>
      <c r="B1258" s="90" t="e">
        <f>INDEX('NEW HIRE ROSTER'!$G:$G,MATCH(RAW!F1258,'NEW HIRE ROSTER'!$A:$A,0))</f>
        <v>#N/A</v>
      </c>
      <c r="C1258" s="90" t="e">
        <f>INDEX('NEW HIRE ROSTER'!$F:$F,MATCH(RAW!F1258,'NEW HIRE ROSTER'!$A:$A,0))</f>
        <v>#N/A</v>
      </c>
      <c r="D1258" s="90" t="e">
        <f>INDEX('Validation List'!$H:$H,MATCH(RAW!E1258,'Validation List'!$F:$F,0))</f>
        <v>#N/A</v>
      </c>
      <c r="G1258" s="90" t="e">
        <f>VLOOKUP(F1258,ML!C1242:D1840,2,FALSE)</f>
        <v>#N/A</v>
      </c>
      <c r="H1258" s="90" t="e">
        <f>VLOOKUP(F1258,ML!C1242:E1840,3,FALSE)</f>
        <v>#N/A</v>
      </c>
    </row>
    <row r="1259" spans="1:8" x14ac:dyDescent="0.35">
      <c r="A1259" s="90" t="e">
        <f>VLOOKUP(E1259,'Validation List'!F1260:G1655,2,FALSE)</f>
        <v>#N/A</v>
      </c>
      <c r="B1259" s="90" t="e">
        <f>INDEX('NEW HIRE ROSTER'!$G:$G,MATCH(RAW!F1259,'NEW HIRE ROSTER'!$A:$A,0))</f>
        <v>#N/A</v>
      </c>
      <c r="C1259" s="90" t="e">
        <f>INDEX('NEW HIRE ROSTER'!$F:$F,MATCH(RAW!F1259,'NEW HIRE ROSTER'!$A:$A,0))</f>
        <v>#N/A</v>
      </c>
      <c r="D1259" s="90" t="e">
        <f>INDEX('Validation List'!$H:$H,MATCH(RAW!E1259,'Validation List'!$F:$F,0))</f>
        <v>#N/A</v>
      </c>
      <c r="G1259" s="90" t="e">
        <f>VLOOKUP(F1259,ML!C1243:D1841,2,FALSE)</f>
        <v>#N/A</v>
      </c>
      <c r="H1259" s="90" t="e">
        <f>VLOOKUP(F1259,ML!C1243:E1841,3,FALSE)</f>
        <v>#N/A</v>
      </c>
    </row>
    <row r="1260" spans="1:8" x14ac:dyDescent="0.35">
      <c r="A1260" s="90" t="e">
        <f>VLOOKUP(E1260,'Validation List'!F1261:G1656,2,FALSE)</f>
        <v>#N/A</v>
      </c>
      <c r="B1260" s="90" t="e">
        <f>INDEX('NEW HIRE ROSTER'!$G:$G,MATCH(RAW!F1260,'NEW HIRE ROSTER'!$A:$A,0))</f>
        <v>#N/A</v>
      </c>
      <c r="C1260" s="90" t="e">
        <f>INDEX('NEW HIRE ROSTER'!$F:$F,MATCH(RAW!F1260,'NEW HIRE ROSTER'!$A:$A,0))</f>
        <v>#N/A</v>
      </c>
      <c r="D1260" s="90" t="e">
        <f>INDEX('Validation List'!$H:$H,MATCH(RAW!E1260,'Validation List'!$F:$F,0))</f>
        <v>#N/A</v>
      </c>
      <c r="G1260" s="90" t="e">
        <f>VLOOKUP(F1260,ML!C1244:D1842,2,FALSE)</f>
        <v>#N/A</v>
      </c>
      <c r="H1260" s="90" t="e">
        <f>VLOOKUP(F1260,ML!C1244:E1842,3,FALSE)</f>
        <v>#N/A</v>
      </c>
    </row>
    <row r="1261" spans="1:8" x14ac:dyDescent="0.35">
      <c r="A1261" s="90" t="e">
        <f>VLOOKUP(E1261,'Validation List'!F1262:G1657,2,FALSE)</f>
        <v>#N/A</v>
      </c>
      <c r="B1261" s="90" t="e">
        <f>INDEX('NEW HIRE ROSTER'!$G:$G,MATCH(RAW!F1261,'NEW HIRE ROSTER'!$A:$A,0))</f>
        <v>#N/A</v>
      </c>
      <c r="C1261" s="90" t="e">
        <f>INDEX('NEW HIRE ROSTER'!$F:$F,MATCH(RAW!F1261,'NEW HIRE ROSTER'!$A:$A,0))</f>
        <v>#N/A</v>
      </c>
      <c r="D1261" s="90" t="e">
        <f>INDEX('Validation List'!$H:$H,MATCH(RAW!E1261,'Validation List'!$F:$F,0))</f>
        <v>#N/A</v>
      </c>
      <c r="G1261" s="90" t="e">
        <f>VLOOKUP(F1261,ML!C1245:D1843,2,FALSE)</f>
        <v>#N/A</v>
      </c>
      <c r="H1261" s="90" t="e">
        <f>VLOOKUP(F1261,ML!C1245:E1843,3,FALSE)</f>
        <v>#N/A</v>
      </c>
    </row>
    <row r="1262" spans="1:8" x14ac:dyDescent="0.35">
      <c r="A1262" s="90" t="e">
        <f>VLOOKUP(E1262,'Validation List'!F1263:G1658,2,FALSE)</f>
        <v>#N/A</v>
      </c>
      <c r="B1262" s="90" t="e">
        <f>INDEX('NEW HIRE ROSTER'!$G:$G,MATCH(RAW!F1262,'NEW HIRE ROSTER'!$A:$A,0))</f>
        <v>#N/A</v>
      </c>
      <c r="C1262" s="90" t="e">
        <f>INDEX('NEW HIRE ROSTER'!$F:$F,MATCH(RAW!F1262,'NEW HIRE ROSTER'!$A:$A,0))</f>
        <v>#N/A</v>
      </c>
      <c r="D1262" s="90" t="e">
        <f>INDEX('Validation List'!$H:$H,MATCH(RAW!E1262,'Validation List'!$F:$F,0))</f>
        <v>#N/A</v>
      </c>
      <c r="G1262" s="90" t="e">
        <f>VLOOKUP(F1262,ML!C1246:D1844,2,FALSE)</f>
        <v>#N/A</v>
      </c>
      <c r="H1262" s="90" t="e">
        <f>VLOOKUP(F1262,ML!C1246:E1844,3,FALSE)</f>
        <v>#N/A</v>
      </c>
    </row>
    <row r="1263" spans="1:8" x14ac:dyDescent="0.35">
      <c r="A1263" s="90" t="e">
        <f>VLOOKUP(E1263,'Validation List'!F1264:G1659,2,FALSE)</f>
        <v>#N/A</v>
      </c>
      <c r="B1263" s="90" t="e">
        <f>INDEX('NEW HIRE ROSTER'!$G:$G,MATCH(RAW!F1263,'NEW HIRE ROSTER'!$A:$A,0))</f>
        <v>#N/A</v>
      </c>
      <c r="C1263" s="90" t="e">
        <f>INDEX('NEW HIRE ROSTER'!$F:$F,MATCH(RAW!F1263,'NEW HIRE ROSTER'!$A:$A,0))</f>
        <v>#N/A</v>
      </c>
      <c r="D1263" s="90" t="e">
        <f>INDEX('Validation List'!$H:$H,MATCH(RAW!E1263,'Validation List'!$F:$F,0))</f>
        <v>#N/A</v>
      </c>
      <c r="G1263" s="90" t="e">
        <f>VLOOKUP(F1263,ML!C1247:D1845,2,FALSE)</f>
        <v>#N/A</v>
      </c>
      <c r="H1263" s="90" t="e">
        <f>VLOOKUP(F1263,ML!C1247:E1845,3,FALSE)</f>
        <v>#N/A</v>
      </c>
    </row>
    <row r="1264" spans="1:8" x14ac:dyDescent="0.35">
      <c r="A1264" s="90" t="e">
        <f>VLOOKUP(E1264,'Validation List'!F1265:G1660,2,FALSE)</f>
        <v>#N/A</v>
      </c>
      <c r="B1264" s="90" t="e">
        <f>INDEX('NEW HIRE ROSTER'!$G:$G,MATCH(RAW!F1264,'NEW HIRE ROSTER'!$A:$A,0))</f>
        <v>#N/A</v>
      </c>
      <c r="C1264" s="90" t="e">
        <f>INDEX('NEW HIRE ROSTER'!$F:$F,MATCH(RAW!F1264,'NEW HIRE ROSTER'!$A:$A,0))</f>
        <v>#N/A</v>
      </c>
      <c r="D1264" s="90" t="e">
        <f>INDEX('Validation List'!$H:$H,MATCH(RAW!E1264,'Validation List'!$F:$F,0))</f>
        <v>#N/A</v>
      </c>
      <c r="G1264" s="90" t="e">
        <f>VLOOKUP(F1264,ML!C1248:D1846,2,FALSE)</f>
        <v>#N/A</v>
      </c>
      <c r="H1264" s="90" t="e">
        <f>VLOOKUP(F1264,ML!C1248:E1846,3,FALSE)</f>
        <v>#N/A</v>
      </c>
    </row>
    <row r="1265" spans="1:8" x14ac:dyDescent="0.35">
      <c r="A1265" s="90" t="e">
        <f>VLOOKUP(E1265,'Validation List'!F1266:G1661,2,FALSE)</f>
        <v>#N/A</v>
      </c>
      <c r="B1265" s="90" t="e">
        <f>INDEX('NEW HIRE ROSTER'!$G:$G,MATCH(RAW!F1265,'NEW HIRE ROSTER'!$A:$A,0))</f>
        <v>#N/A</v>
      </c>
      <c r="C1265" s="90" t="e">
        <f>INDEX('NEW HIRE ROSTER'!$F:$F,MATCH(RAW!F1265,'NEW HIRE ROSTER'!$A:$A,0))</f>
        <v>#N/A</v>
      </c>
      <c r="D1265" s="90" t="e">
        <f>INDEX('Validation List'!$H:$H,MATCH(RAW!E1265,'Validation List'!$F:$F,0))</f>
        <v>#N/A</v>
      </c>
      <c r="G1265" s="90" t="e">
        <f>VLOOKUP(F1265,ML!C1249:D1847,2,FALSE)</f>
        <v>#N/A</v>
      </c>
      <c r="H1265" s="90" t="e">
        <f>VLOOKUP(F1265,ML!C1249:E1847,3,FALSE)</f>
        <v>#N/A</v>
      </c>
    </row>
    <row r="1266" spans="1:8" x14ac:dyDescent="0.35">
      <c r="A1266" s="90" t="e">
        <f>VLOOKUP(E1266,'Validation List'!F1267:G1662,2,FALSE)</f>
        <v>#N/A</v>
      </c>
      <c r="B1266" s="90" t="e">
        <f>INDEX('NEW HIRE ROSTER'!$G:$G,MATCH(RAW!F1266,'NEW HIRE ROSTER'!$A:$A,0))</f>
        <v>#N/A</v>
      </c>
      <c r="C1266" s="90" t="e">
        <f>INDEX('NEW HIRE ROSTER'!$F:$F,MATCH(RAW!F1266,'NEW HIRE ROSTER'!$A:$A,0))</f>
        <v>#N/A</v>
      </c>
      <c r="D1266" s="90" t="e">
        <f>INDEX('Validation List'!$H:$H,MATCH(RAW!E1266,'Validation List'!$F:$F,0))</f>
        <v>#N/A</v>
      </c>
      <c r="G1266" s="90" t="e">
        <f>VLOOKUP(F1266,ML!C1250:D1848,2,FALSE)</f>
        <v>#N/A</v>
      </c>
      <c r="H1266" s="90" t="e">
        <f>VLOOKUP(F1266,ML!C1250:E1848,3,FALSE)</f>
        <v>#N/A</v>
      </c>
    </row>
    <row r="1267" spans="1:8" x14ac:dyDescent="0.35">
      <c r="A1267" s="90" t="e">
        <f>VLOOKUP(E1267,'Validation List'!F1268:G1663,2,FALSE)</f>
        <v>#N/A</v>
      </c>
      <c r="B1267" s="90" t="e">
        <f>INDEX('NEW HIRE ROSTER'!$G:$G,MATCH(RAW!F1267,'NEW HIRE ROSTER'!$A:$A,0))</f>
        <v>#N/A</v>
      </c>
      <c r="C1267" s="90" t="e">
        <f>INDEX('NEW HIRE ROSTER'!$F:$F,MATCH(RAW!F1267,'NEW HIRE ROSTER'!$A:$A,0))</f>
        <v>#N/A</v>
      </c>
      <c r="D1267" s="90" t="e">
        <f>INDEX('Validation List'!$H:$H,MATCH(RAW!E1267,'Validation List'!$F:$F,0))</f>
        <v>#N/A</v>
      </c>
      <c r="G1267" s="90" t="e">
        <f>VLOOKUP(F1267,ML!C1251:D1849,2,FALSE)</f>
        <v>#N/A</v>
      </c>
      <c r="H1267" s="90" t="e">
        <f>VLOOKUP(F1267,ML!C1251:E1849,3,FALSE)</f>
        <v>#N/A</v>
      </c>
    </row>
    <row r="1268" spans="1:8" x14ac:dyDescent="0.35">
      <c r="A1268" s="90" t="e">
        <f>VLOOKUP(E1268,'Validation List'!F1269:G1664,2,FALSE)</f>
        <v>#N/A</v>
      </c>
      <c r="B1268" s="90" t="e">
        <f>INDEX('NEW HIRE ROSTER'!$G:$G,MATCH(RAW!F1268,'NEW HIRE ROSTER'!$A:$A,0))</f>
        <v>#N/A</v>
      </c>
      <c r="C1268" s="90" t="e">
        <f>INDEX('NEW HIRE ROSTER'!$F:$F,MATCH(RAW!F1268,'NEW HIRE ROSTER'!$A:$A,0))</f>
        <v>#N/A</v>
      </c>
      <c r="D1268" s="90" t="e">
        <f>INDEX('Validation List'!$H:$H,MATCH(RAW!E1268,'Validation List'!$F:$F,0))</f>
        <v>#N/A</v>
      </c>
      <c r="G1268" s="90" t="e">
        <f>VLOOKUP(F1268,ML!C1252:D1850,2,FALSE)</f>
        <v>#N/A</v>
      </c>
      <c r="H1268" s="90" t="e">
        <f>VLOOKUP(F1268,ML!C1252:E1850,3,FALSE)</f>
        <v>#N/A</v>
      </c>
    </row>
    <row r="1269" spans="1:8" x14ac:dyDescent="0.35">
      <c r="A1269" s="90" t="e">
        <f>VLOOKUP(E1269,'Validation List'!F1270:G1665,2,FALSE)</f>
        <v>#N/A</v>
      </c>
      <c r="B1269" s="90" t="e">
        <f>INDEX('NEW HIRE ROSTER'!$G:$G,MATCH(RAW!F1269,'NEW HIRE ROSTER'!$A:$A,0))</f>
        <v>#N/A</v>
      </c>
      <c r="C1269" s="90" t="e">
        <f>INDEX('NEW HIRE ROSTER'!$F:$F,MATCH(RAW!F1269,'NEW HIRE ROSTER'!$A:$A,0))</f>
        <v>#N/A</v>
      </c>
      <c r="D1269" s="90" t="e">
        <f>INDEX('Validation List'!$H:$H,MATCH(RAW!E1269,'Validation List'!$F:$F,0))</f>
        <v>#N/A</v>
      </c>
      <c r="G1269" s="90" t="e">
        <f>VLOOKUP(F1269,ML!C1253:D1851,2,FALSE)</f>
        <v>#N/A</v>
      </c>
      <c r="H1269" s="90" t="e">
        <f>VLOOKUP(F1269,ML!C1253:E1851,3,FALSE)</f>
        <v>#N/A</v>
      </c>
    </row>
    <row r="1270" spans="1:8" x14ac:dyDescent="0.35">
      <c r="A1270" s="90" t="e">
        <f>VLOOKUP(E1270,'Validation List'!F1271:G1666,2,FALSE)</f>
        <v>#N/A</v>
      </c>
      <c r="B1270" s="90" t="e">
        <f>INDEX('NEW HIRE ROSTER'!$G:$G,MATCH(RAW!F1270,'NEW HIRE ROSTER'!$A:$A,0))</f>
        <v>#N/A</v>
      </c>
      <c r="C1270" s="90" t="e">
        <f>INDEX('NEW HIRE ROSTER'!$F:$F,MATCH(RAW!F1270,'NEW HIRE ROSTER'!$A:$A,0))</f>
        <v>#N/A</v>
      </c>
      <c r="D1270" s="90" t="e">
        <f>INDEX('Validation List'!$H:$H,MATCH(RAW!E1270,'Validation List'!$F:$F,0))</f>
        <v>#N/A</v>
      </c>
      <c r="G1270" s="90" t="e">
        <f>VLOOKUP(F1270,ML!C1254:D1852,2,FALSE)</f>
        <v>#N/A</v>
      </c>
      <c r="H1270" s="90" t="e">
        <f>VLOOKUP(F1270,ML!C1254:E1852,3,FALSE)</f>
        <v>#N/A</v>
      </c>
    </row>
    <row r="1271" spans="1:8" x14ac:dyDescent="0.35">
      <c r="A1271" s="90" t="e">
        <f>VLOOKUP(E1271,'Validation List'!F1272:G1667,2,FALSE)</f>
        <v>#N/A</v>
      </c>
      <c r="B1271" s="90" t="e">
        <f>INDEX('NEW HIRE ROSTER'!$G:$G,MATCH(RAW!F1271,'NEW HIRE ROSTER'!$A:$A,0))</f>
        <v>#N/A</v>
      </c>
      <c r="C1271" s="90" t="e">
        <f>INDEX('NEW HIRE ROSTER'!$F:$F,MATCH(RAW!F1271,'NEW HIRE ROSTER'!$A:$A,0))</f>
        <v>#N/A</v>
      </c>
      <c r="D1271" s="90" t="e">
        <f>INDEX('Validation List'!$H:$H,MATCH(RAW!E1271,'Validation List'!$F:$F,0))</f>
        <v>#N/A</v>
      </c>
      <c r="G1271" s="90" t="e">
        <f>VLOOKUP(F1271,ML!C1255:D1853,2,FALSE)</f>
        <v>#N/A</v>
      </c>
      <c r="H1271" s="90" t="e">
        <f>VLOOKUP(F1271,ML!C1255:E1853,3,FALSE)</f>
        <v>#N/A</v>
      </c>
    </row>
    <row r="1272" spans="1:8" x14ac:dyDescent="0.35">
      <c r="A1272" s="90" t="e">
        <f>VLOOKUP(E1272,'Validation List'!F1273:G1668,2,FALSE)</f>
        <v>#N/A</v>
      </c>
      <c r="B1272" s="90" t="e">
        <f>INDEX('NEW HIRE ROSTER'!$G:$G,MATCH(RAW!F1272,'NEW HIRE ROSTER'!$A:$A,0))</f>
        <v>#N/A</v>
      </c>
      <c r="C1272" s="90" t="e">
        <f>INDEX('NEW HIRE ROSTER'!$F:$F,MATCH(RAW!F1272,'NEW HIRE ROSTER'!$A:$A,0))</f>
        <v>#N/A</v>
      </c>
      <c r="D1272" s="90" t="e">
        <f>INDEX('Validation List'!$H:$H,MATCH(RAW!E1272,'Validation List'!$F:$F,0))</f>
        <v>#N/A</v>
      </c>
      <c r="G1272" s="90" t="e">
        <f>VLOOKUP(F1272,ML!C1256:D1854,2,FALSE)</f>
        <v>#N/A</v>
      </c>
      <c r="H1272" s="90" t="e">
        <f>VLOOKUP(F1272,ML!C1256:E1854,3,FALSE)</f>
        <v>#N/A</v>
      </c>
    </row>
    <row r="1273" spans="1:8" x14ac:dyDescent="0.35">
      <c r="A1273" s="90" t="e">
        <f>VLOOKUP(E1273,'Validation List'!F1274:G1669,2,FALSE)</f>
        <v>#N/A</v>
      </c>
      <c r="B1273" s="90" t="e">
        <f>INDEX('NEW HIRE ROSTER'!$G:$G,MATCH(RAW!F1273,'NEW HIRE ROSTER'!$A:$A,0))</f>
        <v>#N/A</v>
      </c>
      <c r="C1273" s="90" t="e">
        <f>INDEX('NEW HIRE ROSTER'!$F:$F,MATCH(RAW!F1273,'NEW HIRE ROSTER'!$A:$A,0))</f>
        <v>#N/A</v>
      </c>
      <c r="D1273" s="90" t="e">
        <f>INDEX('Validation List'!$H:$H,MATCH(RAW!E1273,'Validation List'!$F:$F,0))</f>
        <v>#N/A</v>
      </c>
      <c r="G1273" s="90" t="e">
        <f>VLOOKUP(F1273,ML!C1257:D1855,2,FALSE)</f>
        <v>#N/A</v>
      </c>
      <c r="H1273" s="90" t="e">
        <f>VLOOKUP(F1273,ML!C1257:E1855,3,FALSE)</f>
        <v>#N/A</v>
      </c>
    </row>
    <row r="1274" spans="1:8" x14ac:dyDescent="0.35">
      <c r="A1274" s="90" t="e">
        <f>VLOOKUP(E1274,'Validation List'!F1275:G1670,2,FALSE)</f>
        <v>#N/A</v>
      </c>
      <c r="B1274" s="90" t="e">
        <f>INDEX('NEW HIRE ROSTER'!$G:$G,MATCH(RAW!F1274,'NEW HIRE ROSTER'!$A:$A,0))</f>
        <v>#N/A</v>
      </c>
      <c r="C1274" s="90" t="e">
        <f>INDEX('NEW HIRE ROSTER'!$F:$F,MATCH(RAW!F1274,'NEW HIRE ROSTER'!$A:$A,0))</f>
        <v>#N/A</v>
      </c>
      <c r="D1274" s="90" t="e">
        <f>INDEX('Validation List'!$H:$H,MATCH(RAW!E1274,'Validation List'!$F:$F,0))</f>
        <v>#N/A</v>
      </c>
      <c r="G1274" s="90" t="e">
        <f>VLOOKUP(F1274,ML!C1258:D1856,2,FALSE)</f>
        <v>#N/A</v>
      </c>
      <c r="H1274" s="90" t="e">
        <f>VLOOKUP(F1274,ML!C1258:E1856,3,FALSE)</f>
        <v>#N/A</v>
      </c>
    </row>
    <row r="1275" spans="1:8" x14ac:dyDescent="0.35">
      <c r="A1275" s="90" t="e">
        <f>VLOOKUP(E1275,'Validation List'!F1276:G1671,2,FALSE)</f>
        <v>#N/A</v>
      </c>
      <c r="B1275" s="90" t="e">
        <f>INDEX('NEW HIRE ROSTER'!$G:$G,MATCH(RAW!F1275,'NEW HIRE ROSTER'!$A:$A,0))</f>
        <v>#N/A</v>
      </c>
      <c r="C1275" s="90" t="e">
        <f>INDEX('NEW HIRE ROSTER'!$F:$F,MATCH(RAW!F1275,'NEW HIRE ROSTER'!$A:$A,0))</f>
        <v>#N/A</v>
      </c>
      <c r="D1275" s="90" t="e">
        <f>INDEX('Validation List'!$H:$H,MATCH(RAW!E1275,'Validation List'!$F:$F,0))</f>
        <v>#N/A</v>
      </c>
      <c r="G1275" s="90" t="e">
        <f>VLOOKUP(F1275,ML!C1259:D1857,2,FALSE)</f>
        <v>#N/A</v>
      </c>
      <c r="H1275" s="90" t="e">
        <f>VLOOKUP(F1275,ML!C1259:E1857,3,FALSE)</f>
        <v>#N/A</v>
      </c>
    </row>
    <row r="1276" spans="1:8" x14ac:dyDescent="0.35">
      <c r="A1276" s="90" t="e">
        <f>VLOOKUP(E1276,'Validation List'!F1277:G1672,2,FALSE)</f>
        <v>#N/A</v>
      </c>
      <c r="B1276" s="90" t="e">
        <f>INDEX('NEW HIRE ROSTER'!$G:$G,MATCH(RAW!F1276,'NEW HIRE ROSTER'!$A:$A,0))</f>
        <v>#N/A</v>
      </c>
      <c r="C1276" s="90" t="e">
        <f>INDEX('NEW HIRE ROSTER'!$F:$F,MATCH(RAW!F1276,'NEW HIRE ROSTER'!$A:$A,0))</f>
        <v>#N/A</v>
      </c>
      <c r="D1276" s="90" t="e">
        <f>INDEX('Validation List'!$H:$H,MATCH(RAW!E1276,'Validation List'!$F:$F,0))</f>
        <v>#N/A</v>
      </c>
      <c r="G1276" s="90" t="e">
        <f>VLOOKUP(F1276,ML!C1260:D1858,2,FALSE)</f>
        <v>#N/A</v>
      </c>
      <c r="H1276" s="90" t="e">
        <f>VLOOKUP(F1276,ML!C1260:E1858,3,FALSE)</f>
        <v>#N/A</v>
      </c>
    </row>
    <row r="1277" spans="1:8" x14ac:dyDescent="0.35">
      <c r="A1277" s="90" t="e">
        <f>VLOOKUP(E1277,'Validation List'!F1278:G1673,2,FALSE)</f>
        <v>#N/A</v>
      </c>
      <c r="B1277" s="90" t="e">
        <f>INDEX('NEW HIRE ROSTER'!$G:$G,MATCH(RAW!F1277,'NEW HIRE ROSTER'!$A:$A,0))</f>
        <v>#N/A</v>
      </c>
      <c r="C1277" s="90" t="e">
        <f>INDEX('NEW HIRE ROSTER'!$F:$F,MATCH(RAW!F1277,'NEW HIRE ROSTER'!$A:$A,0))</f>
        <v>#N/A</v>
      </c>
      <c r="D1277" s="90" t="e">
        <f>INDEX('Validation List'!$H:$H,MATCH(RAW!E1277,'Validation List'!$F:$F,0))</f>
        <v>#N/A</v>
      </c>
      <c r="G1277" s="90" t="e">
        <f>VLOOKUP(F1277,ML!C1261:D1859,2,FALSE)</f>
        <v>#N/A</v>
      </c>
      <c r="H1277" s="90" t="e">
        <f>VLOOKUP(F1277,ML!C1261:E1859,3,FALSE)</f>
        <v>#N/A</v>
      </c>
    </row>
    <row r="1278" spans="1:8" x14ac:dyDescent="0.35">
      <c r="A1278" s="90" t="e">
        <f>VLOOKUP(E1278,'Validation List'!F1279:G1674,2,FALSE)</f>
        <v>#N/A</v>
      </c>
      <c r="B1278" s="90" t="e">
        <f>INDEX('NEW HIRE ROSTER'!$G:$G,MATCH(RAW!F1278,'NEW HIRE ROSTER'!$A:$A,0))</f>
        <v>#N/A</v>
      </c>
      <c r="C1278" s="90" t="e">
        <f>INDEX('NEW HIRE ROSTER'!$F:$F,MATCH(RAW!F1278,'NEW HIRE ROSTER'!$A:$A,0))</f>
        <v>#N/A</v>
      </c>
      <c r="D1278" s="90" t="e">
        <f>INDEX('Validation List'!$H:$H,MATCH(RAW!E1278,'Validation List'!$F:$F,0))</f>
        <v>#N/A</v>
      </c>
      <c r="G1278" s="90" t="e">
        <f>VLOOKUP(F1278,ML!C1262:D1860,2,FALSE)</f>
        <v>#N/A</v>
      </c>
      <c r="H1278" s="90" t="e">
        <f>VLOOKUP(F1278,ML!C1262:E1860,3,FALSE)</f>
        <v>#N/A</v>
      </c>
    </row>
    <row r="1279" spans="1:8" x14ac:dyDescent="0.35">
      <c r="A1279" s="90" t="e">
        <f>VLOOKUP(E1279,'Validation List'!F1280:G1675,2,FALSE)</f>
        <v>#N/A</v>
      </c>
      <c r="B1279" s="90" t="e">
        <f>INDEX('NEW HIRE ROSTER'!$G:$G,MATCH(RAW!F1279,'NEW HIRE ROSTER'!$A:$A,0))</f>
        <v>#N/A</v>
      </c>
      <c r="C1279" s="90" t="e">
        <f>INDEX('NEW HIRE ROSTER'!$F:$F,MATCH(RAW!F1279,'NEW HIRE ROSTER'!$A:$A,0))</f>
        <v>#N/A</v>
      </c>
      <c r="D1279" s="90" t="e">
        <f>INDEX('Validation List'!$H:$H,MATCH(RAW!E1279,'Validation List'!$F:$F,0))</f>
        <v>#N/A</v>
      </c>
      <c r="G1279" s="90" t="e">
        <f>VLOOKUP(F1279,ML!C1263:D1861,2,FALSE)</f>
        <v>#N/A</v>
      </c>
      <c r="H1279" s="90" t="e">
        <f>VLOOKUP(F1279,ML!C1263:E1861,3,FALSE)</f>
        <v>#N/A</v>
      </c>
    </row>
    <row r="1280" spans="1:8" x14ac:dyDescent="0.35">
      <c r="A1280" s="90" t="e">
        <f>VLOOKUP(E1280,'Validation List'!F1281:G1676,2,FALSE)</f>
        <v>#N/A</v>
      </c>
      <c r="B1280" s="90" t="e">
        <f>INDEX('NEW HIRE ROSTER'!$G:$G,MATCH(RAW!F1280,'NEW HIRE ROSTER'!$A:$A,0))</f>
        <v>#N/A</v>
      </c>
      <c r="C1280" s="90" t="e">
        <f>INDEX('NEW HIRE ROSTER'!$F:$F,MATCH(RAW!F1280,'NEW HIRE ROSTER'!$A:$A,0))</f>
        <v>#N/A</v>
      </c>
      <c r="D1280" s="90" t="e">
        <f>INDEX('Validation List'!$H:$H,MATCH(RAW!E1280,'Validation List'!$F:$F,0))</f>
        <v>#N/A</v>
      </c>
      <c r="G1280" s="90" t="e">
        <f>VLOOKUP(F1280,ML!C1264:D1862,2,FALSE)</f>
        <v>#N/A</v>
      </c>
      <c r="H1280" s="90" t="e">
        <f>VLOOKUP(F1280,ML!C1264:E1862,3,FALSE)</f>
        <v>#N/A</v>
      </c>
    </row>
    <row r="1281" spans="1:8" x14ac:dyDescent="0.35">
      <c r="A1281" s="90" t="e">
        <f>VLOOKUP(E1281,'Validation List'!F1282:G1677,2,FALSE)</f>
        <v>#N/A</v>
      </c>
      <c r="B1281" s="90" t="e">
        <f>INDEX('NEW HIRE ROSTER'!$G:$G,MATCH(RAW!F1281,'NEW HIRE ROSTER'!$A:$A,0))</f>
        <v>#N/A</v>
      </c>
      <c r="C1281" s="90" t="e">
        <f>INDEX('NEW HIRE ROSTER'!$F:$F,MATCH(RAW!F1281,'NEW HIRE ROSTER'!$A:$A,0))</f>
        <v>#N/A</v>
      </c>
      <c r="D1281" s="90" t="e">
        <f>INDEX('Validation List'!$H:$H,MATCH(RAW!E1281,'Validation List'!$F:$F,0))</f>
        <v>#N/A</v>
      </c>
      <c r="G1281" s="90" t="e">
        <f>VLOOKUP(F1281,ML!C1265:D1863,2,FALSE)</f>
        <v>#N/A</v>
      </c>
      <c r="H1281" s="90" t="e">
        <f>VLOOKUP(F1281,ML!C1265:E1863,3,FALSE)</f>
        <v>#N/A</v>
      </c>
    </row>
    <row r="1282" spans="1:8" x14ac:dyDescent="0.35">
      <c r="A1282" s="90" t="e">
        <f>VLOOKUP(E1282,'Validation List'!F1283:G1678,2,FALSE)</f>
        <v>#N/A</v>
      </c>
      <c r="B1282" s="90" t="e">
        <f>INDEX('NEW HIRE ROSTER'!$G:$G,MATCH(RAW!F1282,'NEW HIRE ROSTER'!$A:$A,0))</f>
        <v>#N/A</v>
      </c>
      <c r="C1282" s="90" t="e">
        <f>INDEX('NEW HIRE ROSTER'!$F:$F,MATCH(RAW!F1282,'NEW HIRE ROSTER'!$A:$A,0))</f>
        <v>#N/A</v>
      </c>
      <c r="D1282" s="90" t="e">
        <f>INDEX('Validation List'!$H:$H,MATCH(RAW!E1282,'Validation List'!$F:$F,0))</f>
        <v>#N/A</v>
      </c>
      <c r="G1282" s="90" t="e">
        <f>VLOOKUP(F1282,ML!C1266:D1864,2,FALSE)</f>
        <v>#N/A</v>
      </c>
      <c r="H1282" s="90" t="e">
        <f>VLOOKUP(F1282,ML!C1266:E1864,3,FALSE)</f>
        <v>#N/A</v>
      </c>
    </row>
    <row r="1283" spans="1:8" x14ac:dyDescent="0.35">
      <c r="A1283" s="90" t="e">
        <f>VLOOKUP(E1283,'Validation List'!F1284:G1679,2,FALSE)</f>
        <v>#N/A</v>
      </c>
      <c r="B1283" s="90" t="e">
        <f>INDEX('NEW HIRE ROSTER'!$G:$G,MATCH(RAW!F1283,'NEW HIRE ROSTER'!$A:$A,0))</f>
        <v>#N/A</v>
      </c>
      <c r="C1283" s="90" t="e">
        <f>INDEX('NEW HIRE ROSTER'!$F:$F,MATCH(RAW!F1283,'NEW HIRE ROSTER'!$A:$A,0))</f>
        <v>#N/A</v>
      </c>
      <c r="D1283" s="90" t="e">
        <f>INDEX('Validation List'!$H:$H,MATCH(RAW!E1283,'Validation List'!$F:$F,0))</f>
        <v>#N/A</v>
      </c>
      <c r="G1283" s="90" t="e">
        <f>VLOOKUP(F1283,ML!C1267:D1865,2,FALSE)</f>
        <v>#N/A</v>
      </c>
      <c r="H1283" s="90" t="e">
        <f>VLOOKUP(F1283,ML!C1267:E1865,3,FALSE)</f>
        <v>#N/A</v>
      </c>
    </row>
    <row r="1284" spans="1:8" x14ac:dyDescent="0.35">
      <c r="A1284" s="90" t="e">
        <f>VLOOKUP(E1284,'Validation List'!F1285:G1680,2,FALSE)</f>
        <v>#N/A</v>
      </c>
      <c r="B1284" s="90" t="e">
        <f>INDEX('NEW HIRE ROSTER'!$G:$G,MATCH(RAW!F1284,'NEW HIRE ROSTER'!$A:$A,0))</f>
        <v>#N/A</v>
      </c>
      <c r="C1284" s="90" t="e">
        <f>INDEX('NEW HIRE ROSTER'!$F:$F,MATCH(RAW!F1284,'NEW HIRE ROSTER'!$A:$A,0))</f>
        <v>#N/A</v>
      </c>
      <c r="D1284" s="90" t="e">
        <f>INDEX('Validation List'!$H:$H,MATCH(RAW!E1284,'Validation List'!$F:$F,0))</f>
        <v>#N/A</v>
      </c>
      <c r="G1284" s="90" t="e">
        <f>VLOOKUP(F1284,ML!C1268:D1866,2,FALSE)</f>
        <v>#N/A</v>
      </c>
      <c r="H1284" s="90" t="e">
        <f>VLOOKUP(F1284,ML!C1268:E1866,3,FALSE)</f>
        <v>#N/A</v>
      </c>
    </row>
    <row r="1285" spans="1:8" x14ac:dyDescent="0.35">
      <c r="A1285" s="90" t="e">
        <f>VLOOKUP(E1285,'Validation List'!F1286:G1681,2,FALSE)</f>
        <v>#N/A</v>
      </c>
      <c r="B1285" s="90" t="e">
        <f>INDEX('NEW HIRE ROSTER'!$G:$G,MATCH(RAW!F1285,'NEW HIRE ROSTER'!$A:$A,0))</f>
        <v>#N/A</v>
      </c>
      <c r="C1285" s="90" t="e">
        <f>INDEX('NEW HIRE ROSTER'!$F:$F,MATCH(RAW!F1285,'NEW HIRE ROSTER'!$A:$A,0))</f>
        <v>#N/A</v>
      </c>
      <c r="D1285" s="90" t="e">
        <f>INDEX('Validation List'!$H:$H,MATCH(RAW!E1285,'Validation List'!$F:$F,0))</f>
        <v>#N/A</v>
      </c>
      <c r="G1285" s="90" t="e">
        <f>VLOOKUP(F1285,ML!C1269:D1867,2,FALSE)</f>
        <v>#N/A</v>
      </c>
      <c r="H1285" s="90" t="e">
        <f>VLOOKUP(F1285,ML!C1269:E1867,3,FALSE)</f>
        <v>#N/A</v>
      </c>
    </row>
    <row r="1286" spans="1:8" x14ac:dyDescent="0.35">
      <c r="A1286" s="90" t="e">
        <f>VLOOKUP(E1286,'Validation List'!F1287:G1682,2,FALSE)</f>
        <v>#N/A</v>
      </c>
      <c r="B1286" s="90" t="e">
        <f>INDEX('NEW HIRE ROSTER'!$G:$G,MATCH(RAW!F1286,'NEW HIRE ROSTER'!$A:$A,0))</f>
        <v>#N/A</v>
      </c>
      <c r="C1286" s="90" t="e">
        <f>INDEX('NEW HIRE ROSTER'!$F:$F,MATCH(RAW!F1286,'NEW HIRE ROSTER'!$A:$A,0))</f>
        <v>#N/A</v>
      </c>
      <c r="D1286" s="90" t="e">
        <f>INDEX('Validation List'!$H:$H,MATCH(RAW!E1286,'Validation List'!$F:$F,0))</f>
        <v>#N/A</v>
      </c>
      <c r="G1286" s="90" t="e">
        <f>VLOOKUP(F1286,ML!C1270:D1868,2,FALSE)</f>
        <v>#N/A</v>
      </c>
      <c r="H1286" s="90" t="e">
        <f>VLOOKUP(F1286,ML!C1270:E1868,3,FALSE)</f>
        <v>#N/A</v>
      </c>
    </row>
    <row r="1287" spans="1:8" x14ac:dyDescent="0.35">
      <c r="A1287" s="90" t="e">
        <f>VLOOKUP(E1287,'Validation List'!F1288:G1683,2,FALSE)</f>
        <v>#N/A</v>
      </c>
      <c r="B1287" s="90" t="e">
        <f>INDEX('NEW HIRE ROSTER'!$G:$G,MATCH(RAW!F1287,'NEW HIRE ROSTER'!$A:$A,0))</f>
        <v>#N/A</v>
      </c>
      <c r="C1287" s="90" t="e">
        <f>INDEX('NEW HIRE ROSTER'!$F:$F,MATCH(RAW!F1287,'NEW HIRE ROSTER'!$A:$A,0))</f>
        <v>#N/A</v>
      </c>
      <c r="D1287" s="90" t="e">
        <f>INDEX('Validation List'!$H:$H,MATCH(RAW!E1287,'Validation List'!$F:$F,0))</f>
        <v>#N/A</v>
      </c>
      <c r="G1287" s="90" t="e">
        <f>VLOOKUP(F1287,ML!C1271:D1869,2,FALSE)</f>
        <v>#N/A</v>
      </c>
      <c r="H1287" s="90" t="e">
        <f>VLOOKUP(F1287,ML!C1271:E1869,3,FALSE)</f>
        <v>#N/A</v>
      </c>
    </row>
    <row r="1288" spans="1:8" x14ac:dyDescent="0.35">
      <c r="A1288" s="90" t="e">
        <f>VLOOKUP(E1288,'Validation List'!F1289:G1684,2,FALSE)</f>
        <v>#N/A</v>
      </c>
      <c r="B1288" s="90" t="e">
        <f>INDEX('NEW HIRE ROSTER'!$G:$G,MATCH(RAW!F1288,'NEW HIRE ROSTER'!$A:$A,0))</f>
        <v>#N/A</v>
      </c>
      <c r="C1288" s="90" t="e">
        <f>INDEX('NEW HIRE ROSTER'!$F:$F,MATCH(RAW!F1288,'NEW HIRE ROSTER'!$A:$A,0))</f>
        <v>#N/A</v>
      </c>
      <c r="D1288" s="90" t="e">
        <f>INDEX('Validation List'!$H:$H,MATCH(RAW!E1288,'Validation List'!$F:$F,0))</f>
        <v>#N/A</v>
      </c>
      <c r="G1288" s="90" t="e">
        <f>VLOOKUP(F1288,ML!C1272:D1870,2,FALSE)</f>
        <v>#N/A</v>
      </c>
      <c r="H1288" s="90" t="e">
        <f>VLOOKUP(F1288,ML!C1272:E1870,3,FALSE)</f>
        <v>#N/A</v>
      </c>
    </row>
    <row r="1289" spans="1:8" x14ac:dyDescent="0.35">
      <c r="A1289" s="90" t="e">
        <f>VLOOKUP(E1289,'Validation List'!F1290:G1685,2,FALSE)</f>
        <v>#N/A</v>
      </c>
      <c r="B1289" s="90" t="e">
        <f>INDEX('NEW HIRE ROSTER'!$G:$G,MATCH(RAW!F1289,'NEW HIRE ROSTER'!$A:$A,0))</f>
        <v>#N/A</v>
      </c>
      <c r="C1289" s="90" t="e">
        <f>INDEX('NEW HIRE ROSTER'!$F:$F,MATCH(RAW!F1289,'NEW HIRE ROSTER'!$A:$A,0))</f>
        <v>#N/A</v>
      </c>
      <c r="D1289" s="90" t="e">
        <f>INDEX('Validation List'!$H:$H,MATCH(RAW!E1289,'Validation List'!$F:$F,0))</f>
        <v>#N/A</v>
      </c>
      <c r="G1289" s="90" t="e">
        <f>VLOOKUP(F1289,ML!C1273:D1871,2,FALSE)</f>
        <v>#N/A</v>
      </c>
      <c r="H1289" s="90" t="e">
        <f>VLOOKUP(F1289,ML!C1273:E1871,3,FALSE)</f>
        <v>#N/A</v>
      </c>
    </row>
    <row r="1290" spans="1:8" x14ac:dyDescent="0.35">
      <c r="A1290" s="90" t="e">
        <f>VLOOKUP(E1290,'Validation List'!F1291:G1686,2,FALSE)</f>
        <v>#N/A</v>
      </c>
      <c r="B1290" s="90" t="e">
        <f>INDEX('NEW HIRE ROSTER'!$G:$G,MATCH(RAW!F1290,'NEW HIRE ROSTER'!$A:$A,0))</f>
        <v>#N/A</v>
      </c>
      <c r="C1290" s="90" t="e">
        <f>INDEX('NEW HIRE ROSTER'!$F:$F,MATCH(RAW!F1290,'NEW HIRE ROSTER'!$A:$A,0))</f>
        <v>#N/A</v>
      </c>
      <c r="D1290" s="90" t="e">
        <f>INDEX('Validation List'!$H:$H,MATCH(RAW!E1290,'Validation List'!$F:$F,0))</f>
        <v>#N/A</v>
      </c>
      <c r="G1290" s="90" t="e">
        <f>VLOOKUP(F1290,ML!C1274:D1872,2,FALSE)</f>
        <v>#N/A</v>
      </c>
      <c r="H1290" s="90" t="e">
        <f>VLOOKUP(F1290,ML!C1274:E1872,3,FALSE)</f>
        <v>#N/A</v>
      </c>
    </row>
    <row r="1291" spans="1:8" x14ac:dyDescent="0.35">
      <c r="A1291" s="90" t="e">
        <f>VLOOKUP(E1291,'Validation List'!F1292:G1687,2,FALSE)</f>
        <v>#N/A</v>
      </c>
      <c r="B1291" s="90" t="e">
        <f>INDEX('NEW HIRE ROSTER'!$G:$G,MATCH(RAW!F1291,'NEW HIRE ROSTER'!$A:$A,0))</f>
        <v>#N/A</v>
      </c>
      <c r="C1291" s="90" t="e">
        <f>INDEX('NEW HIRE ROSTER'!$F:$F,MATCH(RAW!F1291,'NEW HIRE ROSTER'!$A:$A,0))</f>
        <v>#N/A</v>
      </c>
      <c r="D1291" s="90" t="e">
        <f>INDEX('Validation List'!$H:$H,MATCH(RAW!E1291,'Validation List'!$F:$F,0))</f>
        <v>#N/A</v>
      </c>
      <c r="G1291" s="90" t="e">
        <f>VLOOKUP(F1291,ML!C1275:D1873,2,FALSE)</f>
        <v>#N/A</v>
      </c>
      <c r="H1291" s="90" t="e">
        <f>VLOOKUP(F1291,ML!C1275:E1873,3,FALSE)</f>
        <v>#N/A</v>
      </c>
    </row>
    <row r="1292" spans="1:8" x14ac:dyDescent="0.35">
      <c r="A1292" s="90" t="e">
        <f>VLOOKUP(E1292,'Validation List'!F1293:G1688,2,FALSE)</f>
        <v>#N/A</v>
      </c>
      <c r="B1292" s="90" t="e">
        <f>INDEX('NEW HIRE ROSTER'!$G:$G,MATCH(RAW!F1292,'NEW HIRE ROSTER'!$A:$A,0))</f>
        <v>#N/A</v>
      </c>
      <c r="C1292" s="90" t="e">
        <f>INDEX('NEW HIRE ROSTER'!$F:$F,MATCH(RAW!F1292,'NEW HIRE ROSTER'!$A:$A,0))</f>
        <v>#N/A</v>
      </c>
      <c r="D1292" s="90" t="e">
        <f>INDEX('Validation List'!$H:$H,MATCH(RAW!E1292,'Validation List'!$F:$F,0))</f>
        <v>#N/A</v>
      </c>
      <c r="G1292" s="90" t="e">
        <f>VLOOKUP(F1292,ML!C1276:D1874,2,FALSE)</f>
        <v>#N/A</v>
      </c>
      <c r="H1292" s="90" t="e">
        <f>VLOOKUP(F1292,ML!C1276:E1874,3,FALSE)</f>
        <v>#N/A</v>
      </c>
    </row>
    <row r="1293" spans="1:8" x14ac:dyDescent="0.35">
      <c r="A1293" s="90" t="e">
        <f>VLOOKUP(E1293,'Validation List'!F1294:G1689,2,FALSE)</f>
        <v>#N/A</v>
      </c>
      <c r="B1293" s="90" t="e">
        <f>INDEX('NEW HIRE ROSTER'!$G:$G,MATCH(RAW!F1293,'NEW HIRE ROSTER'!$A:$A,0))</f>
        <v>#N/A</v>
      </c>
      <c r="C1293" s="90" t="e">
        <f>INDEX('NEW HIRE ROSTER'!$F:$F,MATCH(RAW!F1293,'NEW HIRE ROSTER'!$A:$A,0))</f>
        <v>#N/A</v>
      </c>
      <c r="D1293" s="90" t="e">
        <f>INDEX('Validation List'!$H:$H,MATCH(RAW!E1293,'Validation List'!$F:$F,0))</f>
        <v>#N/A</v>
      </c>
      <c r="G1293" s="90" t="e">
        <f>VLOOKUP(F1293,ML!C1277:D1875,2,FALSE)</f>
        <v>#N/A</v>
      </c>
      <c r="H1293" s="90" t="e">
        <f>VLOOKUP(F1293,ML!C1277:E1875,3,FALSE)</f>
        <v>#N/A</v>
      </c>
    </row>
    <row r="1294" spans="1:8" x14ac:dyDescent="0.35">
      <c r="A1294" s="90" t="e">
        <f>VLOOKUP(E1294,'Validation List'!F1295:G1690,2,FALSE)</f>
        <v>#N/A</v>
      </c>
      <c r="B1294" s="90" t="e">
        <f>INDEX('NEW HIRE ROSTER'!$G:$G,MATCH(RAW!F1294,'NEW HIRE ROSTER'!$A:$A,0))</f>
        <v>#N/A</v>
      </c>
      <c r="C1294" s="90" t="e">
        <f>INDEX('NEW HIRE ROSTER'!$F:$F,MATCH(RAW!F1294,'NEW HIRE ROSTER'!$A:$A,0))</f>
        <v>#N/A</v>
      </c>
      <c r="D1294" s="90" t="e">
        <f>INDEX('Validation List'!$H:$H,MATCH(RAW!E1294,'Validation List'!$F:$F,0))</f>
        <v>#N/A</v>
      </c>
      <c r="G1294" s="90" t="e">
        <f>VLOOKUP(F1294,ML!C1278:D1876,2,FALSE)</f>
        <v>#N/A</v>
      </c>
      <c r="H1294" s="90" t="e">
        <f>VLOOKUP(F1294,ML!C1278:E1876,3,FALSE)</f>
        <v>#N/A</v>
      </c>
    </row>
    <row r="1295" spans="1:8" x14ac:dyDescent="0.35">
      <c r="A1295" s="90" t="e">
        <f>VLOOKUP(E1295,'Validation List'!F1296:G1691,2,FALSE)</f>
        <v>#N/A</v>
      </c>
      <c r="B1295" s="90" t="e">
        <f>INDEX('NEW HIRE ROSTER'!$G:$G,MATCH(RAW!F1295,'NEW HIRE ROSTER'!$A:$A,0))</f>
        <v>#N/A</v>
      </c>
      <c r="C1295" s="90" t="e">
        <f>INDEX('NEW HIRE ROSTER'!$F:$F,MATCH(RAW!F1295,'NEW HIRE ROSTER'!$A:$A,0))</f>
        <v>#N/A</v>
      </c>
      <c r="D1295" s="90" t="e">
        <f>INDEX('Validation List'!$H:$H,MATCH(RAW!E1295,'Validation List'!$F:$F,0))</f>
        <v>#N/A</v>
      </c>
      <c r="G1295" s="90" t="e">
        <f>VLOOKUP(F1295,ML!C1279:D1877,2,FALSE)</f>
        <v>#N/A</v>
      </c>
      <c r="H1295" s="90" t="e">
        <f>VLOOKUP(F1295,ML!C1279:E1877,3,FALSE)</f>
        <v>#N/A</v>
      </c>
    </row>
    <row r="1296" spans="1:8" x14ac:dyDescent="0.35">
      <c r="A1296" s="90" t="e">
        <f>VLOOKUP(E1296,'Validation List'!F1297:G1692,2,FALSE)</f>
        <v>#N/A</v>
      </c>
      <c r="B1296" s="90" t="e">
        <f>INDEX('NEW HIRE ROSTER'!$G:$G,MATCH(RAW!F1296,'NEW HIRE ROSTER'!$A:$A,0))</f>
        <v>#N/A</v>
      </c>
      <c r="C1296" s="90" t="e">
        <f>INDEX('NEW HIRE ROSTER'!$F:$F,MATCH(RAW!F1296,'NEW HIRE ROSTER'!$A:$A,0))</f>
        <v>#N/A</v>
      </c>
      <c r="D1296" s="90" t="e">
        <f>INDEX('Validation List'!$H:$H,MATCH(RAW!E1296,'Validation List'!$F:$F,0))</f>
        <v>#N/A</v>
      </c>
      <c r="G1296" s="90" t="e">
        <f>VLOOKUP(F1296,ML!C1280:D1878,2,FALSE)</f>
        <v>#N/A</v>
      </c>
      <c r="H1296" s="90" t="e">
        <f>VLOOKUP(F1296,ML!C1280:E1878,3,FALSE)</f>
        <v>#N/A</v>
      </c>
    </row>
    <row r="1297" spans="1:8" x14ac:dyDescent="0.35">
      <c r="A1297" s="90" t="e">
        <f>VLOOKUP(E1297,'Validation List'!F1298:G1693,2,FALSE)</f>
        <v>#N/A</v>
      </c>
      <c r="B1297" s="90" t="e">
        <f>INDEX('NEW HIRE ROSTER'!$G:$G,MATCH(RAW!F1297,'NEW HIRE ROSTER'!$A:$A,0))</f>
        <v>#N/A</v>
      </c>
      <c r="C1297" s="90" t="e">
        <f>INDEX('NEW HIRE ROSTER'!$F:$F,MATCH(RAW!F1297,'NEW HIRE ROSTER'!$A:$A,0))</f>
        <v>#N/A</v>
      </c>
      <c r="D1297" s="90" t="e">
        <f>INDEX('Validation List'!$H:$H,MATCH(RAW!E1297,'Validation List'!$F:$F,0))</f>
        <v>#N/A</v>
      </c>
      <c r="G1297" s="90" t="e">
        <f>VLOOKUP(F1297,ML!C1281:D1879,2,FALSE)</f>
        <v>#N/A</v>
      </c>
      <c r="H1297" s="90" t="e">
        <f>VLOOKUP(F1297,ML!C1281:E1879,3,FALSE)</f>
        <v>#N/A</v>
      </c>
    </row>
    <row r="1298" spans="1:8" x14ac:dyDescent="0.35">
      <c r="A1298" s="90" t="e">
        <f>VLOOKUP(E1298,'Validation List'!F1299:G1694,2,FALSE)</f>
        <v>#N/A</v>
      </c>
      <c r="B1298" s="90" t="e">
        <f>INDEX('NEW HIRE ROSTER'!$G:$G,MATCH(RAW!F1298,'NEW HIRE ROSTER'!$A:$A,0))</f>
        <v>#N/A</v>
      </c>
      <c r="C1298" s="90" t="e">
        <f>INDEX('NEW HIRE ROSTER'!$F:$F,MATCH(RAW!F1298,'NEW HIRE ROSTER'!$A:$A,0))</f>
        <v>#N/A</v>
      </c>
      <c r="D1298" s="90" t="e">
        <f>INDEX('Validation List'!$H:$H,MATCH(RAW!E1298,'Validation List'!$F:$F,0))</f>
        <v>#N/A</v>
      </c>
      <c r="G1298" s="90" t="e">
        <f>VLOOKUP(F1298,ML!C1282:D1880,2,FALSE)</f>
        <v>#N/A</v>
      </c>
      <c r="H1298" s="90" t="e">
        <f>VLOOKUP(F1298,ML!C1282:E1880,3,FALSE)</f>
        <v>#N/A</v>
      </c>
    </row>
    <row r="1299" spans="1:8" x14ac:dyDescent="0.35">
      <c r="A1299" s="90" t="e">
        <f>VLOOKUP(E1299,'Validation List'!F1300:G1695,2,FALSE)</f>
        <v>#N/A</v>
      </c>
      <c r="B1299" s="90" t="e">
        <f>INDEX('NEW HIRE ROSTER'!$G:$G,MATCH(RAW!F1299,'NEW HIRE ROSTER'!$A:$A,0))</f>
        <v>#N/A</v>
      </c>
      <c r="C1299" s="90" t="e">
        <f>INDEX('NEW HIRE ROSTER'!$F:$F,MATCH(RAW!F1299,'NEW HIRE ROSTER'!$A:$A,0))</f>
        <v>#N/A</v>
      </c>
      <c r="D1299" s="90" t="e">
        <f>INDEX('Validation List'!$H:$H,MATCH(RAW!E1299,'Validation List'!$F:$F,0))</f>
        <v>#N/A</v>
      </c>
      <c r="G1299" s="90" t="e">
        <f>VLOOKUP(F1299,ML!C1283:D1881,2,FALSE)</f>
        <v>#N/A</v>
      </c>
      <c r="H1299" s="90" t="e">
        <f>VLOOKUP(F1299,ML!C1283:E1881,3,FALSE)</f>
        <v>#N/A</v>
      </c>
    </row>
    <row r="1300" spans="1:8" x14ac:dyDescent="0.35">
      <c r="A1300" s="90" t="e">
        <f>VLOOKUP(E1300,'Validation List'!F1301:G1696,2,FALSE)</f>
        <v>#N/A</v>
      </c>
      <c r="B1300" s="90" t="e">
        <f>INDEX('NEW HIRE ROSTER'!$G:$G,MATCH(RAW!F1300,'NEW HIRE ROSTER'!$A:$A,0))</f>
        <v>#N/A</v>
      </c>
      <c r="C1300" s="90" t="e">
        <f>INDEX('NEW HIRE ROSTER'!$F:$F,MATCH(RAW!F1300,'NEW HIRE ROSTER'!$A:$A,0))</f>
        <v>#N/A</v>
      </c>
      <c r="D1300" s="90" t="e">
        <f>INDEX('Validation List'!$H:$H,MATCH(RAW!E1300,'Validation List'!$F:$F,0))</f>
        <v>#N/A</v>
      </c>
      <c r="G1300" s="90" t="e">
        <f>VLOOKUP(F1300,ML!C1284:D1882,2,FALSE)</f>
        <v>#N/A</v>
      </c>
      <c r="H1300" s="90" t="e">
        <f>VLOOKUP(F1300,ML!C1284:E1882,3,FALSE)</f>
        <v>#N/A</v>
      </c>
    </row>
    <row r="1301" spans="1:8" x14ac:dyDescent="0.35">
      <c r="A1301" s="90" t="e">
        <f>VLOOKUP(E1301,'Validation List'!F1302:G1697,2,FALSE)</f>
        <v>#N/A</v>
      </c>
      <c r="B1301" s="90" t="e">
        <f>INDEX('NEW HIRE ROSTER'!$G:$G,MATCH(RAW!F1301,'NEW HIRE ROSTER'!$A:$A,0))</f>
        <v>#N/A</v>
      </c>
      <c r="C1301" s="90" t="e">
        <f>INDEX('NEW HIRE ROSTER'!$F:$F,MATCH(RAW!F1301,'NEW HIRE ROSTER'!$A:$A,0))</f>
        <v>#N/A</v>
      </c>
      <c r="D1301" s="90" t="e">
        <f>INDEX('Validation List'!$H:$H,MATCH(RAW!E1301,'Validation List'!$F:$F,0))</f>
        <v>#N/A</v>
      </c>
      <c r="G1301" s="90" t="e">
        <f>VLOOKUP(F1301,ML!C1285:D1883,2,FALSE)</f>
        <v>#N/A</v>
      </c>
      <c r="H1301" s="90" t="e">
        <f>VLOOKUP(F1301,ML!C1285:E1883,3,FALSE)</f>
        <v>#N/A</v>
      </c>
    </row>
    <row r="1302" spans="1:8" x14ac:dyDescent="0.35">
      <c r="A1302" s="90" t="e">
        <f>VLOOKUP(E1302,'Validation List'!F1303:G1698,2,FALSE)</f>
        <v>#N/A</v>
      </c>
      <c r="B1302" s="90" t="e">
        <f>INDEX('NEW HIRE ROSTER'!$G:$G,MATCH(RAW!F1302,'NEW HIRE ROSTER'!$A:$A,0))</f>
        <v>#N/A</v>
      </c>
      <c r="C1302" s="90" t="e">
        <f>INDEX('NEW HIRE ROSTER'!$F:$F,MATCH(RAW!F1302,'NEW HIRE ROSTER'!$A:$A,0))</f>
        <v>#N/A</v>
      </c>
      <c r="D1302" s="90" t="e">
        <f>INDEX('Validation List'!$H:$H,MATCH(RAW!E1302,'Validation List'!$F:$F,0))</f>
        <v>#N/A</v>
      </c>
      <c r="G1302" s="90" t="e">
        <f>VLOOKUP(F1302,ML!C1286:D1884,2,FALSE)</f>
        <v>#N/A</v>
      </c>
      <c r="H1302" s="90" t="e">
        <f>VLOOKUP(F1302,ML!C1286:E1884,3,FALSE)</f>
        <v>#N/A</v>
      </c>
    </row>
    <row r="1303" spans="1:8" x14ac:dyDescent="0.35">
      <c r="A1303" s="90" t="e">
        <f>VLOOKUP(E1303,'Validation List'!F1304:G1699,2,FALSE)</f>
        <v>#N/A</v>
      </c>
      <c r="B1303" s="90" t="e">
        <f>INDEX('NEW HIRE ROSTER'!$G:$G,MATCH(RAW!F1303,'NEW HIRE ROSTER'!$A:$A,0))</f>
        <v>#N/A</v>
      </c>
      <c r="C1303" s="90" t="e">
        <f>INDEX('NEW HIRE ROSTER'!$F:$F,MATCH(RAW!F1303,'NEW HIRE ROSTER'!$A:$A,0))</f>
        <v>#N/A</v>
      </c>
      <c r="D1303" s="90" t="e">
        <f>INDEX('Validation List'!$H:$H,MATCH(RAW!E1303,'Validation List'!$F:$F,0))</f>
        <v>#N/A</v>
      </c>
      <c r="G1303" s="90" t="e">
        <f>VLOOKUP(F1303,ML!C1287:D1885,2,FALSE)</f>
        <v>#N/A</v>
      </c>
      <c r="H1303" s="90" t="e">
        <f>VLOOKUP(F1303,ML!C1325:E1911,3,FALSE)</f>
        <v>#N/A</v>
      </c>
    </row>
    <row r="1304" spans="1:8" x14ac:dyDescent="0.35">
      <c r="A1304" s="90" t="e">
        <f>VLOOKUP(E1304,'Validation List'!F1305:G1700,2,FALSE)</f>
        <v>#N/A</v>
      </c>
      <c r="B1304" s="90" t="e">
        <f>INDEX('NEW HIRE ROSTER'!$G:$G,MATCH(RAW!F1304,'NEW HIRE ROSTER'!$A:$A,0))</f>
        <v>#N/A</v>
      </c>
      <c r="C1304" s="90" t="e">
        <f>INDEX('NEW HIRE ROSTER'!$F:$F,MATCH(RAW!F1304,'NEW HIRE ROSTER'!$A:$A,0))</f>
        <v>#N/A</v>
      </c>
      <c r="D1304" s="90" t="e">
        <f>INDEX('Validation List'!$H:$H,MATCH(RAW!E1304,'Validation List'!$F:$F,0))</f>
        <v>#N/A</v>
      </c>
      <c r="G1304" s="90" t="e">
        <f>VLOOKUP(F1304,ML!C1288:D1886,2,FALSE)</f>
        <v>#N/A</v>
      </c>
      <c r="H1304" s="90" t="e">
        <f>VLOOKUP(F1304,ML!C1326:E1912,3,FALSE)</f>
        <v>#N/A</v>
      </c>
    </row>
    <row r="1305" spans="1:8" x14ac:dyDescent="0.35">
      <c r="A1305" s="90" t="e">
        <f>VLOOKUP(E1305,'Validation List'!F1306:G1701,2,FALSE)</f>
        <v>#N/A</v>
      </c>
      <c r="B1305" s="90" t="e">
        <f>INDEX('NEW HIRE ROSTER'!$G:$G,MATCH(RAW!F1305,'NEW HIRE ROSTER'!$A:$A,0))</f>
        <v>#N/A</v>
      </c>
      <c r="C1305" s="90" t="e">
        <f>INDEX('NEW HIRE ROSTER'!$F:$F,MATCH(RAW!F1305,'NEW HIRE ROSTER'!$A:$A,0))</f>
        <v>#N/A</v>
      </c>
      <c r="D1305" s="90" t="e">
        <f>INDEX('Validation List'!$H:$H,MATCH(RAW!E1305,'Validation List'!$F:$F,0))</f>
        <v>#N/A</v>
      </c>
      <c r="G1305" s="90" t="e">
        <f>VLOOKUP(F1305,ML!C1289:D1887,2,FALSE)</f>
        <v>#N/A</v>
      </c>
      <c r="H1305" s="90" t="e">
        <f>VLOOKUP(F1305,ML!C1327:E1913,3,FALSE)</f>
        <v>#N/A</v>
      </c>
    </row>
    <row r="1306" spans="1:8" x14ac:dyDescent="0.35">
      <c r="A1306" s="90" t="e">
        <f>VLOOKUP(E1306,'Validation List'!F1307:G1702,2,FALSE)</f>
        <v>#N/A</v>
      </c>
      <c r="B1306" s="90" t="e">
        <f>INDEX('NEW HIRE ROSTER'!$G:$G,MATCH(RAW!F1306,'NEW HIRE ROSTER'!$A:$A,0))</f>
        <v>#N/A</v>
      </c>
      <c r="C1306" s="90" t="e">
        <f>INDEX('NEW HIRE ROSTER'!$F:$F,MATCH(RAW!F1306,'NEW HIRE ROSTER'!$A:$A,0))</f>
        <v>#N/A</v>
      </c>
      <c r="D1306" s="90" t="e">
        <f>INDEX('Validation List'!$H:$H,MATCH(RAW!E1306,'Validation List'!$F:$F,0))</f>
        <v>#N/A</v>
      </c>
      <c r="G1306" s="90" t="e">
        <f>VLOOKUP(F1306,ML!C1290:D1888,2,FALSE)</f>
        <v>#N/A</v>
      </c>
      <c r="H1306" s="90" t="e">
        <f>VLOOKUP(F1306,ML!C1328:E1914,3,FALSE)</f>
        <v>#N/A</v>
      </c>
    </row>
    <row r="1307" spans="1:8" x14ac:dyDescent="0.35">
      <c r="A1307" s="90" t="e">
        <f>VLOOKUP(E1307,'Validation List'!F1308:G1703,2,FALSE)</f>
        <v>#N/A</v>
      </c>
      <c r="B1307" s="90" t="e">
        <f>INDEX('NEW HIRE ROSTER'!$G:$G,MATCH(RAW!F1307,'NEW HIRE ROSTER'!$A:$A,0))</f>
        <v>#N/A</v>
      </c>
      <c r="C1307" s="90" t="e">
        <f>INDEX('NEW HIRE ROSTER'!$F:$F,MATCH(RAW!F1307,'NEW HIRE ROSTER'!$A:$A,0))</f>
        <v>#N/A</v>
      </c>
      <c r="D1307" s="90" t="e">
        <f>INDEX('Validation List'!$H:$H,MATCH(RAW!E1307,'Validation List'!$F:$F,0))</f>
        <v>#N/A</v>
      </c>
      <c r="G1307" s="90" t="e">
        <f>VLOOKUP(F1307,ML!C1291:D1889,2,FALSE)</f>
        <v>#N/A</v>
      </c>
      <c r="H1307" s="90" t="e">
        <f>VLOOKUP(F1307,ML!C1329:E1915,3,FALSE)</f>
        <v>#N/A</v>
      </c>
    </row>
    <row r="1308" spans="1:8" x14ac:dyDescent="0.35">
      <c r="A1308" s="90" t="e">
        <f>VLOOKUP(E1308,'Validation List'!F1309:G1704,2,FALSE)</f>
        <v>#N/A</v>
      </c>
      <c r="B1308" s="90" t="e">
        <f>INDEX('NEW HIRE ROSTER'!$G:$G,MATCH(RAW!F1308,'NEW HIRE ROSTER'!$A:$A,0))</f>
        <v>#N/A</v>
      </c>
      <c r="C1308" s="90" t="e">
        <f>INDEX('NEW HIRE ROSTER'!$F:$F,MATCH(RAW!F1308,'NEW HIRE ROSTER'!$A:$A,0))</f>
        <v>#N/A</v>
      </c>
      <c r="D1308" s="90" t="e">
        <f>INDEX('Validation List'!$H:$H,MATCH(RAW!E1308,'Validation List'!$F:$F,0))</f>
        <v>#N/A</v>
      </c>
      <c r="G1308" s="90" t="e">
        <f>VLOOKUP(F1308,ML!C1292:D1890,2,FALSE)</f>
        <v>#N/A</v>
      </c>
      <c r="H1308" s="90" t="e">
        <f>VLOOKUP(F1308,ML!C1330:E1916,3,FALSE)</f>
        <v>#N/A</v>
      </c>
    </row>
  </sheetData>
  <conditionalFormatting sqref="L1:L1048576">
    <cfRule type="duplicateValues" dxfId="1" priority="1"/>
  </conditionalFormatting>
  <conditionalFormatting sqref="N2:XFD1048576">
    <cfRule type="cellIs" dxfId="0" priority="2" operator="equal">
      <formula>1</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r:uid="{685CA223-E57F-4400-84A8-3297622B1979}">
          <x14:formula1>
            <xm:f>ML!$C$2:$C$588</xm:f>
          </x14:formula1>
          <xm:sqref>F2:F7 F9:F1308</xm:sqref>
        </x14:dataValidation>
        <x14:dataValidation type="list" allowBlank="1" showInputMessage="1" showErrorMessage="1" xr:uid="{BF8C5EEE-BCB5-447A-96DA-83C0FF496D3F}">
          <x14:formula1>
            <xm:f>ML!$C$2:$C$600</xm:f>
          </x14:formula1>
          <xm:sqref>F8</xm:sqref>
        </x14:dataValidation>
        <x14:dataValidation type="list" allowBlank="1" showInputMessage="1" showErrorMessage="1" xr:uid="{92283DDC-6319-4DFA-B500-8BFE478080C2}">
          <x14:formula1>
            <xm:f>'Validation List'!$F$1:$F$396</xm:f>
          </x14:formula1>
          <xm:sqref>E2:E1048576</xm:sqref>
        </x14:dataValidation>
        <x14:dataValidation type="list" allowBlank="1" showInputMessage="1" showErrorMessage="1" xr:uid="{A0C34678-91C2-4F80-B7D7-AD19C294AD62}">
          <x14:formula1>
            <xm:f>'Validation List'!$H$1:$H$5</xm:f>
          </x14:formula1>
          <xm:sqref>J2:J1048576</xm:sqref>
        </x14:dataValidation>
        <x14:dataValidation type="list" allowBlank="1" showInputMessage="1" showErrorMessage="1" xr:uid="{C4C9C6D9-54AD-4995-A04E-EB036EFFE25F}">
          <x14:formula1>
            <xm:f>'Validation List'!$B$1:$B$77</xm:f>
          </x14:formula1>
          <xm:sqref>I2:I1048576</xm:sqref>
        </x14:dataValidation>
        <x14:dataValidation type="list" allowBlank="1" showInputMessage="1" showErrorMessage="1" xr:uid="{8032A3E0-EEF6-4276-B8A4-FB5CF86FF084}">
          <x14:formula1>
            <xm:f>'Validation List'!$C$1:$C$24</xm:f>
          </x14:formula1>
          <xm:sqref>K1:K1048576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CB246-E765-4EAE-8C2D-BDD1E43B55E7}">
  <dimension ref="A1:F2516"/>
  <sheetViews>
    <sheetView zoomScale="55" zoomScaleNormal="55" workbookViewId="0">
      <selection activeCell="F16" sqref="F16"/>
    </sheetView>
  </sheetViews>
  <sheetFormatPr defaultColWidth="8.7265625" defaultRowHeight="18.5" x14ac:dyDescent="0.45"/>
  <cols>
    <col min="1" max="1" width="132.1796875" style="96" customWidth="1"/>
    <col min="2" max="2" width="21.54296875" style="97" bestFit="1" customWidth="1"/>
    <col min="3" max="3" width="14.453125" style="98" customWidth="1"/>
    <col min="4" max="4" width="31.36328125" style="98" bestFit="1" customWidth="1"/>
    <col min="5" max="5" width="21.08984375" style="98" bestFit="1" customWidth="1"/>
    <col min="6" max="6" width="22.36328125" style="98" bestFit="1" customWidth="1"/>
    <col min="7" max="7" width="1.81640625" style="98" bestFit="1" customWidth="1"/>
    <col min="8" max="8" width="6.81640625" style="98" bestFit="1" customWidth="1"/>
    <col min="9" max="10" width="10.7265625" style="98" bestFit="1" customWidth="1"/>
    <col min="11" max="16384" width="8.7265625" style="98"/>
  </cols>
  <sheetData>
    <row r="1" spans="1:6" x14ac:dyDescent="0.45">
      <c r="A1" s="155" t="s">
        <v>2068</v>
      </c>
      <c r="B1" s="156" t="s">
        <v>2070</v>
      </c>
    </row>
    <row r="2" spans="1:6" x14ac:dyDescent="0.45">
      <c r="A2" s="155" t="s">
        <v>2063</v>
      </c>
      <c r="B2" s="156" t="s">
        <v>2067</v>
      </c>
    </row>
    <row r="3" spans="1:6" x14ac:dyDescent="0.45">
      <c r="A3" s="155" t="s">
        <v>311</v>
      </c>
      <c r="B3" s="156" t="s">
        <v>2282</v>
      </c>
    </row>
    <row r="4" spans="1:6" x14ac:dyDescent="0.45">
      <c r="A4" s="155" t="s">
        <v>108</v>
      </c>
      <c r="B4" s="156" t="s">
        <v>2067</v>
      </c>
    </row>
    <row r="5" spans="1:6" x14ac:dyDescent="0.45">
      <c r="A5" s="155" t="s">
        <v>2376</v>
      </c>
      <c r="B5" s="156" t="s">
        <v>2378</v>
      </c>
    </row>
    <row r="6" spans="1:6" x14ac:dyDescent="0.45">
      <c r="A6" s="55"/>
      <c r="B6"/>
      <c r="D6" s="158" t="s">
        <v>2083</v>
      </c>
      <c r="E6" s="97" t="s">
        <v>2084</v>
      </c>
      <c r="F6" s="97" t="s">
        <v>2207</v>
      </c>
    </row>
    <row r="7" spans="1:6" x14ac:dyDescent="0.45">
      <c r="A7" s="95" t="s">
        <v>2085</v>
      </c>
      <c r="B7" s="94"/>
      <c r="D7" s="92" t="s">
        <v>1489</v>
      </c>
      <c r="E7" s="97">
        <v>17</v>
      </c>
      <c r="F7" s="99">
        <v>0.97588235294117642</v>
      </c>
    </row>
    <row r="8" spans="1:6" x14ac:dyDescent="0.45">
      <c r="A8" s="93" t="s">
        <v>2188</v>
      </c>
      <c r="B8" s="94">
        <v>3</v>
      </c>
      <c r="D8" s="92" t="s">
        <v>1430</v>
      </c>
      <c r="E8" s="97">
        <v>2</v>
      </c>
      <c r="F8" s="99">
        <v>0.98499999999999999</v>
      </c>
    </row>
    <row r="9" spans="1:6" x14ac:dyDescent="0.45">
      <c r="A9" s="93" t="s">
        <v>2189</v>
      </c>
      <c r="B9" s="94">
        <v>2</v>
      </c>
      <c r="D9" s="92" t="s">
        <v>1476</v>
      </c>
      <c r="E9" s="97">
        <v>13</v>
      </c>
      <c r="F9" s="99">
        <v>0.95846153846153848</v>
      </c>
    </row>
    <row r="10" spans="1:6" x14ac:dyDescent="0.45">
      <c r="A10" s="93" t="s">
        <v>2094</v>
      </c>
      <c r="B10" s="94">
        <v>0</v>
      </c>
      <c r="D10" s="92" t="s">
        <v>1532</v>
      </c>
      <c r="E10" s="97">
        <v>43</v>
      </c>
      <c r="F10" s="99">
        <v>0.96116279069767441</v>
      </c>
    </row>
    <row r="11" spans="1:6" x14ac:dyDescent="0.45">
      <c r="A11" s="93" t="s">
        <v>2193</v>
      </c>
      <c r="B11" s="94">
        <v>0</v>
      </c>
      <c r="D11" s="92" t="s">
        <v>447</v>
      </c>
      <c r="E11" s="97">
        <v>4</v>
      </c>
      <c r="F11" s="99">
        <v>1</v>
      </c>
    </row>
    <row r="12" spans="1:6" ht="37" x14ac:dyDescent="0.45">
      <c r="A12" s="93" t="s">
        <v>2184</v>
      </c>
      <c r="B12" s="94">
        <v>0</v>
      </c>
      <c r="D12" s="92" t="s">
        <v>2082</v>
      </c>
      <c r="E12" s="97">
        <v>79</v>
      </c>
      <c r="F12" s="99">
        <v>0.96645569620253158</v>
      </c>
    </row>
    <row r="13" spans="1:6" x14ac:dyDescent="0.45">
      <c r="A13" s="93" t="s">
        <v>2206</v>
      </c>
      <c r="B13" s="94">
        <v>1</v>
      </c>
      <c r="D13"/>
      <c r="E13"/>
      <c r="F13"/>
    </row>
    <row r="14" spans="1:6" ht="37" x14ac:dyDescent="0.45">
      <c r="A14" s="93" t="s">
        <v>2178</v>
      </c>
      <c r="B14" s="94">
        <v>0</v>
      </c>
    </row>
    <row r="15" spans="1:6" x14ac:dyDescent="0.45">
      <c r="A15" s="93" t="s">
        <v>2121</v>
      </c>
      <c r="B15" s="94">
        <v>0</v>
      </c>
    </row>
    <row r="16" spans="1:6" x14ac:dyDescent="0.45">
      <c r="A16" s="93" t="s">
        <v>2186</v>
      </c>
      <c r="B16" s="94">
        <v>0</v>
      </c>
    </row>
    <row r="17" spans="1:6" x14ac:dyDescent="0.45">
      <c r="A17" s="93" t="s">
        <v>2191</v>
      </c>
      <c r="B17" s="94">
        <v>0</v>
      </c>
    </row>
    <row r="18" spans="1:6" x14ac:dyDescent="0.45">
      <c r="A18" s="93" t="s">
        <v>2197</v>
      </c>
      <c r="B18" s="94">
        <v>0</v>
      </c>
    </row>
    <row r="19" spans="1:6" x14ac:dyDescent="0.45">
      <c r="A19" s="93" t="s">
        <v>2175</v>
      </c>
      <c r="B19" s="94">
        <v>0</v>
      </c>
    </row>
    <row r="20" spans="1:6" x14ac:dyDescent="0.45">
      <c r="A20" s="93" t="s">
        <v>2176</v>
      </c>
      <c r="B20" s="94">
        <v>0</v>
      </c>
    </row>
    <row r="21" spans="1:6" x14ac:dyDescent="0.45">
      <c r="A21" s="93" t="s">
        <v>2177</v>
      </c>
      <c r="B21" s="94">
        <v>0</v>
      </c>
    </row>
    <row r="22" spans="1:6" x14ac:dyDescent="0.45">
      <c r="A22" s="93" t="s">
        <v>2179</v>
      </c>
      <c r="B22" s="94">
        <v>0</v>
      </c>
    </row>
    <row r="23" spans="1:6" x14ac:dyDescent="0.45">
      <c r="A23" s="93" t="s">
        <v>2180</v>
      </c>
      <c r="B23" s="94">
        <v>0</v>
      </c>
    </row>
    <row r="24" spans="1:6" x14ac:dyDescent="0.45">
      <c r="A24" s="93" t="s">
        <v>2181</v>
      </c>
      <c r="B24" s="94">
        <v>0</v>
      </c>
    </row>
    <row r="25" spans="1:6" x14ac:dyDescent="0.45">
      <c r="A25" s="93" t="s">
        <v>2182</v>
      </c>
      <c r="B25" s="94">
        <v>0</v>
      </c>
    </row>
    <row r="26" spans="1:6" x14ac:dyDescent="0.45">
      <c r="A26" s="93" t="s">
        <v>2185</v>
      </c>
      <c r="B26" s="94">
        <v>0</v>
      </c>
    </row>
    <row r="27" spans="1:6" x14ac:dyDescent="0.45">
      <c r="A27" s="93" t="s">
        <v>2187</v>
      </c>
      <c r="B27" s="94">
        <v>0</v>
      </c>
      <c r="D27"/>
      <c r="E27"/>
      <c r="F27"/>
    </row>
    <row r="28" spans="1:6" x14ac:dyDescent="0.45">
      <c r="A28" s="93" t="s">
        <v>2190</v>
      </c>
      <c r="B28" s="94">
        <v>0</v>
      </c>
      <c r="D28"/>
      <c r="E28"/>
      <c r="F28"/>
    </row>
    <row r="29" spans="1:6" x14ac:dyDescent="0.45">
      <c r="A29" s="93" t="s">
        <v>2192</v>
      </c>
      <c r="B29" s="94">
        <v>0</v>
      </c>
      <c r="D29"/>
      <c r="E29"/>
      <c r="F29"/>
    </row>
    <row r="30" spans="1:6" x14ac:dyDescent="0.45">
      <c r="A30" s="93" t="s">
        <v>2194</v>
      </c>
      <c r="B30" s="94">
        <v>0</v>
      </c>
      <c r="D30"/>
      <c r="E30"/>
      <c r="F30"/>
    </row>
    <row r="31" spans="1:6" x14ac:dyDescent="0.45">
      <c r="A31" s="93" t="s">
        <v>2174</v>
      </c>
      <c r="B31" s="94">
        <v>0</v>
      </c>
      <c r="D31"/>
      <c r="E31"/>
      <c r="F31"/>
    </row>
    <row r="32" spans="1:6" x14ac:dyDescent="0.45">
      <c r="A32" s="93" t="s">
        <v>2195</v>
      </c>
      <c r="B32" s="94">
        <v>0</v>
      </c>
      <c r="D32"/>
      <c r="E32"/>
      <c r="F32"/>
    </row>
    <row r="33" spans="1:6" x14ac:dyDescent="0.45">
      <c r="A33" s="93" t="s">
        <v>2196</v>
      </c>
      <c r="B33" s="94">
        <v>0</v>
      </c>
      <c r="D33"/>
      <c r="E33"/>
      <c r="F33"/>
    </row>
    <row r="34" spans="1:6" x14ac:dyDescent="0.45">
      <c r="A34" s="93" t="s">
        <v>2198</v>
      </c>
      <c r="B34" s="94">
        <v>0</v>
      </c>
      <c r="D34"/>
      <c r="E34"/>
      <c r="F34"/>
    </row>
    <row r="35" spans="1:6" x14ac:dyDescent="0.45">
      <c r="A35" s="93" t="s">
        <v>2199</v>
      </c>
      <c r="B35" s="94">
        <v>0</v>
      </c>
      <c r="D35"/>
      <c r="E35"/>
      <c r="F35"/>
    </row>
    <row r="36" spans="1:6" x14ac:dyDescent="0.45">
      <c r="A36" s="93" t="s">
        <v>2200</v>
      </c>
      <c r="B36" s="94">
        <v>0</v>
      </c>
      <c r="D36"/>
      <c r="E36"/>
      <c r="F36"/>
    </row>
    <row r="37" spans="1:6" x14ac:dyDescent="0.45">
      <c r="A37" s="93" t="s">
        <v>2201</v>
      </c>
      <c r="B37" s="94">
        <v>0</v>
      </c>
      <c r="D37"/>
      <c r="E37"/>
      <c r="F37"/>
    </row>
    <row r="38" spans="1:6" x14ac:dyDescent="0.45">
      <c r="A38" s="93" t="s">
        <v>2202</v>
      </c>
      <c r="B38" s="94">
        <v>0</v>
      </c>
      <c r="D38"/>
      <c r="E38"/>
      <c r="F38"/>
    </row>
    <row r="39" spans="1:6" x14ac:dyDescent="0.45">
      <c r="A39" s="93" t="s">
        <v>2203</v>
      </c>
      <c r="B39" s="94">
        <v>0</v>
      </c>
      <c r="D39"/>
      <c r="E39"/>
      <c r="F39"/>
    </row>
    <row r="40" spans="1:6" x14ac:dyDescent="0.45">
      <c r="A40" s="93" t="s">
        <v>2204</v>
      </c>
      <c r="B40" s="94">
        <v>0</v>
      </c>
      <c r="D40"/>
      <c r="E40"/>
      <c r="F40"/>
    </row>
    <row r="41" spans="1:6" x14ac:dyDescent="0.45">
      <c r="A41" s="93" t="s">
        <v>2205</v>
      </c>
      <c r="B41" s="94">
        <v>0</v>
      </c>
      <c r="D41"/>
      <c r="E41"/>
      <c r="F41"/>
    </row>
    <row r="42" spans="1:6" x14ac:dyDescent="0.45">
      <c r="A42" s="93" t="s">
        <v>2469</v>
      </c>
      <c r="B42" s="94">
        <v>0</v>
      </c>
      <c r="D42"/>
      <c r="E42"/>
      <c r="F42"/>
    </row>
    <row r="43" spans="1:6" x14ac:dyDescent="0.45">
      <c r="A43" s="93" t="s">
        <v>2471</v>
      </c>
      <c r="B43" s="94">
        <v>0</v>
      </c>
      <c r="D43"/>
      <c r="E43"/>
      <c r="F43"/>
    </row>
    <row r="44" spans="1:6" x14ac:dyDescent="0.45">
      <c r="A44" s="93" t="s">
        <v>2473</v>
      </c>
      <c r="B44" s="94">
        <v>0</v>
      </c>
      <c r="D44"/>
      <c r="E44"/>
      <c r="F44"/>
    </row>
    <row r="45" spans="1:6" x14ac:dyDescent="0.45">
      <c r="A45" s="93" t="s">
        <v>2474</v>
      </c>
      <c r="B45" s="94">
        <v>0</v>
      </c>
    </row>
    <row r="46" spans="1:6" x14ac:dyDescent="0.45">
      <c r="A46" s="157" t="s">
        <v>2567</v>
      </c>
      <c r="B46" s="94">
        <v>0</v>
      </c>
    </row>
    <row r="47" spans="1:6" x14ac:dyDescent="0.45">
      <c r="A47" s="157" t="s">
        <v>2568</v>
      </c>
      <c r="B47" s="94">
        <v>0</v>
      </c>
    </row>
    <row r="48" spans="1:6" x14ac:dyDescent="0.45">
      <c r="A48" s="157" t="s">
        <v>2569</v>
      </c>
      <c r="B48" s="94">
        <v>0</v>
      </c>
    </row>
    <row r="49" spans="1:2" x14ac:dyDescent="0.45">
      <c r="A49" s="157" t="s">
        <v>2570</v>
      </c>
      <c r="B49" s="94">
        <v>0</v>
      </c>
    </row>
    <row r="50" spans="1:2" x14ac:dyDescent="0.45">
      <c r="A50" s="157" t="s">
        <v>2571</v>
      </c>
      <c r="B50" s="94">
        <v>1</v>
      </c>
    </row>
    <row r="51" spans="1:2" x14ac:dyDescent="0.45">
      <c r="A51" s="157" t="s">
        <v>2572</v>
      </c>
      <c r="B51" s="94">
        <v>0</v>
      </c>
    </row>
    <row r="52" spans="1:2" x14ac:dyDescent="0.45">
      <c r="A52" s="157" t="s">
        <v>2573</v>
      </c>
      <c r="B52" s="94">
        <v>0</v>
      </c>
    </row>
    <row r="53" spans="1:2" x14ac:dyDescent="0.45">
      <c r="A53" s="157" t="s">
        <v>2574</v>
      </c>
      <c r="B53" s="94">
        <v>7</v>
      </c>
    </row>
    <row r="54" spans="1:2" x14ac:dyDescent="0.45">
      <c r="A54" s="157" t="s">
        <v>2575</v>
      </c>
      <c r="B54" s="94">
        <v>0</v>
      </c>
    </row>
    <row r="55" spans="1:2" x14ac:dyDescent="0.45">
      <c r="A55" s="157" t="s">
        <v>2576</v>
      </c>
      <c r="B55" s="94">
        <v>0</v>
      </c>
    </row>
    <row r="56" spans="1:2" x14ac:dyDescent="0.45">
      <c r="A56" s="157" t="s">
        <v>2577</v>
      </c>
      <c r="B56" s="94">
        <v>0</v>
      </c>
    </row>
    <row r="57" spans="1:2" x14ac:dyDescent="0.45">
      <c r="A57" s="157" t="s">
        <v>2578</v>
      </c>
      <c r="B57" s="94">
        <v>0</v>
      </c>
    </row>
    <row r="58" spans="1:2" x14ac:dyDescent="0.45">
      <c r="A58" s="157" t="s">
        <v>2579</v>
      </c>
      <c r="B58" s="94">
        <v>0</v>
      </c>
    </row>
    <row r="59" spans="1:2" x14ac:dyDescent="0.45">
      <c r="A59" s="157" t="s">
        <v>2580</v>
      </c>
      <c r="B59" s="94">
        <v>0</v>
      </c>
    </row>
    <row r="60" spans="1:2" x14ac:dyDescent="0.45">
      <c r="A60" s="157" t="s">
        <v>2581</v>
      </c>
      <c r="B60" s="94">
        <v>0</v>
      </c>
    </row>
    <row r="61" spans="1:2" x14ac:dyDescent="0.45">
      <c r="A61" s="157" t="s">
        <v>2582</v>
      </c>
      <c r="B61" s="94">
        <v>0</v>
      </c>
    </row>
    <row r="62" spans="1:2" x14ac:dyDescent="0.45">
      <c r="A62" s="157" t="s">
        <v>2583</v>
      </c>
      <c r="B62" s="94">
        <v>0</v>
      </c>
    </row>
    <row r="63" spans="1:2" x14ac:dyDescent="0.45">
      <c r="A63" s="157" t="s">
        <v>2584</v>
      </c>
      <c r="B63" s="94">
        <v>0</v>
      </c>
    </row>
    <row r="64" spans="1:2" x14ac:dyDescent="0.45">
      <c r="A64" s="157" t="s">
        <v>2585</v>
      </c>
      <c r="B64" s="94">
        <v>0</v>
      </c>
    </row>
    <row r="65" spans="1:2" x14ac:dyDescent="0.45">
      <c r="A65" s="157" t="s">
        <v>2586</v>
      </c>
      <c r="B65" s="94">
        <v>0</v>
      </c>
    </row>
    <row r="66" spans="1:2" x14ac:dyDescent="0.45">
      <c r="A66" s="157" t="s">
        <v>2587</v>
      </c>
      <c r="B66" s="94">
        <v>0</v>
      </c>
    </row>
    <row r="67" spans="1:2" x14ac:dyDescent="0.45">
      <c r="A67" s="157" t="s">
        <v>2588</v>
      </c>
      <c r="B67" s="94">
        <v>0</v>
      </c>
    </row>
    <row r="68" spans="1:2" x14ac:dyDescent="0.45">
      <c r="A68" s="157" t="s">
        <v>2589</v>
      </c>
      <c r="B68" s="94">
        <v>0</v>
      </c>
    </row>
    <row r="69" spans="1:2" x14ac:dyDescent="0.45">
      <c r="A69" s="157" t="s">
        <v>2590</v>
      </c>
      <c r="B69" s="94">
        <v>0</v>
      </c>
    </row>
    <row r="70" spans="1:2" x14ac:dyDescent="0.45">
      <c r="A70" s="157" t="s">
        <v>2591</v>
      </c>
      <c r="B70" s="94">
        <v>0</v>
      </c>
    </row>
    <row r="71" spans="1:2" x14ac:dyDescent="0.45">
      <c r="A71" s="157" t="s">
        <v>2592</v>
      </c>
      <c r="B71" s="94">
        <v>0</v>
      </c>
    </row>
    <row r="72" spans="1:2" x14ac:dyDescent="0.45">
      <c r="A72" s="157" t="s">
        <v>2593</v>
      </c>
      <c r="B72" s="94">
        <v>0</v>
      </c>
    </row>
    <row r="73" spans="1:2" x14ac:dyDescent="0.45">
      <c r="A73" s="157" t="s">
        <v>2594</v>
      </c>
      <c r="B73" s="94">
        <v>0</v>
      </c>
    </row>
    <row r="74" spans="1:2" x14ac:dyDescent="0.45">
      <c r="A74" s="157" t="s">
        <v>2595</v>
      </c>
      <c r="B74" s="94">
        <v>0</v>
      </c>
    </row>
    <row r="75" spans="1:2" x14ac:dyDescent="0.45">
      <c r="A75" s="157" t="s">
        <v>2596</v>
      </c>
      <c r="B75" s="94">
        <v>0</v>
      </c>
    </row>
    <row r="76" spans="1:2" x14ac:dyDescent="0.45">
      <c r="A76" s="157" t="s">
        <v>2597</v>
      </c>
      <c r="B76" s="94">
        <v>0</v>
      </c>
    </row>
    <row r="77" spans="1:2" x14ac:dyDescent="0.45">
      <c r="A77" s="157" t="s">
        <v>2598</v>
      </c>
      <c r="B77" s="94">
        <v>0</v>
      </c>
    </row>
    <row r="78" spans="1:2" x14ac:dyDescent="0.45">
      <c r="A78" s="157" t="s">
        <v>2599</v>
      </c>
      <c r="B78" s="94">
        <v>0</v>
      </c>
    </row>
    <row r="79" spans="1:2" x14ac:dyDescent="0.45">
      <c r="A79" s="157" t="s">
        <v>2600</v>
      </c>
      <c r="B79" s="94">
        <v>0</v>
      </c>
    </row>
    <row r="80" spans="1:2" x14ac:dyDescent="0.45">
      <c r="A80" s="157" t="s">
        <v>2601</v>
      </c>
      <c r="B80" s="94">
        <v>0</v>
      </c>
    </row>
    <row r="81" spans="1:2" x14ac:dyDescent="0.45">
      <c r="A81" s="157" t="s">
        <v>2602</v>
      </c>
      <c r="B81" s="94">
        <v>0</v>
      </c>
    </row>
    <row r="82" spans="1:2" x14ac:dyDescent="0.45">
      <c r="A82" s="157" t="s">
        <v>2603</v>
      </c>
      <c r="B82" s="94">
        <v>0</v>
      </c>
    </row>
    <row r="83" spans="1:2" x14ac:dyDescent="0.45">
      <c r="A83" s="157" t="s">
        <v>2604</v>
      </c>
      <c r="B83" s="94">
        <v>0</v>
      </c>
    </row>
    <row r="84" spans="1:2" x14ac:dyDescent="0.45">
      <c r="A84" s="157" t="s">
        <v>2605</v>
      </c>
      <c r="B84" s="94">
        <v>0</v>
      </c>
    </row>
    <row r="85" spans="1:2" x14ac:dyDescent="0.45">
      <c r="A85" s="157" t="s">
        <v>2606</v>
      </c>
      <c r="B85" s="94">
        <v>0</v>
      </c>
    </row>
    <row r="86" spans="1:2" x14ac:dyDescent="0.45">
      <c r="A86" s="157" t="s">
        <v>2607</v>
      </c>
      <c r="B86" s="94">
        <v>0</v>
      </c>
    </row>
    <row r="87" spans="1:2" x14ac:dyDescent="0.45">
      <c r="A87" s="157" t="s">
        <v>2470</v>
      </c>
      <c r="B87" s="94">
        <v>0</v>
      </c>
    </row>
    <row r="88" spans="1:2" x14ac:dyDescent="0.45">
      <c r="A88" s="157" t="s">
        <v>2608</v>
      </c>
      <c r="B88" s="94">
        <v>0</v>
      </c>
    </row>
    <row r="89" spans="1:2" x14ac:dyDescent="0.45">
      <c r="A89" s="157" t="s">
        <v>2609</v>
      </c>
      <c r="B89" s="94">
        <v>0</v>
      </c>
    </row>
    <row r="90" spans="1:2" x14ac:dyDescent="0.45">
      <c r="A90" s="157" t="s">
        <v>2610</v>
      </c>
      <c r="B90" s="94">
        <v>0</v>
      </c>
    </row>
    <row r="91" spans="1:2" x14ac:dyDescent="0.45">
      <c r="A91" s="157" t="s">
        <v>2611</v>
      </c>
      <c r="B91" s="94">
        <v>0</v>
      </c>
    </row>
    <row r="92" spans="1:2" x14ac:dyDescent="0.45">
      <c r="A92" s="157" t="s">
        <v>2612</v>
      </c>
      <c r="B92" s="94">
        <v>0</v>
      </c>
    </row>
    <row r="93" spans="1:2" x14ac:dyDescent="0.45">
      <c r="A93" s="157" t="s">
        <v>2613</v>
      </c>
      <c r="B93" s="94">
        <v>0</v>
      </c>
    </row>
    <row r="94" spans="1:2" x14ac:dyDescent="0.45">
      <c r="A94" s="157" t="s">
        <v>2614</v>
      </c>
      <c r="B94" s="94">
        <v>0</v>
      </c>
    </row>
    <row r="95" spans="1:2" x14ac:dyDescent="0.45">
      <c r="A95" s="157" t="s">
        <v>2615</v>
      </c>
      <c r="B95" s="94">
        <v>0</v>
      </c>
    </row>
    <row r="96" spans="1:2" x14ac:dyDescent="0.45">
      <c r="A96" s="157" t="s">
        <v>2616</v>
      </c>
      <c r="B96" s="94">
        <v>0</v>
      </c>
    </row>
    <row r="97" spans="1:2" x14ac:dyDescent="0.45">
      <c r="A97" s="157" t="s">
        <v>2617</v>
      </c>
      <c r="B97" s="94">
        <v>0</v>
      </c>
    </row>
    <row r="98" spans="1:2" x14ac:dyDescent="0.45">
      <c r="A98" s="157" t="s">
        <v>2618</v>
      </c>
      <c r="B98" s="94">
        <v>0</v>
      </c>
    </row>
    <row r="99" spans="1:2" x14ac:dyDescent="0.45">
      <c r="A99" s="157" t="s">
        <v>2472</v>
      </c>
      <c r="B99" s="94">
        <v>0</v>
      </c>
    </row>
    <row r="100" spans="1:2" x14ac:dyDescent="0.45">
      <c r="A100" s="157" t="s">
        <v>2619</v>
      </c>
      <c r="B100" s="94">
        <v>0</v>
      </c>
    </row>
    <row r="101" spans="1:2" x14ac:dyDescent="0.45">
      <c r="A101" s="157" t="s">
        <v>2620</v>
      </c>
      <c r="B101" s="94">
        <v>0</v>
      </c>
    </row>
    <row r="102" spans="1:2" x14ac:dyDescent="0.45">
      <c r="A102" s="157" t="s">
        <v>2621</v>
      </c>
      <c r="B102" s="94">
        <v>0</v>
      </c>
    </row>
    <row r="103" spans="1:2" x14ac:dyDescent="0.45">
      <c r="A103" s="157" t="s">
        <v>2622</v>
      </c>
      <c r="B103" s="94">
        <v>0</v>
      </c>
    </row>
    <row r="104" spans="1:2" x14ac:dyDescent="0.45">
      <c r="A104" s="157" t="s">
        <v>2623</v>
      </c>
      <c r="B104" s="94">
        <v>0</v>
      </c>
    </row>
    <row r="105" spans="1:2" x14ac:dyDescent="0.45">
      <c r="A105" s="157" t="s">
        <v>2624</v>
      </c>
      <c r="B105" s="94">
        <v>0</v>
      </c>
    </row>
    <row r="106" spans="1:2" x14ac:dyDescent="0.45">
      <c r="A106" s="157" t="s">
        <v>2625</v>
      </c>
      <c r="B106" s="94">
        <v>0</v>
      </c>
    </row>
    <row r="107" spans="1:2" x14ac:dyDescent="0.45">
      <c r="A107" s="157" t="s">
        <v>2626</v>
      </c>
      <c r="B107" s="94">
        <v>0</v>
      </c>
    </row>
    <row r="108" spans="1:2" x14ac:dyDescent="0.45">
      <c r="A108" s="157" t="s">
        <v>2627</v>
      </c>
      <c r="B108" s="94">
        <v>0</v>
      </c>
    </row>
    <row r="109" spans="1:2" x14ac:dyDescent="0.45">
      <c r="A109" s="157" t="s">
        <v>2628</v>
      </c>
      <c r="B109" s="94">
        <v>0</v>
      </c>
    </row>
    <row r="110" spans="1:2" x14ac:dyDescent="0.45">
      <c r="A110" s="157" t="s">
        <v>2629</v>
      </c>
      <c r="B110" s="94">
        <v>0</v>
      </c>
    </row>
    <row r="111" spans="1:2" x14ac:dyDescent="0.45">
      <c r="A111" s="157" t="s">
        <v>2630</v>
      </c>
      <c r="B111" s="94">
        <v>0</v>
      </c>
    </row>
    <row r="112" spans="1:2" x14ac:dyDescent="0.45">
      <c r="A112" s="157" t="s">
        <v>2631</v>
      </c>
      <c r="B112" s="94">
        <v>0</v>
      </c>
    </row>
    <row r="113" spans="1:2" x14ac:dyDescent="0.45">
      <c r="A113" s="157" t="s">
        <v>2632</v>
      </c>
      <c r="B113" s="94">
        <v>0</v>
      </c>
    </row>
    <row r="114" spans="1:2" x14ac:dyDescent="0.45">
      <c r="A114" s="157" t="s">
        <v>2633</v>
      </c>
      <c r="B114" s="94">
        <v>0</v>
      </c>
    </row>
    <row r="115" spans="1:2" x14ac:dyDescent="0.45">
      <c r="A115" s="157" t="s">
        <v>2634</v>
      </c>
      <c r="B115" s="94">
        <v>0</v>
      </c>
    </row>
    <row r="116" spans="1:2" x14ac:dyDescent="0.45">
      <c r="A116" s="157" t="s">
        <v>2635</v>
      </c>
      <c r="B116" s="94">
        <v>0</v>
      </c>
    </row>
    <row r="117" spans="1:2" x14ac:dyDescent="0.45">
      <c r="A117" s="157" t="s">
        <v>2636</v>
      </c>
      <c r="B117" s="94">
        <v>3</v>
      </c>
    </row>
    <row r="118" spans="1:2" x14ac:dyDescent="0.45">
      <c r="A118" s="157" t="s">
        <v>2637</v>
      </c>
      <c r="B118" s="94">
        <v>0</v>
      </c>
    </row>
    <row r="119" spans="1:2" x14ac:dyDescent="0.45">
      <c r="A119" s="157" t="s">
        <v>2638</v>
      </c>
      <c r="B119" s="94">
        <v>0</v>
      </c>
    </row>
    <row r="120" spans="1:2" x14ac:dyDescent="0.45">
      <c r="A120" s="157" t="s">
        <v>2639</v>
      </c>
      <c r="B120" s="94">
        <v>0</v>
      </c>
    </row>
    <row r="121" spans="1:2" x14ac:dyDescent="0.45">
      <c r="A121" s="157" t="s">
        <v>2640</v>
      </c>
      <c r="B121" s="94">
        <v>0</v>
      </c>
    </row>
    <row r="122" spans="1:2" x14ac:dyDescent="0.45">
      <c r="A122" s="157" t="s">
        <v>2641</v>
      </c>
      <c r="B122" s="94">
        <v>0</v>
      </c>
    </row>
    <row r="123" spans="1:2" x14ac:dyDescent="0.45">
      <c r="A123" s="157" t="s">
        <v>2642</v>
      </c>
      <c r="B123" s="94">
        <v>0</v>
      </c>
    </row>
    <row r="124" spans="1:2" x14ac:dyDescent="0.45">
      <c r="A124" s="157" t="s">
        <v>2643</v>
      </c>
      <c r="B124" s="94">
        <v>0</v>
      </c>
    </row>
    <row r="125" spans="1:2" x14ac:dyDescent="0.45">
      <c r="A125" s="157" t="s">
        <v>2644</v>
      </c>
      <c r="B125" s="94">
        <v>0</v>
      </c>
    </row>
    <row r="126" spans="1:2" x14ac:dyDescent="0.45">
      <c r="A126" s="55"/>
      <c r="B126"/>
    </row>
    <row r="127" spans="1:2" x14ac:dyDescent="0.45">
      <c r="A127" s="55"/>
      <c r="B127"/>
    </row>
    <row r="128" spans="1:2" x14ac:dyDescent="0.45">
      <c r="A128" s="55"/>
      <c r="B128"/>
    </row>
    <row r="129" spans="1:2" x14ac:dyDescent="0.45">
      <c r="A129" s="55"/>
      <c r="B129"/>
    </row>
    <row r="130" spans="1:2" x14ac:dyDescent="0.45">
      <c r="A130" s="55"/>
      <c r="B130"/>
    </row>
    <row r="131" spans="1:2" x14ac:dyDescent="0.45">
      <c r="A131" s="55"/>
      <c r="B131"/>
    </row>
    <row r="132" spans="1:2" x14ac:dyDescent="0.45">
      <c r="A132" s="55"/>
      <c r="B132"/>
    </row>
    <row r="133" spans="1:2" x14ac:dyDescent="0.45">
      <c r="A133" s="55"/>
      <c r="B133"/>
    </row>
    <row r="134" spans="1:2" x14ac:dyDescent="0.45">
      <c r="A134" s="55"/>
      <c r="B134"/>
    </row>
    <row r="135" spans="1:2" x14ac:dyDescent="0.45">
      <c r="A135" s="55"/>
      <c r="B135"/>
    </row>
    <row r="136" spans="1:2" x14ac:dyDescent="0.45">
      <c r="A136" s="55"/>
      <c r="B136"/>
    </row>
    <row r="137" spans="1:2" x14ac:dyDescent="0.45">
      <c r="A137" s="55"/>
      <c r="B137"/>
    </row>
    <row r="138" spans="1:2" x14ac:dyDescent="0.45">
      <c r="A138" s="55"/>
      <c r="B138"/>
    </row>
    <row r="139" spans="1:2" x14ac:dyDescent="0.45">
      <c r="A139" s="55"/>
      <c r="B139"/>
    </row>
    <row r="140" spans="1:2" x14ac:dyDescent="0.45">
      <c r="A140" s="55"/>
      <c r="B140"/>
    </row>
    <row r="141" spans="1:2" x14ac:dyDescent="0.45">
      <c r="A141" s="55"/>
      <c r="B141"/>
    </row>
    <row r="142" spans="1:2" x14ac:dyDescent="0.45">
      <c r="A142" s="55"/>
      <c r="B142"/>
    </row>
    <row r="143" spans="1:2" x14ac:dyDescent="0.45">
      <c r="A143" s="55"/>
      <c r="B143"/>
    </row>
    <row r="144" spans="1:2" x14ac:dyDescent="0.45">
      <c r="A144" s="55"/>
      <c r="B144"/>
    </row>
    <row r="145" spans="1:2" x14ac:dyDescent="0.45">
      <c r="A145" s="55"/>
      <c r="B145"/>
    </row>
    <row r="146" spans="1:2" x14ac:dyDescent="0.45">
      <c r="A146" s="55"/>
      <c r="B146"/>
    </row>
    <row r="147" spans="1:2" x14ac:dyDescent="0.45">
      <c r="A147" s="55"/>
      <c r="B147"/>
    </row>
    <row r="148" spans="1:2" x14ac:dyDescent="0.45">
      <c r="A148" s="55"/>
      <c r="B148"/>
    </row>
    <row r="149" spans="1:2" x14ac:dyDescent="0.45">
      <c r="A149" s="55"/>
      <c r="B149"/>
    </row>
    <row r="150" spans="1:2" x14ac:dyDescent="0.45">
      <c r="A150" s="55"/>
      <c r="B150"/>
    </row>
    <row r="151" spans="1:2" x14ac:dyDescent="0.45">
      <c r="A151" s="55"/>
      <c r="B151"/>
    </row>
    <row r="152" spans="1:2" x14ac:dyDescent="0.45">
      <c r="A152" s="55"/>
      <c r="B152"/>
    </row>
    <row r="153" spans="1:2" x14ac:dyDescent="0.45">
      <c r="A153" s="55"/>
      <c r="B153"/>
    </row>
    <row r="154" spans="1:2" x14ac:dyDescent="0.45">
      <c r="A154" s="55"/>
      <c r="B154"/>
    </row>
    <row r="155" spans="1:2" x14ac:dyDescent="0.45">
      <c r="A155" s="55"/>
      <c r="B155"/>
    </row>
    <row r="156" spans="1:2" x14ac:dyDescent="0.45">
      <c r="A156" s="55"/>
      <c r="B156"/>
    </row>
    <row r="157" spans="1:2" x14ac:dyDescent="0.45">
      <c r="A157" s="55"/>
      <c r="B157"/>
    </row>
    <row r="158" spans="1:2" x14ac:dyDescent="0.45">
      <c r="A158" s="55"/>
      <c r="B158"/>
    </row>
    <row r="159" spans="1:2" x14ac:dyDescent="0.45">
      <c r="A159" s="55"/>
      <c r="B159"/>
    </row>
    <row r="160" spans="1:2" x14ac:dyDescent="0.45">
      <c r="A160" s="55"/>
      <c r="B160"/>
    </row>
    <row r="161" spans="1:2" x14ac:dyDescent="0.45">
      <c r="A161" s="55"/>
      <c r="B161"/>
    </row>
    <row r="162" spans="1:2" x14ac:dyDescent="0.45">
      <c r="A162" s="55"/>
      <c r="B162"/>
    </row>
    <row r="163" spans="1:2" x14ac:dyDescent="0.45">
      <c r="A163" s="55"/>
      <c r="B163"/>
    </row>
    <row r="164" spans="1:2" x14ac:dyDescent="0.45">
      <c r="A164" s="55"/>
      <c r="B164"/>
    </row>
    <row r="165" spans="1:2" x14ac:dyDescent="0.45">
      <c r="A165" s="55"/>
      <c r="B165"/>
    </row>
    <row r="166" spans="1:2" x14ac:dyDescent="0.45">
      <c r="A166" s="55"/>
      <c r="B166"/>
    </row>
    <row r="167" spans="1:2" x14ac:dyDescent="0.45">
      <c r="A167" s="55"/>
      <c r="B167"/>
    </row>
    <row r="168" spans="1:2" x14ac:dyDescent="0.45">
      <c r="A168" s="55"/>
      <c r="B168"/>
    </row>
    <row r="169" spans="1:2" x14ac:dyDescent="0.45">
      <c r="A169" s="55"/>
      <c r="B169"/>
    </row>
    <row r="170" spans="1:2" x14ac:dyDescent="0.45">
      <c r="A170" s="55"/>
      <c r="B170"/>
    </row>
    <row r="171" spans="1:2" x14ac:dyDescent="0.45">
      <c r="A171" s="55"/>
      <c r="B171"/>
    </row>
    <row r="172" spans="1:2" x14ac:dyDescent="0.45">
      <c r="A172" s="55"/>
      <c r="B172"/>
    </row>
    <row r="173" spans="1:2" x14ac:dyDescent="0.45">
      <c r="A173" s="55"/>
      <c r="B173"/>
    </row>
    <row r="174" spans="1:2" x14ac:dyDescent="0.45">
      <c r="A174" s="55"/>
      <c r="B174"/>
    </row>
    <row r="175" spans="1:2" x14ac:dyDescent="0.45">
      <c r="A175" s="55"/>
      <c r="B175"/>
    </row>
    <row r="176" spans="1:2" x14ac:dyDescent="0.45">
      <c r="A176" s="55"/>
      <c r="B176"/>
    </row>
    <row r="177" spans="1:2" x14ac:dyDescent="0.45">
      <c r="A177" s="55"/>
      <c r="B177"/>
    </row>
    <row r="178" spans="1:2" x14ac:dyDescent="0.45">
      <c r="A178" s="55"/>
      <c r="B178"/>
    </row>
    <row r="179" spans="1:2" x14ac:dyDescent="0.45">
      <c r="A179" s="55"/>
      <c r="B179"/>
    </row>
    <row r="180" spans="1:2" x14ac:dyDescent="0.45">
      <c r="A180" s="55"/>
      <c r="B180"/>
    </row>
    <row r="181" spans="1:2" x14ac:dyDescent="0.45">
      <c r="A181" s="55"/>
      <c r="B181"/>
    </row>
    <row r="182" spans="1:2" x14ac:dyDescent="0.45">
      <c r="A182" s="55"/>
      <c r="B182"/>
    </row>
    <row r="183" spans="1:2" x14ac:dyDescent="0.45">
      <c r="A183" s="55"/>
      <c r="B183"/>
    </row>
    <row r="184" spans="1:2" x14ac:dyDescent="0.45">
      <c r="A184" s="55"/>
      <c r="B184"/>
    </row>
    <row r="185" spans="1:2" x14ac:dyDescent="0.45">
      <c r="A185" s="55"/>
      <c r="B185"/>
    </row>
    <row r="186" spans="1:2" x14ac:dyDescent="0.45">
      <c r="A186" s="55"/>
      <c r="B186"/>
    </row>
    <row r="187" spans="1:2" x14ac:dyDescent="0.45">
      <c r="A187" s="55"/>
      <c r="B187"/>
    </row>
    <row r="188" spans="1:2" x14ac:dyDescent="0.45">
      <c r="A188" s="55"/>
      <c r="B188"/>
    </row>
    <row r="189" spans="1:2" x14ac:dyDescent="0.45">
      <c r="A189" s="55"/>
      <c r="B189"/>
    </row>
    <row r="190" spans="1:2" x14ac:dyDescent="0.45">
      <c r="A190" s="55"/>
      <c r="B190"/>
    </row>
    <row r="191" spans="1:2" x14ac:dyDescent="0.45">
      <c r="A191" s="55"/>
      <c r="B191"/>
    </row>
    <row r="192" spans="1:2" x14ac:dyDescent="0.45">
      <c r="A192" s="55"/>
      <c r="B192"/>
    </row>
    <row r="193" spans="1:2" x14ac:dyDescent="0.45">
      <c r="A193" s="55"/>
      <c r="B193"/>
    </row>
    <row r="194" spans="1:2" x14ac:dyDescent="0.45">
      <c r="A194" s="55"/>
      <c r="B194"/>
    </row>
    <row r="195" spans="1:2" x14ac:dyDescent="0.45">
      <c r="A195" s="55"/>
      <c r="B195"/>
    </row>
    <row r="196" spans="1:2" x14ac:dyDescent="0.45">
      <c r="A196" s="55"/>
      <c r="B196"/>
    </row>
    <row r="197" spans="1:2" x14ac:dyDescent="0.45">
      <c r="A197" s="55"/>
      <c r="B197"/>
    </row>
    <row r="198" spans="1:2" x14ac:dyDescent="0.45">
      <c r="A198" s="55"/>
      <c r="B198"/>
    </row>
    <row r="199" spans="1:2" x14ac:dyDescent="0.45">
      <c r="A199" s="55"/>
      <c r="B199"/>
    </row>
    <row r="200" spans="1:2" x14ac:dyDescent="0.45">
      <c r="A200" s="55"/>
      <c r="B200"/>
    </row>
    <row r="201" spans="1:2" x14ac:dyDescent="0.45">
      <c r="A201" s="55"/>
      <c r="B201"/>
    </row>
    <row r="202" spans="1:2" x14ac:dyDescent="0.45">
      <c r="A202" s="55"/>
      <c r="B202"/>
    </row>
    <row r="203" spans="1:2" x14ac:dyDescent="0.45">
      <c r="A203" s="55"/>
      <c r="B203"/>
    </row>
    <row r="204" spans="1:2" x14ac:dyDescent="0.45">
      <c r="A204" s="55"/>
      <c r="B204"/>
    </row>
    <row r="205" spans="1:2" x14ac:dyDescent="0.45">
      <c r="A205" s="55"/>
      <c r="B205"/>
    </row>
    <row r="206" spans="1:2" x14ac:dyDescent="0.45">
      <c r="A206" s="55"/>
      <c r="B206"/>
    </row>
    <row r="207" spans="1:2" x14ac:dyDescent="0.45">
      <c r="A207" s="55"/>
      <c r="B207"/>
    </row>
    <row r="208" spans="1:2" x14ac:dyDescent="0.45">
      <c r="A208" s="55"/>
      <c r="B208"/>
    </row>
    <row r="209" spans="1:2" x14ac:dyDescent="0.45">
      <c r="A209" s="55"/>
      <c r="B209"/>
    </row>
    <row r="210" spans="1:2" x14ac:dyDescent="0.45">
      <c r="A210" s="55"/>
      <c r="B210"/>
    </row>
    <row r="211" spans="1:2" x14ac:dyDescent="0.45">
      <c r="A211" s="55"/>
      <c r="B211"/>
    </row>
    <row r="212" spans="1:2" x14ac:dyDescent="0.45">
      <c r="A212" s="55"/>
      <c r="B212"/>
    </row>
    <row r="213" spans="1:2" x14ac:dyDescent="0.45">
      <c r="A213" s="55"/>
      <c r="B213"/>
    </row>
    <row r="214" spans="1:2" x14ac:dyDescent="0.45">
      <c r="A214" s="55"/>
      <c r="B214"/>
    </row>
    <row r="215" spans="1:2" x14ac:dyDescent="0.45">
      <c r="A215" s="55"/>
      <c r="B215"/>
    </row>
    <row r="216" spans="1:2" x14ac:dyDescent="0.45">
      <c r="A216" s="55"/>
      <c r="B216"/>
    </row>
    <row r="217" spans="1:2" x14ac:dyDescent="0.45">
      <c r="A217" s="55"/>
      <c r="B217"/>
    </row>
    <row r="218" spans="1:2" x14ac:dyDescent="0.45">
      <c r="A218" s="55"/>
      <c r="B218"/>
    </row>
    <row r="219" spans="1:2" x14ac:dyDescent="0.45">
      <c r="A219" s="55"/>
      <c r="B219"/>
    </row>
    <row r="220" spans="1:2" x14ac:dyDescent="0.45">
      <c r="A220" s="55"/>
      <c r="B220"/>
    </row>
    <row r="221" spans="1:2" x14ac:dyDescent="0.45">
      <c r="A221" s="55"/>
      <c r="B221"/>
    </row>
    <row r="222" spans="1:2" x14ac:dyDescent="0.45">
      <c r="A222" s="55"/>
      <c r="B222"/>
    </row>
    <row r="223" spans="1:2" x14ac:dyDescent="0.45">
      <c r="A223" s="55"/>
      <c r="B223"/>
    </row>
    <row r="224" spans="1:2" x14ac:dyDescent="0.45">
      <c r="A224" s="55"/>
      <c r="B224"/>
    </row>
    <row r="225" spans="1:2" x14ac:dyDescent="0.45">
      <c r="A225" s="55"/>
      <c r="B225"/>
    </row>
    <row r="226" spans="1:2" x14ac:dyDescent="0.45">
      <c r="A226" s="55"/>
      <c r="B226"/>
    </row>
    <row r="227" spans="1:2" x14ac:dyDescent="0.45">
      <c r="A227" s="55"/>
      <c r="B227"/>
    </row>
    <row r="228" spans="1:2" x14ac:dyDescent="0.45">
      <c r="A228" s="55"/>
      <c r="B228"/>
    </row>
    <row r="229" spans="1:2" x14ac:dyDescent="0.45">
      <c r="A229" s="55"/>
      <c r="B229"/>
    </row>
    <row r="230" spans="1:2" x14ac:dyDescent="0.45">
      <c r="A230" s="55"/>
      <c r="B230"/>
    </row>
    <row r="231" spans="1:2" x14ac:dyDescent="0.45">
      <c r="A231" s="55"/>
      <c r="B231"/>
    </row>
    <row r="232" spans="1:2" x14ac:dyDescent="0.45">
      <c r="A232" s="55"/>
      <c r="B232"/>
    </row>
    <row r="233" spans="1:2" x14ac:dyDescent="0.45">
      <c r="A233" s="55"/>
      <c r="B233"/>
    </row>
    <row r="234" spans="1:2" x14ac:dyDescent="0.45">
      <c r="A234" s="55"/>
      <c r="B234"/>
    </row>
    <row r="235" spans="1:2" x14ac:dyDescent="0.45">
      <c r="A235" s="55"/>
      <c r="B235"/>
    </row>
    <row r="236" spans="1:2" x14ac:dyDescent="0.45">
      <c r="A236" s="55"/>
      <c r="B236"/>
    </row>
    <row r="237" spans="1:2" x14ac:dyDescent="0.45">
      <c r="A237" s="55"/>
      <c r="B237"/>
    </row>
    <row r="238" spans="1:2" x14ac:dyDescent="0.45">
      <c r="A238" s="55"/>
      <c r="B238"/>
    </row>
    <row r="239" spans="1:2" x14ac:dyDescent="0.45">
      <c r="A239" s="55"/>
      <c r="B239"/>
    </row>
    <row r="240" spans="1:2" x14ac:dyDescent="0.45">
      <c r="A240" s="55"/>
      <c r="B240"/>
    </row>
    <row r="241" spans="1:2" x14ac:dyDescent="0.45">
      <c r="A241" s="55"/>
      <c r="B241"/>
    </row>
    <row r="242" spans="1:2" x14ac:dyDescent="0.45">
      <c r="A242" s="55"/>
      <c r="B242"/>
    </row>
    <row r="243" spans="1:2" x14ac:dyDescent="0.45">
      <c r="A243" s="55"/>
      <c r="B243"/>
    </row>
    <row r="244" spans="1:2" x14ac:dyDescent="0.45">
      <c r="A244" s="55"/>
      <c r="B244"/>
    </row>
    <row r="245" spans="1:2" x14ac:dyDescent="0.45">
      <c r="A245" s="55"/>
      <c r="B245"/>
    </row>
    <row r="246" spans="1:2" x14ac:dyDescent="0.45">
      <c r="A246" s="55"/>
      <c r="B246"/>
    </row>
    <row r="247" spans="1:2" x14ac:dyDescent="0.45">
      <c r="A247" s="55"/>
      <c r="B247"/>
    </row>
    <row r="248" spans="1:2" x14ac:dyDescent="0.45">
      <c r="A248" s="55"/>
      <c r="B248"/>
    </row>
    <row r="249" spans="1:2" x14ac:dyDescent="0.45">
      <c r="A249" s="55"/>
      <c r="B249"/>
    </row>
    <row r="250" spans="1:2" x14ac:dyDescent="0.45">
      <c r="A250" s="55"/>
      <c r="B250"/>
    </row>
    <row r="251" spans="1:2" x14ac:dyDescent="0.45">
      <c r="A251" s="55"/>
      <c r="B251"/>
    </row>
    <row r="252" spans="1:2" x14ac:dyDescent="0.45">
      <c r="A252" s="55"/>
      <c r="B252"/>
    </row>
    <row r="253" spans="1:2" x14ac:dyDescent="0.45">
      <c r="A253" s="55"/>
      <c r="B253"/>
    </row>
    <row r="254" spans="1:2" x14ac:dyDescent="0.45">
      <c r="A254" s="55"/>
      <c r="B254"/>
    </row>
    <row r="255" spans="1:2" x14ac:dyDescent="0.45">
      <c r="A255" s="55"/>
      <c r="B255"/>
    </row>
    <row r="256" spans="1:2" x14ac:dyDescent="0.45">
      <c r="A256" s="55"/>
      <c r="B256"/>
    </row>
    <row r="257" spans="1:2" x14ac:dyDescent="0.45">
      <c r="A257" s="55"/>
      <c r="B257"/>
    </row>
    <row r="258" spans="1:2" x14ac:dyDescent="0.45">
      <c r="A258" s="55"/>
      <c r="B258"/>
    </row>
    <row r="259" spans="1:2" x14ac:dyDescent="0.45">
      <c r="A259" s="55"/>
      <c r="B259"/>
    </row>
    <row r="260" spans="1:2" x14ac:dyDescent="0.45">
      <c r="A260" s="55"/>
      <c r="B260"/>
    </row>
    <row r="261" spans="1:2" x14ac:dyDescent="0.45">
      <c r="A261" s="55"/>
      <c r="B261"/>
    </row>
    <row r="262" spans="1:2" x14ac:dyDescent="0.45">
      <c r="A262" s="55"/>
      <c r="B262"/>
    </row>
    <row r="263" spans="1:2" x14ac:dyDescent="0.45">
      <c r="A263" s="55"/>
      <c r="B263"/>
    </row>
    <row r="264" spans="1:2" x14ac:dyDescent="0.45">
      <c r="A264" s="55"/>
      <c r="B264"/>
    </row>
    <row r="265" spans="1:2" x14ac:dyDescent="0.45">
      <c r="A265" s="55"/>
      <c r="B265"/>
    </row>
    <row r="266" spans="1:2" x14ac:dyDescent="0.45">
      <c r="A266" s="55"/>
      <c r="B266"/>
    </row>
    <row r="267" spans="1:2" x14ac:dyDescent="0.45">
      <c r="A267" s="55"/>
      <c r="B267"/>
    </row>
    <row r="268" spans="1:2" x14ac:dyDescent="0.45">
      <c r="A268" s="55"/>
      <c r="B268"/>
    </row>
    <row r="269" spans="1:2" x14ac:dyDescent="0.45">
      <c r="A269" s="55"/>
      <c r="B269"/>
    </row>
    <row r="270" spans="1:2" x14ac:dyDescent="0.45">
      <c r="A270" s="55"/>
      <c r="B270"/>
    </row>
    <row r="271" spans="1:2" x14ac:dyDescent="0.45">
      <c r="A271" s="55"/>
      <c r="B271"/>
    </row>
    <row r="272" spans="1:2" x14ac:dyDescent="0.45">
      <c r="A272" s="55"/>
      <c r="B272"/>
    </row>
    <row r="273" spans="1:2" x14ac:dyDescent="0.45">
      <c r="A273" s="55"/>
      <c r="B273"/>
    </row>
    <row r="274" spans="1:2" x14ac:dyDescent="0.45">
      <c r="A274" s="55"/>
      <c r="B274"/>
    </row>
    <row r="275" spans="1:2" x14ac:dyDescent="0.45">
      <c r="A275" s="55"/>
      <c r="B275"/>
    </row>
    <row r="276" spans="1:2" x14ac:dyDescent="0.45">
      <c r="A276" s="55"/>
      <c r="B276"/>
    </row>
    <row r="277" spans="1:2" x14ac:dyDescent="0.45">
      <c r="A277" s="55"/>
      <c r="B277"/>
    </row>
    <row r="278" spans="1:2" x14ac:dyDescent="0.45">
      <c r="A278" s="55"/>
      <c r="B278"/>
    </row>
    <row r="279" spans="1:2" x14ac:dyDescent="0.45">
      <c r="A279" s="55"/>
      <c r="B279"/>
    </row>
    <row r="280" spans="1:2" x14ac:dyDescent="0.45">
      <c r="A280" s="55"/>
      <c r="B280"/>
    </row>
    <row r="281" spans="1:2" x14ac:dyDescent="0.45">
      <c r="A281" s="55"/>
      <c r="B281"/>
    </row>
    <row r="282" spans="1:2" x14ac:dyDescent="0.45">
      <c r="A282" s="55"/>
      <c r="B282"/>
    </row>
    <row r="283" spans="1:2" x14ac:dyDescent="0.45">
      <c r="A283" s="55"/>
      <c r="B283"/>
    </row>
    <row r="284" spans="1:2" x14ac:dyDescent="0.45">
      <c r="A284" s="55"/>
      <c r="B284"/>
    </row>
    <row r="285" spans="1:2" x14ac:dyDescent="0.45">
      <c r="A285" s="55"/>
      <c r="B285"/>
    </row>
    <row r="286" spans="1:2" x14ac:dyDescent="0.45">
      <c r="A286" s="55"/>
      <c r="B286"/>
    </row>
    <row r="287" spans="1:2" x14ac:dyDescent="0.45">
      <c r="A287" s="55"/>
      <c r="B287"/>
    </row>
    <row r="288" spans="1:2" x14ac:dyDescent="0.45">
      <c r="A288" s="55"/>
      <c r="B288"/>
    </row>
    <row r="289" spans="1:2" x14ac:dyDescent="0.45">
      <c r="A289" s="55"/>
      <c r="B289"/>
    </row>
    <row r="290" spans="1:2" x14ac:dyDescent="0.45">
      <c r="A290" s="55"/>
      <c r="B290"/>
    </row>
    <row r="291" spans="1:2" x14ac:dyDescent="0.45">
      <c r="A291" s="55"/>
      <c r="B291"/>
    </row>
    <row r="292" spans="1:2" x14ac:dyDescent="0.45">
      <c r="A292" s="55"/>
      <c r="B292"/>
    </row>
    <row r="293" spans="1:2" x14ac:dyDescent="0.45">
      <c r="A293" s="55"/>
      <c r="B293"/>
    </row>
    <row r="294" spans="1:2" x14ac:dyDescent="0.45">
      <c r="A294" s="55"/>
      <c r="B294"/>
    </row>
    <row r="295" spans="1:2" x14ac:dyDescent="0.45">
      <c r="A295" s="55"/>
      <c r="B295"/>
    </row>
    <row r="296" spans="1:2" x14ac:dyDescent="0.45">
      <c r="A296" s="55"/>
      <c r="B296"/>
    </row>
    <row r="297" spans="1:2" x14ac:dyDescent="0.45">
      <c r="A297" s="55"/>
      <c r="B297"/>
    </row>
    <row r="298" spans="1:2" x14ac:dyDescent="0.45">
      <c r="A298" s="55"/>
      <c r="B298"/>
    </row>
    <row r="299" spans="1:2" x14ac:dyDescent="0.45">
      <c r="A299" s="55"/>
      <c r="B299"/>
    </row>
    <row r="300" spans="1:2" x14ac:dyDescent="0.45">
      <c r="A300" s="55"/>
      <c r="B300"/>
    </row>
    <row r="301" spans="1:2" x14ac:dyDescent="0.45">
      <c r="A301" s="55"/>
      <c r="B301"/>
    </row>
    <row r="302" spans="1:2" x14ac:dyDescent="0.45">
      <c r="A302" s="55"/>
      <c r="B302"/>
    </row>
    <row r="303" spans="1:2" x14ac:dyDescent="0.45">
      <c r="A303" s="55"/>
      <c r="B303"/>
    </row>
    <row r="304" spans="1:2" x14ac:dyDescent="0.45">
      <c r="A304" s="55"/>
      <c r="B304"/>
    </row>
    <row r="305" spans="1:2" x14ac:dyDescent="0.45">
      <c r="A305" s="55"/>
      <c r="B305"/>
    </row>
    <row r="306" spans="1:2" x14ac:dyDescent="0.45">
      <c r="A306" s="55"/>
      <c r="B306"/>
    </row>
    <row r="307" spans="1:2" x14ac:dyDescent="0.45">
      <c r="A307" s="55"/>
      <c r="B307"/>
    </row>
    <row r="308" spans="1:2" x14ac:dyDescent="0.45">
      <c r="A308" s="55"/>
      <c r="B308"/>
    </row>
    <row r="309" spans="1:2" x14ac:dyDescent="0.45">
      <c r="A309" s="55"/>
      <c r="B309"/>
    </row>
    <row r="310" spans="1:2" x14ac:dyDescent="0.45">
      <c r="A310" s="55"/>
      <c r="B310"/>
    </row>
    <row r="311" spans="1:2" x14ac:dyDescent="0.45">
      <c r="A311" s="55"/>
      <c r="B311"/>
    </row>
    <row r="312" spans="1:2" x14ac:dyDescent="0.45">
      <c r="A312" s="55"/>
      <c r="B312"/>
    </row>
    <row r="313" spans="1:2" x14ac:dyDescent="0.45">
      <c r="A313" s="55"/>
      <c r="B313"/>
    </row>
    <row r="314" spans="1:2" x14ac:dyDescent="0.45">
      <c r="A314" s="55"/>
      <c r="B314"/>
    </row>
    <row r="315" spans="1:2" x14ac:dyDescent="0.45">
      <c r="A315" s="55"/>
      <c r="B315"/>
    </row>
    <row r="316" spans="1:2" x14ac:dyDescent="0.45">
      <c r="A316" s="55"/>
      <c r="B316"/>
    </row>
    <row r="317" spans="1:2" x14ac:dyDescent="0.45">
      <c r="A317" s="55"/>
      <c r="B317"/>
    </row>
    <row r="318" spans="1:2" x14ac:dyDescent="0.45">
      <c r="A318" s="55"/>
      <c r="B318"/>
    </row>
    <row r="319" spans="1:2" x14ac:dyDescent="0.45">
      <c r="A319" s="55"/>
      <c r="B319"/>
    </row>
    <row r="320" spans="1:2" x14ac:dyDescent="0.45">
      <c r="A320" s="55"/>
      <c r="B320"/>
    </row>
    <row r="321" spans="1:2" x14ac:dyDescent="0.45">
      <c r="A321" s="55"/>
      <c r="B321"/>
    </row>
    <row r="322" spans="1:2" x14ac:dyDescent="0.45">
      <c r="A322" s="55"/>
      <c r="B322"/>
    </row>
    <row r="323" spans="1:2" x14ac:dyDescent="0.45">
      <c r="A323" s="55"/>
      <c r="B323"/>
    </row>
    <row r="324" spans="1:2" x14ac:dyDescent="0.45">
      <c r="A324" s="55"/>
      <c r="B324"/>
    </row>
    <row r="325" spans="1:2" x14ac:dyDescent="0.45">
      <c r="A325" s="55"/>
      <c r="B325"/>
    </row>
    <row r="326" spans="1:2" x14ac:dyDescent="0.45">
      <c r="A326" s="55"/>
      <c r="B326"/>
    </row>
    <row r="327" spans="1:2" x14ac:dyDescent="0.45">
      <c r="A327" s="55"/>
      <c r="B327"/>
    </row>
    <row r="328" spans="1:2" x14ac:dyDescent="0.45">
      <c r="A328" s="55"/>
      <c r="B328"/>
    </row>
    <row r="329" spans="1:2" x14ac:dyDescent="0.45">
      <c r="A329" s="55"/>
      <c r="B329"/>
    </row>
    <row r="330" spans="1:2" x14ac:dyDescent="0.45">
      <c r="A330" s="55"/>
      <c r="B330"/>
    </row>
    <row r="331" spans="1:2" x14ac:dyDescent="0.45">
      <c r="A331" s="55"/>
      <c r="B331"/>
    </row>
    <row r="332" spans="1:2" x14ac:dyDescent="0.45">
      <c r="A332" s="55"/>
      <c r="B332"/>
    </row>
    <row r="333" spans="1:2" x14ac:dyDescent="0.45">
      <c r="A333" s="55"/>
      <c r="B333"/>
    </row>
    <row r="334" spans="1:2" x14ac:dyDescent="0.45">
      <c r="A334" s="55"/>
      <c r="B334"/>
    </row>
    <row r="335" spans="1:2" x14ac:dyDescent="0.45">
      <c r="A335" s="55"/>
      <c r="B335"/>
    </row>
    <row r="336" spans="1:2" x14ac:dyDescent="0.45">
      <c r="A336" s="55"/>
      <c r="B336"/>
    </row>
    <row r="337" spans="1:2" x14ac:dyDescent="0.45">
      <c r="A337" s="55"/>
      <c r="B337"/>
    </row>
    <row r="338" spans="1:2" x14ac:dyDescent="0.45">
      <c r="A338" s="55"/>
      <c r="B338"/>
    </row>
    <row r="339" spans="1:2" x14ac:dyDescent="0.45">
      <c r="A339" s="55"/>
      <c r="B339"/>
    </row>
    <row r="340" spans="1:2" x14ac:dyDescent="0.45">
      <c r="A340" s="55"/>
      <c r="B340"/>
    </row>
    <row r="341" spans="1:2" x14ac:dyDescent="0.45">
      <c r="A341" s="55"/>
      <c r="B341"/>
    </row>
    <row r="342" spans="1:2" x14ac:dyDescent="0.45">
      <c r="A342" s="55"/>
      <c r="B342"/>
    </row>
    <row r="343" spans="1:2" x14ac:dyDescent="0.45">
      <c r="A343" s="55"/>
      <c r="B343"/>
    </row>
    <row r="344" spans="1:2" x14ac:dyDescent="0.45">
      <c r="A344" s="55"/>
      <c r="B344"/>
    </row>
    <row r="345" spans="1:2" x14ac:dyDescent="0.45">
      <c r="A345" s="55"/>
      <c r="B345"/>
    </row>
    <row r="346" spans="1:2" x14ac:dyDescent="0.45">
      <c r="A346" s="55"/>
      <c r="B346"/>
    </row>
    <row r="347" spans="1:2" x14ac:dyDescent="0.45">
      <c r="A347" s="55"/>
      <c r="B347"/>
    </row>
    <row r="348" spans="1:2" x14ac:dyDescent="0.45">
      <c r="A348" s="55"/>
      <c r="B348"/>
    </row>
    <row r="349" spans="1:2" x14ac:dyDescent="0.45">
      <c r="A349" s="55"/>
      <c r="B349"/>
    </row>
    <row r="350" spans="1:2" x14ac:dyDescent="0.45">
      <c r="A350" s="55"/>
      <c r="B350"/>
    </row>
    <row r="351" spans="1:2" x14ac:dyDescent="0.45">
      <c r="A351" s="55"/>
      <c r="B351"/>
    </row>
    <row r="352" spans="1:2" x14ac:dyDescent="0.45">
      <c r="A352" s="55"/>
      <c r="B352"/>
    </row>
    <row r="353" spans="1:2" x14ac:dyDescent="0.45">
      <c r="A353" s="55"/>
      <c r="B353"/>
    </row>
    <row r="354" spans="1:2" x14ac:dyDescent="0.45">
      <c r="A354" s="55"/>
      <c r="B354"/>
    </row>
    <row r="355" spans="1:2" x14ac:dyDescent="0.45">
      <c r="A355" s="55"/>
      <c r="B355"/>
    </row>
    <row r="356" spans="1:2" x14ac:dyDescent="0.45">
      <c r="A356" s="55"/>
      <c r="B356"/>
    </row>
    <row r="357" spans="1:2" x14ac:dyDescent="0.45">
      <c r="A357" s="55"/>
      <c r="B357"/>
    </row>
    <row r="358" spans="1:2" x14ac:dyDescent="0.45">
      <c r="A358" s="55"/>
      <c r="B358"/>
    </row>
    <row r="359" spans="1:2" x14ac:dyDescent="0.45">
      <c r="A359" s="55"/>
      <c r="B359"/>
    </row>
    <row r="360" spans="1:2" x14ac:dyDescent="0.45">
      <c r="A360" s="55"/>
      <c r="B360"/>
    </row>
    <row r="361" spans="1:2" x14ac:dyDescent="0.45">
      <c r="A361" s="55"/>
      <c r="B361"/>
    </row>
    <row r="362" spans="1:2" x14ac:dyDescent="0.45">
      <c r="A362" s="55"/>
      <c r="B362"/>
    </row>
    <row r="363" spans="1:2" x14ac:dyDescent="0.45">
      <c r="A363" s="55"/>
      <c r="B363"/>
    </row>
    <row r="364" spans="1:2" x14ac:dyDescent="0.45">
      <c r="A364" s="55"/>
      <c r="B364"/>
    </row>
    <row r="365" spans="1:2" x14ac:dyDescent="0.45">
      <c r="A365" s="55"/>
      <c r="B365"/>
    </row>
    <row r="366" spans="1:2" x14ac:dyDescent="0.45">
      <c r="A366" s="55"/>
      <c r="B366"/>
    </row>
    <row r="367" spans="1:2" x14ac:dyDescent="0.45">
      <c r="A367" s="55"/>
      <c r="B367"/>
    </row>
    <row r="368" spans="1:2" x14ac:dyDescent="0.45">
      <c r="A368" s="55"/>
      <c r="B368"/>
    </row>
    <row r="369" spans="1:2" x14ac:dyDescent="0.45">
      <c r="A369" s="55"/>
      <c r="B369"/>
    </row>
    <row r="370" spans="1:2" x14ac:dyDescent="0.45">
      <c r="A370" s="55"/>
      <c r="B370"/>
    </row>
    <row r="371" spans="1:2" x14ac:dyDescent="0.45">
      <c r="A371" s="55"/>
      <c r="B371"/>
    </row>
    <row r="372" spans="1:2" x14ac:dyDescent="0.45">
      <c r="A372" s="55"/>
      <c r="B372"/>
    </row>
    <row r="373" spans="1:2" x14ac:dyDescent="0.45">
      <c r="A373" s="55"/>
      <c r="B373"/>
    </row>
    <row r="374" spans="1:2" x14ac:dyDescent="0.45">
      <c r="A374" s="55"/>
      <c r="B374"/>
    </row>
    <row r="375" spans="1:2" x14ac:dyDescent="0.45">
      <c r="A375" s="55"/>
      <c r="B375"/>
    </row>
    <row r="376" spans="1:2" x14ac:dyDescent="0.45">
      <c r="A376" s="55"/>
      <c r="B376"/>
    </row>
    <row r="377" spans="1:2" x14ac:dyDescent="0.45">
      <c r="A377" s="55"/>
      <c r="B377"/>
    </row>
    <row r="378" spans="1:2" x14ac:dyDescent="0.45">
      <c r="A378" s="55"/>
      <c r="B378"/>
    </row>
    <row r="379" spans="1:2" x14ac:dyDescent="0.45">
      <c r="A379" s="55"/>
      <c r="B379"/>
    </row>
    <row r="380" spans="1:2" x14ac:dyDescent="0.45">
      <c r="A380" s="55"/>
      <c r="B380"/>
    </row>
    <row r="381" spans="1:2" x14ac:dyDescent="0.45">
      <c r="A381" s="55"/>
      <c r="B381"/>
    </row>
    <row r="382" spans="1:2" x14ac:dyDescent="0.45">
      <c r="A382" s="55"/>
      <c r="B382"/>
    </row>
    <row r="383" spans="1:2" x14ac:dyDescent="0.45">
      <c r="A383" s="55"/>
      <c r="B383"/>
    </row>
    <row r="384" spans="1:2" x14ac:dyDescent="0.45">
      <c r="A384" s="55"/>
      <c r="B384"/>
    </row>
    <row r="385" spans="1:2" x14ac:dyDescent="0.45">
      <c r="A385" s="55"/>
      <c r="B385"/>
    </row>
    <row r="386" spans="1:2" x14ac:dyDescent="0.45">
      <c r="A386" s="55"/>
      <c r="B386"/>
    </row>
    <row r="387" spans="1:2" x14ac:dyDescent="0.45">
      <c r="A387" s="55"/>
      <c r="B387"/>
    </row>
    <row r="388" spans="1:2" x14ac:dyDescent="0.45">
      <c r="A388" s="55"/>
      <c r="B388"/>
    </row>
    <row r="389" spans="1:2" x14ac:dyDescent="0.45">
      <c r="A389" s="55"/>
      <c r="B389"/>
    </row>
    <row r="390" spans="1:2" x14ac:dyDescent="0.45">
      <c r="A390" s="55"/>
      <c r="B390"/>
    </row>
    <row r="391" spans="1:2" x14ac:dyDescent="0.45">
      <c r="A391" s="55"/>
      <c r="B391"/>
    </row>
    <row r="392" spans="1:2" x14ac:dyDescent="0.45">
      <c r="A392" s="55"/>
      <c r="B392"/>
    </row>
    <row r="393" spans="1:2" x14ac:dyDescent="0.45">
      <c r="A393" s="55"/>
      <c r="B393"/>
    </row>
    <row r="394" spans="1:2" x14ac:dyDescent="0.45">
      <c r="A394" s="55"/>
      <c r="B394"/>
    </row>
    <row r="395" spans="1:2" x14ac:dyDescent="0.45">
      <c r="A395" s="55"/>
      <c r="B395"/>
    </row>
    <row r="396" spans="1:2" x14ac:dyDescent="0.45">
      <c r="A396" s="55"/>
      <c r="B396"/>
    </row>
    <row r="397" spans="1:2" x14ac:dyDescent="0.45">
      <c r="A397" s="55"/>
      <c r="B397"/>
    </row>
    <row r="398" spans="1:2" x14ac:dyDescent="0.45">
      <c r="A398" s="55"/>
      <c r="B398"/>
    </row>
    <row r="399" spans="1:2" x14ac:dyDescent="0.45">
      <c r="A399" s="55"/>
      <c r="B399"/>
    </row>
    <row r="400" spans="1:2" x14ac:dyDescent="0.45">
      <c r="A400" s="55"/>
      <c r="B400"/>
    </row>
    <row r="401" spans="1:2" x14ac:dyDescent="0.45">
      <c r="A401" s="55"/>
      <c r="B401"/>
    </row>
    <row r="402" spans="1:2" x14ac:dyDescent="0.45">
      <c r="A402" s="55"/>
      <c r="B402"/>
    </row>
    <row r="403" spans="1:2" x14ac:dyDescent="0.45">
      <c r="A403" s="55"/>
      <c r="B403"/>
    </row>
    <row r="404" spans="1:2" x14ac:dyDescent="0.45">
      <c r="A404" s="55"/>
      <c r="B404"/>
    </row>
    <row r="405" spans="1:2" x14ac:dyDescent="0.45">
      <c r="A405" s="55"/>
      <c r="B405"/>
    </row>
    <row r="406" spans="1:2" x14ac:dyDescent="0.45">
      <c r="A406" s="55"/>
      <c r="B406"/>
    </row>
    <row r="407" spans="1:2" x14ac:dyDescent="0.45">
      <c r="A407" s="55"/>
      <c r="B407"/>
    </row>
    <row r="408" spans="1:2" x14ac:dyDescent="0.45">
      <c r="A408" s="55"/>
      <c r="B408"/>
    </row>
    <row r="409" spans="1:2" x14ac:dyDescent="0.45">
      <c r="A409" s="55"/>
      <c r="B409"/>
    </row>
    <row r="410" spans="1:2" x14ac:dyDescent="0.45">
      <c r="A410" s="55"/>
      <c r="B410"/>
    </row>
    <row r="411" spans="1:2" x14ac:dyDescent="0.45">
      <c r="A411" s="55"/>
      <c r="B411"/>
    </row>
    <row r="412" spans="1:2" x14ac:dyDescent="0.45">
      <c r="A412" s="55"/>
      <c r="B412"/>
    </row>
    <row r="413" spans="1:2" x14ac:dyDescent="0.45">
      <c r="A413" s="55"/>
      <c r="B413"/>
    </row>
    <row r="414" spans="1:2" x14ac:dyDescent="0.45">
      <c r="A414" s="55"/>
      <c r="B414"/>
    </row>
    <row r="415" spans="1:2" x14ac:dyDescent="0.45">
      <c r="A415" s="55"/>
      <c r="B415"/>
    </row>
    <row r="416" spans="1:2" x14ac:dyDescent="0.45">
      <c r="A416" s="55"/>
      <c r="B416"/>
    </row>
    <row r="417" spans="1:2" x14ac:dyDescent="0.45">
      <c r="A417" s="55"/>
      <c r="B417"/>
    </row>
    <row r="418" spans="1:2" x14ac:dyDescent="0.45">
      <c r="A418" s="55"/>
      <c r="B418"/>
    </row>
    <row r="419" spans="1:2" x14ac:dyDescent="0.45">
      <c r="A419" s="55"/>
      <c r="B419"/>
    </row>
    <row r="420" spans="1:2" x14ac:dyDescent="0.45">
      <c r="A420" s="55"/>
      <c r="B420"/>
    </row>
    <row r="421" spans="1:2" x14ac:dyDescent="0.45">
      <c r="A421" s="55"/>
      <c r="B421"/>
    </row>
    <row r="422" spans="1:2" x14ac:dyDescent="0.45">
      <c r="A422" s="55"/>
      <c r="B422"/>
    </row>
    <row r="423" spans="1:2" x14ac:dyDescent="0.45">
      <c r="A423" s="55"/>
      <c r="B423"/>
    </row>
    <row r="424" spans="1:2" x14ac:dyDescent="0.45">
      <c r="A424" s="55"/>
      <c r="B424"/>
    </row>
    <row r="425" spans="1:2" x14ac:dyDescent="0.45">
      <c r="A425" s="55"/>
      <c r="B425"/>
    </row>
    <row r="426" spans="1:2" x14ac:dyDescent="0.45">
      <c r="A426" s="55"/>
      <c r="B426"/>
    </row>
    <row r="427" spans="1:2" x14ac:dyDescent="0.45">
      <c r="A427" s="55"/>
      <c r="B427"/>
    </row>
    <row r="428" spans="1:2" x14ac:dyDescent="0.45">
      <c r="A428" s="55"/>
      <c r="B428"/>
    </row>
    <row r="429" spans="1:2" x14ac:dyDescent="0.45">
      <c r="A429" s="55"/>
      <c r="B429"/>
    </row>
    <row r="430" spans="1:2" x14ac:dyDescent="0.45">
      <c r="A430" s="55"/>
      <c r="B430"/>
    </row>
    <row r="431" spans="1:2" x14ac:dyDescent="0.45">
      <c r="A431" s="55"/>
      <c r="B431"/>
    </row>
    <row r="432" spans="1:2" x14ac:dyDescent="0.45">
      <c r="A432" s="55"/>
      <c r="B432"/>
    </row>
    <row r="433" spans="1:2" x14ac:dyDescent="0.45">
      <c r="A433" s="55"/>
      <c r="B433"/>
    </row>
    <row r="434" spans="1:2" x14ac:dyDescent="0.45">
      <c r="A434" s="55"/>
      <c r="B434"/>
    </row>
    <row r="435" spans="1:2" x14ac:dyDescent="0.45">
      <c r="A435" s="55"/>
      <c r="B435"/>
    </row>
    <row r="436" spans="1:2" x14ac:dyDescent="0.45">
      <c r="A436" s="55"/>
      <c r="B436"/>
    </row>
    <row r="437" spans="1:2" x14ac:dyDescent="0.45">
      <c r="A437" s="55"/>
      <c r="B437"/>
    </row>
    <row r="438" spans="1:2" x14ac:dyDescent="0.45">
      <c r="A438" s="55"/>
      <c r="B438"/>
    </row>
    <row r="439" spans="1:2" x14ac:dyDescent="0.45">
      <c r="A439" s="55"/>
      <c r="B439"/>
    </row>
    <row r="440" spans="1:2" x14ac:dyDescent="0.45">
      <c r="A440" s="55"/>
      <c r="B440"/>
    </row>
    <row r="441" spans="1:2" x14ac:dyDescent="0.45">
      <c r="A441" s="55"/>
      <c r="B441"/>
    </row>
    <row r="442" spans="1:2" x14ac:dyDescent="0.45">
      <c r="A442" s="55"/>
      <c r="B442"/>
    </row>
    <row r="443" spans="1:2" x14ac:dyDescent="0.45">
      <c r="A443" s="55"/>
      <c r="B443"/>
    </row>
    <row r="444" spans="1:2" x14ac:dyDescent="0.45">
      <c r="A444" s="55"/>
      <c r="B444"/>
    </row>
    <row r="445" spans="1:2" x14ac:dyDescent="0.45">
      <c r="A445" s="55"/>
      <c r="B445"/>
    </row>
    <row r="446" spans="1:2" x14ac:dyDescent="0.45">
      <c r="A446" s="55"/>
      <c r="B446"/>
    </row>
    <row r="447" spans="1:2" x14ac:dyDescent="0.45">
      <c r="A447" s="55"/>
      <c r="B447"/>
    </row>
    <row r="448" spans="1:2" x14ac:dyDescent="0.45">
      <c r="A448" s="55"/>
      <c r="B448"/>
    </row>
    <row r="449" spans="1:2" x14ac:dyDescent="0.45">
      <c r="A449" s="55"/>
      <c r="B449"/>
    </row>
    <row r="450" spans="1:2" x14ac:dyDescent="0.45">
      <c r="A450" s="55"/>
      <c r="B450"/>
    </row>
    <row r="451" spans="1:2" x14ac:dyDescent="0.45">
      <c r="A451" s="55"/>
      <c r="B451"/>
    </row>
    <row r="452" spans="1:2" x14ac:dyDescent="0.45">
      <c r="A452" s="55"/>
      <c r="B452"/>
    </row>
    <row r="453" spans="1:2" x14ac:dyDescent="0.45">
      <c r="A453" s="55"/>
      <c r="B453"/>
    </row>
    <row r="454" spans="1:2" x14ac:dyDescent="0.45">
      <c r="A454" s="55"/>
      <c r="B454"/>
    </row>
    <row r="455" spans="1:2" x14ac:dyDescent="0.45">
      <c r="A455" s="55"/>
      <c r="B455"/>
    </row>
    <row r="456" spans="1:2" x14ac:dyDescent="0.45">
      <c r="A456" s="55"/>
      <c r="B456"/>
    </row>
    <row r="457" spans="1:2" x14ac:dyDescent="0.45">
      <c r="A457" s="55"/>
      <c r="B457"/>
    </row>
    <row r="458" spans="1:2" x14ac:dyDescent="0.45">
      <c r="A458" s="55"/>
      <c r="B458"/>
    </row>
    <row r="459" spans="1:2" x14ac:dyDescent="0.45">
      <c r="A459" s="55"/>
      <c r="B459"/>
    </row>
    <row r="460" spans="1:2" x14ac:dyDescent="0.45">
      <c r="A460" s="55"/>
      <c r="B460"/>
    </row>
    <row r="461" spans="1:2" x14ac:dyDescent="0.45">
      <c r="A461" s="55"/>
      <c r="B461"/>
    </row>
    <row r="462" spans="1:2" x14ac:dyDescent="0.45">
      <c r="A462" s="55"/>
      <c r="B462"/>
    </row>
    <row r="463" spans="1:2" x14ac:dyDescent="0.45">
      <c r="A463" s="55"/>
      <c r="B463"/>
    </row>
    <row r="464" spans="1:2" x14ac:dyDescent="0.45">
      <c r="A464" s="55"/>
      <c r="B464"/>
    </row>
    <row r="465" spans="1:2" x14ac:dyDescent="0.45">
      <c r="A465" s="55"/>
      <c r="B465"/>
    </row>
    <row r="466" spans="1:2" x14ac:dyDescent="0.45">
      <c r="A466" s="55"/>
      <c r="B466"/>
    </row>
    <row r="467" spans="1:2" x14ac:dyDescent="0.45">
      <c r="A467" s="55"/>
      <c r="B467"/>
    </row>
    <row r="468" spans="1:2" x14ac:dyDescent="0.45">
      <c r="A468" s="55"/>
      <c r="B468"/>
    </row>
    <row r="469" spans="1:2" x14ac:dyDescent="0.45">
      <c r="A469" s="55"/>
      <c r="B469"/>
    </row>
    <row r="470" spans="1:2" x14ac:dyDescent="0.45">
      <c r="A470" s="55"/>
      <c r="B470"/>
    </row>
    <row r="471" spans="1:2" x14ac:dyDescent="0.45">
      <c r="A471" s="55"/>
      <c r="B471"/>
    </row>
    <row r="472" spans="1:2" x14ac:dyDescent="0.45">
      <c r="A472" s="55"/>
      <c r="B472"/>
    </row>
    <row r="473" spans="1:2" x14ac:dyDescent="0.45">
      <c r="A473" s="55"/>
      <c r="B473"/>
    </row>
    <row r="474" spans="1:2" x14ac:dyDescent="0.45">
      <c r="A474" s="55"/>
      <c r="B474"/>
    </row>
    <row r="475" spans="1:2" x14ac:dyDescent="0.45">
      <c r="A475" s="55"/>
      <c r="B475"/>
    </row>
    <row r="476" spans="1:2" x14ac:dyDescent="0.45">
      <c r="A476" s="55"/>
      <c r="B476"/>
    </row>
    <row r="477" spans="1:2" x14ac:dyDescent="0.45">
      <c r="A477" s="55"/>
      <c r="B477"/>
    </row>
    <row r="478" spans="1:2" x14ac:dyDescent="0.45">
      <c r="A478" s="55"/>
      <c r="B478"/>
    </row>
    <row r="479" spans="1:2" x14ac:dyDescent="0.45">
      <c r="A479" s="55"/>
      <c r="B479"/>
    </row>
    <row r="480" spans="1:2" x14ac:dyDescent="0.45">
      <c r="A480" s="55"/>
      <c r="B480"/>
    </row>
    <row r="481" spans="1:2" x14ac:dyDescent="0.45">
      <c r="A481" s="55"/>
      <c r="B481"/>
    </row>
    <row r="482" spans="1:2" x14ac:dyDescent="0.45">
      <c r="A482" s="55"/>
      <c r="B482"/>
    </row>
    <row r="483" spans="1:2" x14ac:dyDescent="0.45">
      <c r="A483" s="55"/>
      <c r="B483"/>
    </row>
    <row r="484" spans="1:2" x14ac:dyDescent="0.45">
      <c r="A484" s="55"/>
      <c r="B484"/>
    </row>
    <row r="485" spans="1:2" x14ac:dyDescent="0.45">
      <c r="A485" s="55"/>
      <c r="B485"/>
    </row>
    <row r="486" spans="1:2" x14ac:dyDescent="0.45">
      <c r="A486" s="55"/>
      <c r="B486"/>
    </row>
    <row r="487" spans="1:2" x14ac:dyDescent="0.45">
      <c r="A487" s="55"/>
      <c r="B487"/>
    </row>
    <row r="488" spans="1:2" x14ac:dyDescent="0.45">
      <c r="A488" s="55"/>
      <c r="B488"/>
    </row>
    <row r="489" spans="1:2" x14ac:dyDescent="0.45">
      <c r="A489" s="55"/>
      <c r="B489"/>
    </row>
    <row r="490" spans="1:2" x14ac:dyDescent="0.45">
      <c r="A490" s="55"/>
      <c r="B490"/>
    </row>
    <row r="491" spans="1:2" x14ac:dyDescent="0.45">
      <c r="A491" s="55"/>
      <c r="B491"/>
    </row>
    <row r="492" spans="1:2" x14ac:dyDescent="0.45">
      <c r="A492" s="55"/>
      <c r="B492"/>
    </row>
    <row r="493" spans="1:2" x14ac:dyDescent="0.45">
      <c r="A493" s="55"/>
      <c r="B493"/>
    </row>
    <row r="494" spans="1:2" x14ac:dyDescent="0.45">
      <c r="A494" s="55"/>
      <c r="B494"/>
    </row>
    <row r="495" spans="1:2" x14ac:dyDescent="0.45">
      <c r="A495" s="55"/>
      <c r="B495"/>
    </row>
    <row r="496" spans="1:2" x14ac:dyDescent="0.45">
      <c r="A496" s="55"/>
      <c r="B496"/>
    </row>
    <row r="497" spans="1:2" x14ac:dyDescent="0.45">
      <c r="A497" s="55"/>
      <c r="B497"/>
    </row>
    <row r="498" spans="1:2" x14ac:dyDescent="0.45">
      <c r="A498" s="55"/>
      <c r="B498"/>
    </row>
    <row r="499" spans="1:2" x14ac:dyDescent="0.45">
      <c r="A499" s="55"/>
      <c r="B499"/>
    </row>
    <row r="500" spans="1:2" x14ac:dyDescent="0.45">
      <c r="A500" s="55"/>
      <c r="B500"/>
    </row>
    <row r="501" spans="1:2" x14ac:dyDescent="0.45">
      <c r="A501" s="55"/>
      <c r="B501"/>
    </row>
    <row r="502" spans="1:2" x14ac:dyDescent="0.45">
      <c r="A502" s="55"/>
      <c r="B502"/>
    </row>
    <row r="503" spans="1:2" x14ac:dyDescent="0.45">
      <c r="A503" s="55"/>
      <c r="B503"/>
    </row>
    <row r="504" spans="1:2" x14ac:dyDescent="0.45">
      <c r="A504" s="55"/>
      <c r="B504"/>
    </row>
    <row r="505" spans="1:2" x14ac:dyDescent="0.45">
      <c r="A505" s="55"/>
      <c r="B505"/>
    </row>
    <row r="506" spans="1:2" x14ac:dyDescent="0.45">
      <c r="A506" s="55"/>
      <c r="B506"/>
    </row>
    <row r="507" spans="1:2" x14ac:dyDescent="0.45">
      <c r="A507" s="55"/>
      <c r="B507"/>
    </row>
    <row r="508" spans="1:2" x14ac:dyDescent="0.45">
      <c r="A508" s="55"/>
      <c r="B508"/>
    </row>
    <row r="509" spans="1:2" x14ac:dyDescent="0.45">
      <c r="A509" s="55"/>
      <c r="B509"/>
    </row>
    <row r="510" spans="1:2" x14ac:dyDescent="0.45">
      <c r="A510" s="55"/>
      <c r="B510"/>
    </row>
    <row r="511" spans="1:2" x14ac:dyDescent="0.45">
      <c r="A511" s="55"/>
      <c r="B511"/>
    </row>
    <row r="512" spans="1:2" x14ac:dyDescent="0.45">
      <c r="A512" s="55"/>
      <c r="B512"/>
    </row>
    <row r="513" spans="1:2" x14ac:dyDescent="0.45">
      <c r="A513" s="55"/>
      <c r="B513"/>
    </row>
    <row r="514" spans="1:2" x14ac:dyDescent="0.45">
      <c r="A514" s="55"/>
      <c r="B514"/>
    </row>
    <row r="515" spans="1:2" x14ac:dyDescent="0.45">
      <c r="A515" s="55"/>
      <c r="B515"/>
    </row>
    <row r="516" spans="1:2" x14ac:dyDescent="0.45">
      <c r="A516" s="55"/>
      <c r="B516"/>
    </row>
    <row r="517" spans="1:2" x14ac:dyDescent="0.45">
      <c r="A517" s="55"/>
      <c r="B517"/>
    </row>
    <row r="518" spans="1:2" x14ac:dyDescent="0.45">
      <c r="A518" s="55"/>
      <c r="B518"/>
    </row>
    <row r="519" spans="1:2" x14ac:dyDescent="0.45">
      <c r="A519" s="55"/>
      <c r="B519"/>
    </row>
    <row r="520" spans="1:2" x14ac:dyDescent="0.45">
      <c r="A520" s="55"/>
      <c r="B520"/>
    </row>
    <row r="521" spans="1:2" x14ac:dyDescent="0.45">
      <c r="A521" s="55"/>
      <c r="B521"/>
    </row>
    <row r="522" spans="1:2" x14ac:dyDescent="0.45">
      <c r="A522" s="55"/>
      <c r="B522"/>
    </row>
    <row r="523" spans="1:2" x14ac:dyDescent="0.45">
      <c r="A523" s="55"/>
      <c r="B523"/>
    </row>
    <row r="524" spans="1:2" x14ac:dyDescent="0.45">
      <c r="A524" s="55"/>
      <c r="B524"/>
    </row>
    <row r="525" spans="1:2" x14ac:dyDescent="0.45">
      <c r="A525" s="55"/>
      <c r="B525"/>
    </row>
    <row r="526" spans="1:2" x14ac:dyDescent="0.45">
      <c r="A526" s="55"/>
      <c r="B526"/>
    </row>
    <row r="527" spans="1:2" x14ac:dyDescent="0.45">
      <c r="A527" s="55"/>
      <c r="B527"/>
    </row>
    <row r="528" spans="1:2" x14ac:dyDescent="0.45">
      <c r="A528" s="55"/>
      <c r="B528"/>
    </row>
    <row r="529" spans="1:2" x14ac:dyDescent="0.45">
      <c r="A529" s="55"/>
      <c r="B529"/>
    </row>
    <row r="530" spans="1:2" x14ac:dyDescent="0.45">
      <c r="A530" s="55"/>
      <c r="B530"/>
    </row>
    <row r="531" spans="1:2" x14ac:dyDescent="0.45">
      <c r="A531" s="55"/>
      <c r="B531"/>
    </row>
    <row r="532" spans="1:2" x14ac:dyDescent="0.45">
      <c r="A532" s="55"/>
      <c r="B532"/>
    </row>
    <row r="533" spans="1:2" x14ac:dyDescent="0.45">
      <c r="A533" s="55"/>
      <c r="B533"/>
    </row>
    <row r="534" spans="1:2" x14ac:dyDescent="0.45">
      <c r="A534" s="55"/>
      <c r="B534"/>
    </row>
    <row r="535" spans="1:2" x14ac:dyDescent="0.45">
      <c r="A535" s="55"/>
      <c r="B535"/>
    </row>
    <row r="536" spans="1:2" x14ac:dyDescent="0.45">
      <c r="A536" s="55"/>
      <c r="B536"/>
    </row>
    <row r="537" spans="1:2" x14ac:dyDescent="0.45">
      <c r="A537" s="55"/>
      <c r="B537"/>
    </row>
    <row r="538" spans="1:2" x14ac:dyDescent="0.45">
      <c r="A538" s="55"/>
      <c r="B538"/>
    </row>
    <row r="539" spans="1:2" x14ac:dyDescent="0.45">
      <c r="A539" s="55"/>
      <c r="B539"/>
    </row>
    <row r="540" spans="1:2" x14ac:dyDescent="0.45">
      <c r="A540" s="55"/>
      <c r="B540"/>
    </row>
    <row r="541" spans="1:2" x14ac:dyDescent="0.45">
      <c r="A541" s="55"/>
      <c r="B541"/>
    </row>
    <row r="542" spans="1:2" x14ac:dyDescent="0.45">
      <c r="A542" s="55"/>
      <c r="B542"/>
    </row>
    <row r="543" spans="1:2" x14ac:dyDescent="0.45">
      <c r="A543" s="55"/>
      <c r="B543"/>
    </row>
    <row r="544" spans="1:2" x14ac:dyDescent="0.45">
      <c r="A544" s="55"/>
      <c r="B544"/>
    </row>
    <row r="545" spans="1:2" x14ac:dyDescent="0.45">
      <c r="A545" s="55"/>
      <c r="B545"/>
    </row>
    <row r="546" spans="1:2" x14ac:dyDescent="0.45">
      <c r="A546" s="55"/>
      <c r="B546"/>
    </row>
    <row r="547" spans="1:2" x14ac:dyDescent="0.45">
      <c r="A547" s="55"/>
      <c r="B547"/>
    </row>
    <row r="548" spans="1:2" x14ac:dyDescent="0.45">
      <c r="A548" s="55"/>
      <c r="B548"/>
    </row>
    <row r="549" spans="1:2" x14ac:dyDescent="0.45">
      <c r="A549" s="55"/>
      <c r="B549"/>
    </row>
    <row r="550" spans="1:2" x14ac:dyDescent="0.45">
      <c r="A550" s="55"/>
      <c r="B550"/>
    </row>
    <row r="551" spans="1:2" x14ac:dyDescent="0.45">
      <c r="A551" s="55"/>
      <c r="B551"/>
    </row>
    <row r="552" spans="1:2" x14ac:dyDescent="0.45">
      <c r="A552" s="55"/>
      <c r="B552"/>
    </row>
    <row r="553" spans="1:2" x14ac:dyDescent="0.45">
      <c r="A553" s="55"/>
      <c r="B553"/>
    </row>
    <row r="554" spans="1:2" x14ac:dyDescent="0.45">
      <c r="A554" s="55"/>
      <c r="B554"/>
    </row>
    <row r="555" spans="1:2" x14ac:dyDescent="0.45">
      <c r="A555" s="55"/>
      <c r="B555"/>
    </row>
    <row r="556" spans="1:2" x14ac:dyDescent="0.45">
      <c r="A556" s="55"/>
      <c r="B556"/>
    </row>
    <row r="557" spans="1:2" x14ac:dyDescent="0.45">
      <c r="A557" s="55"/>
      <c r="B557"/>
    </row>
    <row r="558" spans="1:2" x14ac:dyDescent="0.45">
      <c r="A558" s="55"/>
      <c r="B558"/>
    </row>
    <row r="559" spans="1:2" x14ac:dyDescent="0.45">
      <c r="A559" s="55"/>
      <c r="B559"/>
    </row>
    <row r="560" spans="1:2" x14ac:dyDescent="0.45">
      <c r="A560" s="55"/>
      <c r="B560"/>
    </row>
    <row r="561" spans="1:2" x14ac:dyDescent="0.45">
      <c r="A561" s="55"/>
      <c r="B561"/>
    </row>
    <row r="562" spans="1:2" x14ac:dyDescent="0.45">
      <c r="A562" s="55"/>
      <c r="B562"/>
    </row>
    <row r="563" spans="1:2" x14ac:dyDescent="0.45">
      <c r="A563" s="55"/>
      <c r="B563"/>
    </row>
    <row r="564" spans="1:2" x14ac:dyDescent="0.45">
      <c r="A564" s="55"/>
      <c r="B564"/>
    </row>
    <row r="565" spans="1:2" x14ac:dyDescent="0.45">
      <c r="A565" s="55"/>
      <c r="B565"/>
    </row>
    <row r="566" spans="1:2" x14ac:dyDescent="0.45">
      <c r="A566" s="55"/>
      <c r="B566"/>
    </row>
    <row r="567" spans="1:2" x14ac:dyDescent="0.45">
      <c r="A567" s="55"/>
      <c r="B567"/>
    </row>
    <row r="568" spans="1:2" x14ac:dyDescent="0.45">
      <c r="A568" s="55"/>
      <c r="B568"/>
    </row>
    <row r="569" spans="1:2" x14ac:dyDescent="0.45">
      <c r="A569" s="55"/>
      <c r="B569"/>
    </row>
    <row r="570" spans="1:2" x14ac:dyDescent="0.45">
      <c r="A570" s="55"/>
      <c r="B570"/>
    </row>
    <row r="571" spans="1:2" x14ac:dyDescent="0.45">
      <c r="A571" s="55"/>
      <c r="B571"/>
    </row>
    <row r="572" spans="1:2" x14ac:dyDescent="0.45">
      <c r="A572" s="55"/>
      <c r="B572"/>
    </row>
    <row r="573" spans="1:2" x14ac:dyDescent="0.45">
      <c r="A573" s="55"/>
      <c r="B573"/>
    </row>
    <row r="574" spans="1:2" x14ac:dyDescent="0.45">
      <c r="A574" s="55"/>
      <c r="B574"/>
    </row>
    <row r="575" spans="1:2" x14ac:dyDescent="0.45">
      <c r="A575" s="55"/>
      <c r="B575"/>
    </row>
    <row r="576" spans="1:2" x14ac:dyDescent="0.45">
      <c r="A576" s="55"/>
      <c r="B576"/>
    </row>
    <row r="577" spans="1:2" x14ac:dyDescent="0.45">
      <c r="A577" s="55"/>
      <c r="B577"/>
    </row>
    <row r="578" spans="1:2" x14ac:dyDescent="0.45">
      <c r="A578" s="55"/>
      <c r="B578"/>
    </row>
    <row r="579" spans="1:2" x14ac:dyDescent="0.45">
      <c r="A579" s="55"/>
      <c r="B579"/>
    </row>
    <row r="580" spans="1:2" x14ac:dyDescent="0.45">
      <c r="A580" s="55"/>
      <c r="B580"/>
    </row>
    <row r="581" spans="1:2" x14ac:dyDescent="0.45">
      <c r="A581" s="55"/>
      <c r="B581"/>
    </row>
    <row r="582" spans="1:2" x14ac:dyDescent="0.45">
      <c r="A582" s="55"/>
      <c r="B582"/>
    </row>
    <row r="583" spans="1:2" x14ac:dyDescent="0.45">
      <c r="A583" s="55"/>
      <c r="B583"/>
    </row>
    <row r="584" spans="1:2" x14ac:dyDescent="0.45">
      <c r="A584" s="55"/>
      <c r="B584"/>
    </row>
    <row r="585" spans="1:2" x14ac:dyDescent="0.45">
      <c r="A585" s="55"/>
      <c r="B585"/>
    </row>
    <row r="586" spans="1:2" x14ac:dyDescent="0.45">
      <c r="A586" s="55"/>
      <c r="B586"/>
    </row>
    <row r="587" spans="1:2" x14ac:dyDescent="0.45">
      <c r="A587" s="55"/>
      <c r="B587"/>
    </row>
    <row r="588" spans="1:2" x14ac:dyDescent="0.45">
      <c r="A588" s="55"/>
      <c r="B588"/>
    </row>
    <row r="589" spans="1:2" x14ac:dyDescent="0.45">
      <c r="A589" s="55"/>
      <c r="B589"/>
    </row>
    <row r="590" spans="1:2" x14ac:dyDescent="0.45">
      <c r="A590" s="55"/>
      <c r="B590"/>
    </row>
    <row r="591" spans="1:2" x14ac:dyDescent="0.45">
      <c r="A591" s="55"/>
      <c r="B591"/>
    </row>
    <row r="592" spans="1:2" x14ac:dyDescent="0.45">
      <c r="A592" s="55"/>
      <c r="B592"/>
    </row>
    <row r="593" spans="1:2" x14ac:dyDescent="0.45">
      <c r="A593" s="55"/>
      <c r="B593"/>
    </row>
    <row r="594" spans="1:2" x14ac:dyDescent="0.45">
      <c r="A594" s="55"/>
      <c r="B594"/>
    </row>
    <row r="595" spans="1:2" x14ac:dyDescent="0.45">
      <c r="A595" s="55"/>
      <c r="B595"/>
    </row>
    <row r="596" spans="1:2" x14ac:dyDescent="0.45">
      <c r="A596" s="55"/>
      <c r="B596"/>
    </row>
    <row r="597" spans="1:2" x14ac:dyDescent="0.45">
      <c r="A597" s="55"/>
      <c r="B597"/>
    </row>
    <row r="598" spans="1:2" x14ac:dyDescent="0.45">
      <c r="A598" s="55"/>
      <c r="B598"/>
    </row>
    <row r="599" spans="1:2" x14ac:dyDescent="0.45">
      <c r="A599" s="55"/>
      <c r="B599"/>
    </row>
    <row r="600" spans="1:2" x14ac:dyDescent="0.45">
      <c r="A600" s="55"/>
      <c r="B600"/>
    </row>
    <row r="601" spans="1:2" x14ac:dyDescent="0.45">
      <c r="A601" s="55"/>
      <c r="B601"/>
    </row>
    <row r="602" spans="1:2" x14ac:dyDescent="0.45">
      <c r="A602" s="55"/>
      <c r="B602"/>
    </row>
    <row r="603" spans="1:2" x14ac:dyDescent="0.45">
      <c r="A603" s="55"/>
      <c r="B603"/>
    </row>
    <row r="604" spans="1:2" x14ac:dyDescent="0.45">
      <c r="A604" s="55"/>
      <c r="B604"/>
    </row>
    <row r="605" spans="1:2" x14ac:dyDescent="0.45">
      <c r="A605" s="55"/>
      <c r="B605"/>
    </row>
    <row r="606" spans="1:2" x14ac:dyDescent="0.45">
      <c r="A606" s="55"/>
      <c r="B606"/>
    </row>
    <row r="607" spans="1:2" x14ac:dyDescent="0.45">
      <c r="A607" s="55"/>
      <c r="B607"/>
    </row>
    <row r="608" spans="1:2" x14ac:dyDescent="0.45">
      <c r="A608" s="55"/>
      <c r="B608"/>
    </row>
    <row r="609" spans="1:2" x14ac:dyDescent="0.45">
      <c r="A609" s="55"/>
      <c r="B609"/>
    </row>
    <row r="610" spans="1:2" x14ac:dyDescent="0.45">
      <c r="A610" s="55"/>
      <c r="B610"/>
    </row>
    <row r="611" spans="1:2" x14ac:dyDescent="0.45">
      <c r="A611" s="55"/>
      <c r="B611"/>
    </row>
    <row r="612" spans="1:2" x14ac:dyDescent="0.45">
      <c r="A612" s="55"/>
      <c r="B612"/>
    </row>
    <row r="613" spans="1:2" x14ac:dyDescent="0.45">
      <c r="A613" s="55"/>
      <c r="B613"/>
    </row>
    <row r="614" spans="1:2" x14ac:dyDescent="0.45">
      <c r="A614" s="55"/>
      <c r="B614"/>
    </row>
    <row r="615" spans="1:2" x14ac:dyDescent="0.45">
      <c r="A615" s="55"/>
      <c r="B615"/>
    </row>
    <row r="616" spans="1:2" x14ac:dyDescent="0.45">
      <c r="A616" s="55"/>
      <c r="B616"/>
    </row>
    <row r="617" spans="1:2" x14ac:dyDescent="0.45">
      <c r="A617" s="55"/>
      <c r="B617"/>
    </row>
    <row r="618" spans="1:2" x14ac:dyDescent="0.45">
      <c r="A618" s="55"/>
      <c r="B618"/>
    </row>
    <row r="619" spans="1:2" x14ac:dyDescent="0.45">
      <c r="A619" s="55"/>
      <c r="B619"/>
    </row>
    <row r="620" spans="1:2" x14ac:dyDescent="0.45">
      <c r="A620" s="55"/>
      <c r="B620"/>
    </row>
    <row r="621" spans="1:2" x14ac:dyDescent="0.45">
      <c r="A621" s="55"/>
      <c r="B621"/>
    </row>
    <row r="622" spans="1:2" x14ac:dyDescent="0.45">
      <c r="A622" s="55"/>
      <c r="B622"/>
    </row>
    <row r="623" spans="1:2" x14ac:dyDescent="0.45">
      <c r="A623" s="55"/>
      <c r="B623"/>
    </row>
    <row r="624" spans="1:2" x14ac:dyDescent="0.45">
      <c r="A624" s="55"/>
      <c r="B624"/>
    </row>
    <row r="625" spans="1:2" x14ac:dyDescent="0.45">
      <c r="A625" s="55"/>
      <c r="B625"/>
    </row>
    <row r="626" spans="1:2" x14ac:dyDescent="0.45">
      <c r="A626" s="55"/>
      <c r="B626"/>
    </row>
    <row r="627" spans="1:2" x14ac:dyDescent="0.45">
      <c r="A627" s="55"/>
      <c r="B627"/>
    </row>
    <row r="628" spans="1:2" x14ac:dyDescent="0.45">
      <c r="A628" s="55"/>
      <c r="B628"/>
    </row>
    <row r="629" spans="1:2" x14ac:dyDescent="0.45">
      <c r="A629" s="55"/>
      <c r="B629"/>
    </row>
    <row r="630" spans="1:2" x14ac:dyDescent="0.45">
      <c r="A630" s="55"/>
      <c r="B630"/>
    </row>
    <row r="631" spans="1:2" x14ac:dyDescent="0.45">
      <c r="A631" s="55"/>
      <c r="B631"/>
    </row>
    <row r="632" spans="1:2" x14ac:dyDescent="0.45">
      <c r="A632" s="55"/>
      <c r="B632"/>
    </row>
    <row r="633" spans="1:2" x14ac:dyDescent="0.45">
      <c r="A633" s="55"/>
      <c r="B633"/>
    </row>
    <row r="634" spans="1:2" x14ac:dyDescent="0.45">
      <c r="A634" s="55"/>
      <c r="B634"/>
    </row>
    <row r="635" spans="1:2" x14ac:dyDescent="0.45">
      <c r="A635" s="55"/>
      <c r="B635"/>
    </row>
    <row r="636" spans="1:2" x14ac:dyDescent="0.45">
      <c r="A636" s="55"/>
      <c r="B636"/>
    </row>
    <row r="637" spans="1:2" x14ac:dyDescent="0.45">
      <c r="A637" s="55"/>
      <c r="B637"/>
    </row>
    <row r="638" spans="1:2" x14ac:dyDescent="0.45">
      <c r="A638" s="55"/>
      <c r="B638"/>
    </row>
    <row r="639" spans="1:2" x14ac:dyDescent="0.45">
      <c r="A639" s="55"/>
      <c r="B639"/>
    </row>
    <row r="640" spans="1:2" x14ac:dyDescent="0.45">
      <c r="A640" s="55"/>
      <c r="B640"/>
    </row>
    <row r="641" spans="1:2" x14ac:dyDescent="0.45">
      <c r="A641" s="55"/>
      <c r="B641"/>
    </row>
    <row r="642" spans="1:2" x14ac:dyDescent="0.45">
      <c r="A642" s="55"/>
      <c r="B642"/>
    </row>
    <row r="643" spans="1:2" x14ac:dyDescent="0.45">
      <c r="A643" s="55"/>
      <c r="B643"/>
    </row>
    <row r="644" spans="1:2" x14ac:dyDescent="0.45">
      <c r="A644" s="55"/>
      <c r="B644"/>
    </row>
    <row r="645" spans="1:2" x14ac:dyDescent="0.45">
      <c r="A645" s="55"/>
      <c r="B645"/>
    </row>
    <row r="646" spans="1:2" x14ac:dyDescent="0.45">
      <c r="A646" s="55"/>
      <c r="B646"/>
    </row>
    <row r="647" spans="1:2" x14ac:dyDescent="0.45">
      <c r="A647" s="55"/>
      <c r="B647"/>
    </row>
    <row r="648" spans="1:2" x14ac:dyDescent="0.45">
      <c r="A648" s="55"/>
      <c r="B648"/>
    </row>
    <row r="649" spans="1:2" x14ac:dyDescent="0.45">
      <c r="A649" s="55"/>
      <c r="B649"/>
    </row>
    <row r="650" spans="1:2" x14ac:dyDescent="0.45">
      <c r="A650" s="55"/>
      <c r="B650"/>
    </row>
    <row r="651" spans="1:2" x14ac:dyDescent="0.45">
      <c r="A651" s="55"/>
      <c r="B651"/>
    </row>
    <row r="652" spans="1:2" x14ac:dyDescent="0.45">
      <c r="A652" s="55"/>
      <c r="B652"/>
    </row>
    <row r="653" spans="1:2" x14ac:dyDescent="0.45">
      <c r="A653" s="55"/>
      <c r="B653"/>
    </row>
    <row r="654" spans="1:2" x14ac:dyDescent="0.45">
      <c r="A654" s="55"/>
      <c r="B654"/>
    </row>
    <row r="655" spans="1:2" x14ac:dyDescent="0.45">
      <c r="A655" s="55"/>
      <c r="B655"/>
    </row>
    <row r="656" spans="1:2" x14ac:dyDescent="0.45">
      <c r="A656" s="55"/>
      <c r="B656"/>
    </row>
    <row r="657" spans="1:2" x14ac:dyDescent="0.45">
      <c r="A657" s="55"/>
      <c r="B657"/>
    </row>
    <row r="658" spans="1:2" x14ac:dyDescent="0.45">
      <c r="A658" s="55"/>
      <c r="B658"/>
    </row>
    <row r="659" spans="1:2" x14ac:dyDescent="0.45">
      <c r="A659" s="55"/>
      <c r="B659"/>
    </row>
    <row r="660" spans="1:2" x14ac:dyDescent="0.45">
      <c r="A660" s="55"/>
      <c r="B660"/>
    </row>
    <row r="661" spans="1:2" x14ac:dyDescent="0.45">
      <c r="A661" s="55"/>
      <c r="B661"/>
    </row>
    <row r="662" spans="1:2" x14ac:dyDescent="0.45">
      <c r="A662" s="55"/>
      <c r="B662"/>
    </row>
    <row r="663" spans="1:2" x14ac:dyDescent="0.45">
      <c r="A663" s="55"/>
      <c r="B663"/>
    </row>
    <row r="664" spans="1:2" x14ac:dyDescent="0.45">
      <c r="A664" s="55"/>
      <c r="B664"/>
    </row>
    <row r="665" spans="1:2" x14ac:dyDescent="0.45">
      <c r="A665" s="55"/>
      <c r="B665"/>
    </row>
    <row r="666" spans="1:2" x14ac:dyDescent="0.45">
      <c r="A666" s="55"/>
      <c r="B666"/>
    </row>
    <row r="667" spans="1:2" x14ac:dyDescent="0.45">
      <c r="A667" s="55"/>
      <c r="B667"/>
    </row>
    <row r="668" spans="1:2" x14ac:dyDescent="0.45">
      <c r="A668" s="55"/>
      <c r="B668"/>
    </row>
    <row r="669" spans="1:2" x14ac:dyDescent="0.45">
      <c r="A669" s="55"/>
      <c r="B669"/>
    </row>
    <row r="670" spans="1:2" x14ac:dyDescent="0.45">
      <c r="A670" s="55"/>
      <c r="B670"/>
    </row>
    <row r="671" spans="1:2" x14ac:dyDescent="0.45">
      <c r="A671" s="55"/>
      <c r="B671"/>
    </row>
    <row r="672" spans="1:2" x14ac:dyDescent="0.45">
      <c r="A672" s="55"/>
      <c r="B672"/>
    </row>
    <row r="673" spans="1:2" x14ac:dyDescent="0.45">
      <c r="A673" s="55"/>
      <c r="B673"/>
    </row>
    <row r="674" spans="1:2" x14ac:dyDescent="0.45">
      <c r="A674" s="55"/>
      <c r="B674"/>
    </row>
    <row r="675" spans="1:2" x14ac:dyDescent="0.45">
      <c r="A675" s="55"/>
      <c r="B675"/>
    </row>
    <row r="676" spans="1:2" x14ac:dyDescent="0.45">
      <c r="A676" s="55"/>
      <c r="B676"/>
    </row>
    <row r="677" spans="1:2" x14ac:dyDescent="0.45">
      <c r="A677" s="55"/>
      <c r="B677"/>
    </row>
    <row r="678" spans="1:2" x14ac:dyDescent="0.45">
      <c r="A678" s="55"/>
      <c r="B678"/>
    </row>
    <row r="679" spans="1:2" x14ac:dyDescent="0.45">
      <c r="A679" s="55"/>
      <c r="B679"/>
    </row>
    <row r="680" spans="1:2" x14ac:dyDescent="0.45">
      <c r="A680" s="55"/>
      <c r="B680"/>
    </row>
    <row r="681" spans="1:2" x14ac:dyDescent="0.45">
      <c r="A681" s="55"/>
      <c r="B681"/>
    </row>
    <row r="682" spans="1:2" x14ac:dyDescent="0.45">
      <c r="A682" s="55"/>
      <c r="B682"/>
    </row>
    <row r="683" spans="1:2" x14ac:dyDescent="0.45">
      <c r="A683" s="55"/>
      <c r="B683"/>
    </row>
    <row r="684" spans="1:2" x14ac:dyDescent="0.45">
      <c r="A684" s="55"/>
      <c r="B684"/>
    </row>
    <row r="685" spans="1:2" x14ac:dyDescent="0.45">
      <c r="A685" s="55"/>
      <c r="B685"/>
    </row>
    <row r="686" spans="1:2" x14ac:dyDescent="0.45">
      <c r="A686" s="55"/>
      <c r="B686"/>
    </row>
    <row r="687" spans="1:2" x14ac:dyDescent="0.45">
      <c r="A687" s="55"/>
      <c r="B687"/>
    </row>
    <row r="688" spans="1:2" x14ac:dyDescent="0.45">
      <c r="A688" s="55"/>
      <c r="B688"/>
    </row>
    <row r="689" spans="1:2" x14ac:dyDescent="0.45">
      <c r="A689" s="55"/>
      <c r="B689"/>
    </row>
    <row r="690" spans="1:2" x14ac:dyDescent="0.45">
      <c r="A690" s="55"/>
      <c r="B690"/>
    </row>
    <row r="691" spans="1:2" x14ac:dyDescent="0.45">
      <c r="A691" s="55"/>
      <c r="B691"/>
    </row>
    <row r="692" spans="1:2" x14ac:dyDescent="0.45">
      <c r="A692" s="55"/>
      <c r="B692"/>
    </row>
    <row r="693" spans="1:2" x14ac:dyDescent="0.45">
      <c r="A693" s="55"/>
      <c r="B693"/>
    </row>
    <row r="694" spans="1:2" x14ac:dyDescent="0.45">
      <c r="A694" s="55"/>
      <c r="B694"/>
    </row>
    <row r="695" spans="1:2" x14ac:dyDescent="0.45">
      <c r="A695" s="55"/>
      <c r="B695"/>
    </row>
    <row r="696" spans="1:2" x14ac:dyDescent="0.45">
      <c r="A696" s="55"/>
      <c r="B696"/>
    </row>
    <row r="697" spans="1:2" x14ac:dyDescent="0.45">
      <c r="A697" s="55"/>
      <c r="B697"/>
    </row>
    <row r="698" spans="1:2" x14ac:dyDescent="0.45">
      <c r="A698" s="55"/>
      <c r="B698"/>
    </row>
    <row r="699" spans="1:2" x14ac:dyDescent="0.45">
      <c r="A699" s="55"/>
      <c r="B699"/>
    </row>
    <row r="700" spans="1:2" x14ac:dyDescent="0.45">
      <c r="A700" s="55"/>
      <c r="B700"/>
    </row>
    <row r="701" spans="1:2" x14ac:dyDescent="0.45">
      <c r="A701" s="55"/>
      <c r="B701"/>
    </row>
    <row r="702" spans="1:2" x14ac:dyDescent="0.45">
      <c r="A702" s="55"/>
      <c r="B702"/>
    </row>
    <row r="703" spans="1:2" x14ac:dyDescent="0.45">
      <c r="A703" s="55"/>
      <c r="B703"/>
    </row>
    <row r="704" spans="1:2" x14ac:dyDescent="0.45">
      <c r="A704" s="55"/>
      <c r="B704"/>
    </row>
    <row r="705" spans="1:2" x14ac:dyDescent="0.45">
      <c r="A705" s="55"/>
      <c r="B705"/>
    </row>
    <row r="706" spans="1:2" x14ac:dyDescent="0.45">
      <c r="A706" s="55"/>
      <c r="B706"/>
    </row>
    <row r="707" spans="1:2" x14ac:dyDescent="0.45">
      <c r="A707" s="55"/>
      <c r="B707"/>
    </row>
    <row r="708" spans="1:2" x14ac:dyDescent="0.45">
      <c r="A708" s="55"/>
      <c r="B708"/>
    </row>
    <row r="709" spans="1:2" x14ac:dyDescent="0.45">
      <c r="A709" s="55"/>
      <c r="B709"/>
    </row>
    <row r="710" spans="1:2" x14ac:dyDescent="0.45">
      <c r="A710" s="55"/>
      <c r="B710"/>
    </row>
    <row r="711" spans="1:2" x14ac:dyDescent="0.45">
      <c r="A711" s="55"/>
      <c r="B711"/>
    </row>
    <row r="712" spans="1:2" x14ac:dyDescent="0.45">
      <c r="A712" s="55"/>
      <c r="B712"/>
    </row>
    <row r="713" spans="1:2" x14ac:dyDescent="0.45">
      <c r="A713" s="55"/>
      <c r="B713"/>
    </row>
    <row r="714" spans="1:2" x14ac:dyDescent="0.45">
      <c r="A714" s="55"/>
      <c r="B714"/>
    </row>
    <row r="715" spans="1:2" x14ac:dyDescent="0.45">
      <c r="A715" s="55"/>
      <c r="B715"/>
    </row>
    <row r="716" spans="1:2" x14ac:dyDescent="0.45">
      <c r="A716" s="55"/>
      <c r="B716"/>
    </row>
    <row r="717" spans="1:2" x14ac:dyDescent="0.45">
      <c r="A717" s="55"/>
      <c r="B717"/>
    </row>
    <row r="718" spans="1:2" x14ac:dyDescent="0.45">
      <c r="A718" s="55"/>
      <c r="B718"/>
    </row>
    <row r="719" spans="1:2" x14ac:dyDescent="0.45">
      <c r="A719" s="55"/>
      <c r="B719"/>
    </row>
    <row r="720" spans="1:2" x14ac:dyDescent="0.45">
      <c r="A720" s="55"/>
      <c r="B720"/>
    </row>
    <row r="721" spans="1:2" x14ac:dyDescent="0.45">
      <c r="A721" s="55"/>
      <c r="B721"/>
    </row>
    <row r="722" spans="1:2" x14ac:dyDescent="0.45">
      <c r="A722" s="55"/>
      <c r="B722"/>
    </row>
    <row r="723" spans="1:2" x14ac:dyDescent="0.45">
      <c r="A723" s="55"/>
      <c r="B723"/>
    </row>
    <row r="724" spans="1:2" x14ac:dyDescent="0.45">
      <c r="A724" s="55"/>
      <c r="B724"/>
    </row>
    <row r="725" spans="1:2" x14ac:dyDescent="0.45">
      <c r="A725" s="55"/>
      <c r="B725"/>
    </row>
    <row r="726" spans="1:2" x14ac:dyDescent="0.45">
      <c r="A726" s="55"/>
      <c r="B726"/>
    </row>
    <row r="727" spans="1:2" x14ac:dyDescent="0.45">
      <c r="A727" s="55"/>
      <c r="B727"/>
    </row>
    <row r="728" spans="1:2" x14ac:dyDescent="0.45">
      <c r="A728" s="55"/>
      <c r="B728"/>
    </row>
    <row r="729" spans="1:2" x14ac:dyDescent="0.45">
      <c r="A729" s="55"/>
      <c r="B729"/>
    </row>
    <row r="730" spans="1:2" x14ac:dyDescent="0.45">
      <c r="A730" s="55"/>
      <c r="B730"/>
    </row>
    <row r="731" spans="1:2" x14ac:dyDescent="0.45">
      <c r="A731" s="55"/>
      <c r="B731"/>
    </row>
    <row r="732" spans="1:2" x14ac:dyDescent="0.45">
      <c r="A732" s="55"/>
      <c r="B732"/>
    </row>
    <row r="733" spans="1:2" x14ac:dyDescent="0.45">
      <c r="A733" s="55"/>
      <c r="B733"/>
    </row>
    <row r="734" spans="1:2" x14ac:dyDescent="0.45">
      <c r="A734" s="55"/>
      <c r="B734"/>
    </row>
    <row r="735" spans="1:2" x14ac:dyDescent="0.45">
      <c r="A735" s="55"/>
      <c r="B735"/>
    </row>
    <row r="736" spans="1:2" x14ac:dyDescent="0.45">
      <c r="A736" s="55"/>
      <c r="B736"/>
    </row>
    <row r="737" spans="1:2" x14ac:dyDescent="0.45">
      <c r="A737" s="55"/>
      <c r="B737"/>
    </row>
    <row r="738" spans="1:2" x14ac:dyDescent="0.45">
      <c r="A738" s="55"/>
      <c r="B738"/>
    </row>
    <row r="739" spans="1:2" x14ac:dyDescent="0.45">
      <c r="A739" s="55"/>
      <c r="B739"/>
    </row>
    <row r="740" spans="1:2" x14ac:dyDescent="0.45">
      <c r="A740" s="55"/>
      <c r="B740"/>
    </row>
    <row r="741" spans="1:2" x14ac:dyDescent="0.45">
      <c r="A741" s="55"/>
      <c r="B741"/>
    </row>
    <row r="742" spans="1:2" x14ac:dyDescent="0.45">
      <c r="A742" s="55"/>
      <c r="B742"/>
    </row>
    <row r="743" spans="1:2" x14ac:dyDescent="0.45">
      <c r="A743" s="55"/>
      <c r="B743"/>
    </row>
    <row r="744" spans="1:2" x14ac:dyDescent="0.45">
      <c r="A744" s="55"/>
      <c r="B744"/>
    </row>
    <row r="745" spans="1:2" x14ac:dyDescent="0.45">
      <c r="A745" s="55"/>
      <c r="B745"/>
    </row>
    <row r="746" spans="1:2" x14ac:dyDescent="0.45">
      <c r="A746" s="55"/>
      <c r="B746"/>
    </row>
    <row r="747" spans="1:2" x14ac:dyDescent="0.45">
      <c r="A747" s="55"/>
      <c r="B747"/>
    </row>
    <row r="748" spans="1:2" x14ac:dyDescent="0.45">
      <c r="A748" s="55"/>
      <c r="B748"/>
    </row>
    <row r="749" spans="1:2" x14ac:dyDescent="0.45">
      <c r="A749" s="55"/>
      <c r="B749"/>
    </row>
    <row r="750" spans="1:2" x14ac:dyDescent="0.45">
      <c r="A750" s="55"/>
      <c r="B750"/>
    </row>
    <row r="751" spans="1:2" x14ac:dyDescent="0.45">
      <c r="A751" s="55"/>
      <c r="B751"/>
    </row>
    <row r="752" spans="1:2" x14ac:dyDescent="0.45">
      <c r="A752" s="55"/>
      <c r="B752"/>
    </row>
    <row r="753" spans="1:2" x14ac:dyDescent="0.45">
      <c r="A753" s="55"/>
      <c r="B753"/>
    </row>
    <row r="754" spans="1:2" x14ac:dyDescent="0.45">
      <c r="A754" s="55"/>
      <c r="B754"/>
    </row>
    <row r="755" spans="1:2" x14ac:dyDescent="0.45">
      <c r="A755" s="55"/>
      <c r="B755"/>
    </row>
    <row r="756" spans="1:2" x14ac:dyDescent="0.45">
      <c r="A756" s="55"/>
      <c r="B756"/>
    </row>
    <row r="757" spans="1:2" x14ac:dyDescent="0.45">
      <c r="A757" s="55"/>
      <c r="B757"/>
    </row>
    <row r="758" spans="1:2" x14ac:dyDescent="0.45">
      <c r="A758" s="55"/>
      <c r="B758"/>
    </row>
    <row r="759" spans="1:2" x14ac:dyDescent="0.45">
      <c r="A759" s="55"/>
      <c r="B759"/>
    </row>
    <row r="760" spans="1:2" x14ac:dyDescent="0.45">
      <c r="A760" s="55"/>
      <c r="B760"/>
    </row>
    <row r="761" spans="1:2" x14ac:dyDescent="0.45">
      <c r="A761" s="55"/>
      <c r="B761"/>
    </row>
    <row r="762" spans="1:2" x14ac:dyDescent="0.45">
      <c r="A762" s="55"/>
      <c r="B762"/>
    </row>
    <row r="763" spans="1:2" x14ac:dyDescent="0.45">
      <c r="A763" s="55"/>
      <c r="B763"/>
    </row>
    <row r="764" spans="1:2" x14ac:dyDescent="0.45">
      <c r="A764" s="55"/>
      <c r="B764"/>
    </row>
    <row r="765" spans="1:2" x14ac:dyDescent="0.45">
      <c r="A765" s="55"/>
      <c r="B765"/>
    </row>
    <row r="766" spans="1:2" x14ac:dyDescent="0.45">
      <c r="A766" s="55"/>
      <c r="B766"/>
    </row>
    <row r="767" spans="1:2" x14ac:dyDescent="0.45">
      <c r="A767" s="55"/>
      <c r="B767"/>
    </row>
    <row r="768" spans="1:2" x14ac:dyDescent="0.45">
      <c r="A768" s="55"/>
      <c r="B768"/>
    </row>
    <row r="769" spans="1:2" x14ac:dyDescent="0.45">
      <c r="A769" s="55"/>
      <c r="B769"/>
    </row>
    <row r="770" spans="1:2" x14ac:dyDescent="0.45">
      <c r="A770" s="55"/>
      <c r="B770"/>
    </row>
    <row r="771" spans="1:2" x14ac:dyDescent="0.45">
      <c r="A771" s="55"/>
      <c r="B771"/>
    </row>
    <row r="772" spans="1:2" x14ac:dyDescent="0.45">
      <c r="A772" s="55"/>
      <c r="B772"/>
    </row>
    <row r="773" spans="1:2" x14ac:dyDescent="0.45">
      <c r="A773" s="55"/>
      <c r="B773"/>
    </row>
    <row r="774" spans="1:2" x14ac:dyDescent="0.45">
      <c r="A774" s="55"/>
      <c r="B774"/>
    </row>
    <row r="775" spans="1:2" x14ac:dyDescent="0.45">
      <c r="A775" s="55"/>
      <c r="B775"/>
    </row>
    <row r="776" spans="1:2" x14ac:dyDescent="0.45">
      <c r="A776" s="55"/>
      <c r="B776"/>
    </row>
    <row r="777" spans="1:2" x14ac:dyDescent="0.45">
      <c r="A777" s="55"/>
      <c r="B777"/>
    </row>
    <row r="778" spans="1:2" x14ac:dyDescent="0.45">
      <c r="A778" s="55"/>
      <c r="B778"/>
    </row>
    <row r="779" spans="1:2" x14ac:dyDescent="0.45">
      <c r="A779" s="55"/>
      <c r="B779"/>
    </row>
    <row r="780" spans="1:2" x14ac:dyDescent="0.45">
      <c r="A780" s="55"/>
      <c r="B780"/>
    </row>
    <row r="781" spans="1:2" x14ac:dyDescent="0.45">
      <c r="A781" s="55"/>
      <c r="B781"/>
    </row>
    <row r="782" spans="1:2" x14ac:dyDescent="0.45">
      <c r="A782" s="55"/>
      <c r="B782"/>
    </row>
    <row r="783" spans="1:2" x14ac:dyDescent="0.45">
      <c r="A783" s="55"/>
      <c r="B783"/>
    </row>
    <row r="784" spans="1:2" x14ac:dyDescent="0.45">
      <c r="A784" s="55"/>
      <c r="B784"/>
    </row>
    <row r="785" spans="1:2" x14ac:dyDescent="0.45">
      <c r="A785" s="55"/>
      <c r="B785"/>
    </row>
    <row r="786" spans="1:2" x14ac:dyDescent="0.45">
      <c r="A786" s="55"/>
      <c r="B786"/>
    </row>
    <row r="787" spans="1:2" x14ac:dyDescent="0.45">
      <c r="A787" s="55"/>
      <c r="B787"/>
    </row>
    <row r="788" spans="1:2" x14ac:dyDescent="0.45">
      <c r="A788" s="55"/>
      <c r="B788"/>
    </row>
    <row r="789" spans="1:2" x14ac:dyDescent="0.45">
      <c r="A789" s="55"/>
      <c r="B789"/>
    </row>
    <row r="790" spans="1:2" x14ac:dyDescent="0.45">
      <c r="A790" s="55"/>
      <c r="B790"/>
    </row>
    <row r="791" spans="1:2" x14ac:dyDescent="0.45">
      <c r="A791" s="55"/>
      <c r="B791"/>
    </row>
    <row r="792" spans="1:2" x14ac:dyDescent="0.45">
      <c r="A792" s="55"/>
      <c r="B792"/>
    </row>
    <row r="793" spans="1:2" x14ac:dyDescent="0.45">
      <c r="A793" s="55"/>
      <c r="B793"/>
    </row>
    <row r="794" spans="1:2" x14ac:dyDescent="0.45">
      <c r="A794" s="55"/>
      <c r="B794"/>
    </row>
    <row r="795" spans="1:2" x14ac:dyDescent="0.45">
      <c r="A795" s="55"/>
      <c r="B795"/>
    </row>
    <row r="796" spans="1:2" x14ac:dyDescent="0.45">
      <c r="A796" s="55"/>
      <c r="B796"/>
    </row>
    <row r="797" spans="1:2" x14ac:dyDescent="0.45">
      <c r="A797" s="55"/>
      <c r="B797"/>
    </row>
    <row r="798" spans="1:2" x14ac:dyDescent="0.45">
      <c r="A798" s="55"/>
      <c r="B798"/>
    </row>
    <row r="799" spans="1:2" x14ac:dyDescent="0.45">
      <c r="A799" s="55"/>
      <c r="B799"/>
    </row>
    <row r="800" spans="1:2" x14ac:dyDescent="0.45">
      <c r="A800" s="55"/>
      <c r="B800"/>
    </row>
    <row r="801" spans="1:2" x14ac:dyDescent="0.45">
      <c r="A801" s="55"/>
      <c r="B801"/>
    </row>
    <row r="802" spans="1:2" x14ac:dyDescent="0.45">
      <c r="A802" s="55"/>
      <c r="B802"/>
    </row>
    <row r="803" spans="1:2" x14ac:dyDescent="0.45">
      <c r="A803" s="55"/>
      <c r="B803"/>
    </row>
    <row r="804" spans="1:2" x14ac:dyDescent="0.45">
      <c r="A804" s="55"/>
      <c r="B804"/>
    </row>
    <row r="805" spans="1:2" x14ac:dyDescent="0.45">
      <c r="A805" s="55"/>
      <c r="B805"/>
    </row>
    <row r="806" spans="1:2" x14ac:dyDescent="0.45">
      <c r="A806" s="55"/>
      <c r="B806"/>
    </row>
    <row r="807" spans="1:2" x14ac:dyDescent="0.45">
      <c r="A807" s="55"/>
      <c r="B807"/>
    </row>
    <row r="808" spans="1:2" x14ac:dyDescent="0.45">
      <c r="A808" s="55"/>
      <c r="B808"/>
    </row>
    <row r="809" spans="1:2" x14ac:dyDescent="0.45">
      <c r="A809" s="55"/>
      <c r="B809"/>
    </row>
    <row r="810" spans="1:2" x14ac:dyDescent="0.45">
      <c r="A810" s="55"/>
      <c r="B810"/>
    </row>
    <row r="811" spans="1:2" x14ac:dyDescent="0.45">
      <c r="A811" s="55"/>
      <c r="B811"/>
    </row>
    <row r="812" spans="1:2" x14ac:dyDescent="0.45">
      <c r="A812" s="55"/>
      <c r="B812"/>
    </row>
    <row r="813" spans="1:2" x14ac:dyDescent="0.45">
      <c r="A813" s="55"/>
      <c r="B813"/>
    </row>
    <row r="814" spans="1:2" x14ac:dyDescent="0.45">
      <c r="A814" s="55"/>
      <c r="B814"/>
    </row>
    <row r="815" spans="1:2" x14ac:dyDescent="0.45">
      <c r="A815" s="55"/>
      <c r="B815"/>
    </row>
    <row r="816" spans="1:2" x14ac:dyDescent="0.45">
      <c r="A816" s="55"/>
      <c r="B816"/>
    </row>
    <row r="817" spans="1:2" x14ac:dyDescent="0.45">
      <c r="A817" s="55"/>
      <c r="B817"/>
    </row>
    <row r="818" spans="1:2" x14ac:dyDescent="0.45">
      <c r="A818" s="55"/>
      <c r="B818"/>
    </row>
    <row r="819" spans="1:2" x14ac:dyDescent="0.45">
      <c r="A819" s="55"/>
      <c r="B819"/>
    </row>
    <row r="820" spans="1:2" x14ac:dyDescent="0.45">
      <c r="A820" s="55"/>
      <c r="B820"/>
    </row>
    <row r="821" spans="1:2" x14ac:dyDescent="0.45">
      <c r="A821" s="55"/>
      <c r="B821"/>
    </row>
    <row r="822" spans="1:2" x14ac:dyDescent="0.45">
      <c r="A822" s="55"/>
      <c r="B822"/>
    </row>
    <row r="823" spans="1:2" x14ac:dyDescent="0.45">
      <c r="A823" s="55"/>
      <c r="B823"/>
    </row>
    <row r="824" spans="1:2" x14ac:dyDescent="0.45">
      <c r="A824" s="55"/>
      <c r="B824"/>
    </row>
    <row r="825" spans="1:2" x14ac:dyDescent="0.45">
      <c r="A825" s="55"/>
      <c r="B825"/>
    </row>
    <row r="826" spans="1:2" x14ac:dyDescent="0.45">
      <c r="A826" s="55"/>
      <c r="B826"/>
    </row>
    <row r="827" spans="1:2" x14ac:dyDescent="0.45">
      <c r="A827" s="55"/>
      <c r="B827"/>
    </row>
    <row r="828" spans="1:2" x14ac:dyDescent="0.45">
      <c r="A828" s="55"/>
      <c r="B828"/>
    </row>
    <row r="829" spans="1:2" x14ac:dyDescent="0.45">
      <c r="A829" s="55"/>
      <c r="B829"/>
    </row>
    <row r="830" spans="1:2" x14ac:dyDescent="0.45">
      <c r="A830" s="55"/>
      <c r="B830"/>
    </row>
    <row r="831" spans="1:2" x14ac:dyDescent="0.45">
      <c r="A831" s="55"/>
      <c r="B831"/>
    </row>
    <row r="832" spans="1:2" x14ac:dyDescent="0.45">
      <c r="A832" s="55"/>
      <c r="B832"/>
    </row>
    <row r="833" spans="1:2" x14ac:dyDescent="0.45">
      <c r="A833" s="55"/>
      <c r="B833"/>
    </row>
    <row r="834" spans="1:2" x14ac:dyDescent="0.45">
      <c r="A834" s="55"/>
      <c r="B834"/>
    </row>
    <row r="835" spans="1:2" x14ac:dyDescent="0.45">
      <c r="A835" s="55"/>
      <c r="B835"/>
    </row>
    <row r="836" spans="1:2" x14ac:dyDescent="0.45">
      <c r="A836" s="55"/>
      <c r="B836"/>
    </row>
    <row r="837" spans="1:2" x14ac:dyDescent="0.45">
      <c r="A837" s="55"/>
      <c r="B837"/>
    </row>
    <row r="838" spans="1:2" x14ac:dyDescent="0.45">
      <c r="A838" s="55"/>
      <c r="B838"/>
    </row>
    <row r="839" spans="1:2" x14ac:dyDescent="0.45">
      <c r="A839" s="55"/>
      <c r="B839"/>
    </row>
    <row r="840" spans="1:2" x14ac:dyDescent="0.45">
      <c r="A840" s="55"/>
      <c r="B840"/>
    </row>
    <row r="841" spans="1:2" x14ac:dyDescent="0.45">
      <c r="A841" s="55"/>
      <c r="B841"/>
    </row>
    <row r="842" spans="1:2" x14ac:dyDescent="0.45">
      <c r="A842" s="55"/>
      <c r="B842"/>
    </row>
    <row r="843" spans="1:2" x14ac:dyDescent="0.45">
      <c r="A843" s="55"/>
      <c r="B843"/>
    </row>
    <row r="844" spans="1:2" x14ac:dyDescent="0.45">
      <c r="A844" s="55"/>
      <c r="B844"/>
    </row>
    <row r="845" spans="1:2" x14ac:dyDescent="0.45">
      <c r="A845" s="55"/>
      <c r="B845"/>
    </row>
    <row r="846" spans="1:2" x14ac:dyDescent="0.45">
      <c r="A846" s="55"/>
      <c r="B846"/>
    </row>
    <row r="847" spans="1:2" x14ac:dyDescent="0.45">
      <c r="A847" s="55"/>
      <c r="B847"/>
    </row>
    <row r="848" spans="1:2" x14ac:dyDescent="0.45">
      <c r="A848" s="55"/>
      <c r="B848"/>
    </row>
    <row r="849" spans="1:2" x14ac:dyDescent="0.45">
      <c r="A849" s="55"/>
      <c r="B849"/>
    </row>
    <row r="850" spans="1:2" x14ac:dyDescent="0.45">
      <c r="A850" s="55"/>
      <c r="B850"/>
    </row>
    <row r="851" spans="1:2" x14ac:dyDescent="0.45">
      <c r="A851" s="55"/>
      <c r="B851"/>
    </row>
    <row r="852" spans="1:2" x14ac:dyDescent="0.45">
      <c r="A852" s="55"/>
      <c r="B852"/>
    </row>
    <row r="853" spans="1:2" x14ac:dyDescent="0.45">
      <c r="A853" s="55"/>
      <c r="B853"/>
    </row>
    <row r="854" spans="1:2" x14ac:dyDescent="0.45">
      <c r="A854" s="55"/>
      <c r="B854"/>
    </row>
    <row r="855" spans="1:2" x14ac:dyDescent="0.45">
      <c r="A855" s="55"/>
      <c r="B855"/>
    </row>
    <row r="856" spans="1:2" x14ac:dyDescent="0.45">
      <c r="A856" s="55"/>
      <c r="B856"/>
    </row>
    <row r="857" spans="1:2" x14ac:dyDescent="0.45">
      <c r="A857" s="55"/>
      <c r="B857"/>
    </row>
    <row r="858" spans="1:2" x14ac:dyDescent="0.45">
      <c r="A858" s="55"/>
      <c r="B858"/>
    </row>
    <row r="859" spans="1:2" x14ac:dyDescent="0.45">
      <c r="A859" s="55"/>
      <c r="B859"/>
    </row>
    <row r="860" spans="1:2" x14ac:dyDescent="0.45">
      <c r="A860" s="55"/>
      <c r="B860"/>
    </row>
    <row r="861" spans="1:2" x14ac:dyDescent="0.45">
      <c r="A861" s="55"/>
      <c r="B861"/>
    </row>
    <row r="862" spans="1:2" x14ac:dyDescent="0.45">
      <c r="A862" s="55"/>
      <c r="B862"/>
    </row>
    <row r="863" spans="1:2" x14ac:dyDescent="0.45">
      <c r="A863" s="55"/>
      <c r="B863"/>
    </row>
    <row r="864" spans="1:2" x14ac:dyDescent="0.45">
      <c r="A864" s="55"/>
      <c r="B864"/>
    </row>
    <row r="865" spans="1:2" x14ac:dyDescent="0.45">
      <c r="A865" s="55"/>
      <c r="B865"/>
    </row>
    <row r="866" spans="1:2" x14ac:dyDescent="0.45">
      <c r="A866" s="55"/>
      <c r="B866"/>
    </row>
    <row r="867" spans="1:2" x14ac:dyDescent="0.45">
      <c r="A867" s="55"/>
      <c r="B867"/>
    </row>
    <row r="868" spans="1:2" x14ac:dyDescent="0.45">
      <c r="A868" s="55"/>
      <c r="B868"/>
    </row>
    <row r="869" spans="1:2" x14ac:dyDescent="0.45">
      <c r="A869" s="55"/>
      <c r="B869"/>
    </row>
    <row r="870" spans="1:2" x14ac:dyDescent="0.45">
      <c r="A870" s="55"/>
      <c r="B870"/>
    </row>
    <row r="871" spans="1:2" x14ac:dyDescent="0.45">
      <c r="A871" s="55"/>
      <c r="B871"/>
    </row>
    <row r="872" spans="1:2" x14ac:dyDescent="0.45">
      <c r="A872" s="55"/>
      <c r="B872"/>
    </row>
    <row r="873" spans="1:2" x14ac:dyDescent="0.45">
      <c r="A873" s="55"/>
      <c r="B873"/>
    </row>
    <row r="874" spans="1:2" x14ac:dyDescent="0.45">
      <c r="A874" s="55"/>
      <c r="B874"/>
    </row>
    <row r="875" spans="1:2" x14ac:dyDescent="0.45">
      <c r="A875" s="55"/>
      <c r="B875"/>
    </row>
    <row r="876" spans="1:2" x14ac:dyDescent="0.45">
      <c r="A876" s="55"/>
      <c r="B876"/>
    </row>
    <row r="877" spans="1:2" x14ac:dyDescent="0.45">
      <c r="A877" s="55"/>
      <c r="B877"/>
    </row>
    <row r="878" spans="1:2" x14ac:dyDescent="0.45">
      <c r="A878" s="55"/>
      <c r="B878"/>
    </row>
    <row r="879" spans="1:2" x14ac:dyDescent="0.45">
      <c r="A879" s="55"/>
      <c r="B879"/>
    </row>
    <row r="880" spans="1:2" x14ac:dyDescent="0.45">
      <c r="A880" s="55"/>
      <c r="B880"/>
    </row>
    <row r="881" spans="1:2" x14ac:dyDescent="0.45">
      <c r="A881" s="55"/>
      <c r="B881"/>
    </row>
    <row r="882" spans="1:2" x14ac:dyDescent="0.45">
      <c r="A882" s="55"/>
      <c r="B882"/>
    </row>
    <row r="883" spans="1:2" x14ac:dyDescent="0.45">
      <c r="A883" s="55"/>
      <c r="B883"/>
    </row>
    <row r="884" spans="1:2" x14ac:dyDescent="0.45">
      <c r="A884" s="55"/>
      <c r="B884"/>
    </row>
    <row r="885" spans="1:2" x14ac:dyDescent="0.45">
      <c r="A885" s="55"/>
      <c r="B885"/>
    </row>
    <row r="886" spans="1:2" x14ac:dyDescent="0.45">
      <c r="A886" s="55"/>
      <c r="B886"/>
    </row>
    <row r="887" spans="1:2" x14ac:dyDescent="0.45">
      <c r="A887" s="55"/>
      <c r="B887"/>
    </row>
    <row r="888" spans="1:2" x14ac:dyDescent="0.45">
      <c r="A888" s="55"/>
      <c r="B888"/>
    </row>
    <row r="889" spans="1:2" x14ac:dyDescent="0.45">
      <c r="A889" s="55"/>
      <c r="B889"/>
    </row>
    <row r="890" spans="1:2" x14ac:dyDescent="0.45">
      <c r="A890" s="55"/>
      <c r="B890"/>
    </row>
    <row r="891" spans="1:2" x14ac:dyDescent="0.45">
      <c r="A891" s="55"/>
      <c r="B891"/>
    </row>
    <row r="892" spans="1:2" x14ac:dyDescent="0.45">
      <c r="A892" s="55"/>
      <c r="B892"/>
    </row>
    <row r="893" spans="1:2" x14ac:dyDescent="0.45">
      <c r="A893" s="55"/>
      <c r="B893"/>
    </row>
    <row r="894" spans="1:2" x14ac:dyDescent="0.45">
      <c r="A894" s="55"/>
      <c r="B894"/>
    </row>
    <row r="895" spans="1:2" x14ac:dyDescent="0.45">
      <c r="A895" s="55"/>
      <c r="B895"/>
    </row>
    <row r="896" spans="1:2" x14ac:dyDescent="0.45">
      <c r="A896" s="55"/>
      <c r="B896"/>
    </row>
    <row r="897" spans="1:2" x14ac:dyDescent="0.45">
      <c r="A897" s="55"/>
      <c r="B897"/>
    </row>
    <row r="898" spans="1:2" x14ac:dyDescent="0.45">
      <c r="A898" s="55"/>
      <c r="B898"/>
    </row>
    <row r="899" spans="1:2" x14ac:dyDescent="0.45">
      <c r="A899" s="55"/>
      <c r="B899"/>
    </row>
    <row r="900" spans="1:2" x14ac:dyDescent="0.45">
      <c r="A900" s="55"/>
      <c r="B900"/>
    </row>
    <row r="901" spans="1:2" x14ac:dyDescent="0.45">
      <c r="A901" s="55"/>
      <c r="B901"/>
    </row>
    <row r="902" spans="1:2" x14ac:dyDescent="0.45">
      <c r="A902" s="55"/>
      <c r="B902"/>
    </row>
    <row r="903" spans="1:2" x14ac:dyDescent="0.45">
      <c r="A903" s="55"/>
      <c r="B903"/>
    </row>
    <row r="904" spans="1:2" x14ac:dyDescent="0.45">
      <c r="A904" s="55"/>
      <c r="B904"/>
    </row>
    <row r="905" spans="1:2" x14ac:dyDescent="0.45">
      <c r="A905" s="55"/>
      <c r="B905"/>
    </row>
    <row r="906" spans="1:2" x14ac:dyDescent="0.45">
      <c r="A906" s="55"/>
      <c r="B906"/>
    </row>
    <row r="907" spans="1:2" x14ac:dyDescent="0.45">
      <c r="A907" s="55"/>
      <c r="B907"/>
    </row>
    <row r="908" spans="1:2" x14ac:dyDescent="0.45">
      <c r="A908" s="55"/>
      <c r="B908"/>
    </row>
    <row r="909" spans="1:2" x14ac:dyDescent="0.45">
      <c r="A909" s="55"/>
      <c r="B909"/>
    </row>
    <row r="910" spans="1:2" x14ac:dyDescent="0.45">
      <c r="A910" s="55"/>
      <c r="B910"/>
    </row>
    <row r="911" spans="1:2" x14ac:dyDescent="0.45">
      <c r="A911" s="55"/>
      <c r="B911"/>
    </row>
    <row r="912" spans="1:2" x14ac:dyDescent="0.45">
      <c r="A912" s="55"/>
      <c r="B912"/>
    </row>
    <row r="913" spans="1:2" x14ac:dyDescent="0.45">
      <c r="A913" s="55"/>
      <c r="B913"/>
    </row>
    <row r="914" spans="1:2" x14ac:dyDescent="0.45">
      <c r="A914" s="55"/>
      <c r="B914"/>
    </row>
    <row r="915" spans="1:2" x14ac:dyDescent="0.45">
      <c r="A915" s="55"/>
      <c r="B915"/>
    </row>
    <row r="916" spans="1:2" x14ac:dyDescent="0.45">
      <c r="A916" s="55"/>
      <c r="B916"/>
    </row>
    <row r="917" spans="1:2" x14ac:dyDescent="0.45">
      <c r="A917" s="55"/>
      <c r="B917"/>
    </row>
    <row r="918" spans="1:2" x14ac:dyDescent="0.45">
      <c r="A918" s="55"/>
      <c r="B918"/>
    </row>
    <row r="919" spans="1:2" x14ac:dyDescent="0.45">
      <c r="A919" s="55"/>
      <c r="B919"/>
    </row>
    <row r="920" spans="1:2" x14ac:dyDescent="0.45">
      <c r="A920" s="55"/>
      <c r="B920"/>
    </row>
    <row r="921" spans="1:2" x14ac:dyDescent="0.45">
      <c r="A921" s="55"/>
      <c r="B921"/>
    </row>
    <row r="922" spans="1:2" x14ac:dyDescent="0.45">
      <c r="A922" s="55"/>
      <c r="B922"/>
    </row>
    <row r="923" spans="1:2" x14ac:dyDescent="0.45">
      <c r="A923" s="55"/>
      <c r="B923"/>
    </row>
    <row r="924" spans="1:2" x14ac:dyDescent="0.45">
      <c r="A924" s="55"/>
      <c r="B924"/>
    </row>
    <row r="925" spans="1:2" x14ac:dyDescent="0.45">
      <c r="A925" s="55"/>
      <c r="B925"/>
    </row>
    <row r="926" spans="1:2" x14ac:dyDescent="0.45">
      <c r="A926" s="55"/>
      <c r="B926"/>
    </row>
    <row r="927" spans="1:2" x14ac:dyDescent="0.45">
      <c r="A927" s="55"/>
      <c r="B927"/>
    </row>
    <row r="928" spans="1:2" x14ac:dyDescent="0.45">
      <c r="A928" s="55"/>
      <c r="B928"/>
    </row>
    <row r="929" spans="1:2" x14ac:dyDescent="0.45">
      <c r="A929" s="55"/>
      <c r="B929"/>
    </row>
    <row r="930" spans="1:2" x14ac:dyDescent="0.45">
      <c r="A930" s="55"/>
      <c r="B930"/>
    </row>
    <row r="931" spans="1:2" x14ac:dyDescent="0.45">
      <c r="A931" s="55"/>
      <c r="B931"/>
    </row>
    <row r="932" spans="1:2" x14ac:dyDescent="0.45">
      <c r="A932" s="55"/>
      <c r="B932"/>
    </row>
    <row r="933" spans="1:2" x14ac:dyDescent="0.45">
      <c r="A933" s="55"/>
      <c r="B933"/>
    </row>
    <row r="934" spans="1:2" x14ac:dyDescent="0.45">
      <c r="A934" s="55"/>
      <c r="B934"/>
    </row>
    <row r="935" spans="1:2" x14ac:dyDescent="0.45">
      <c r="A935" s="55"/>
      <c r="B935"/>
    </row>
    <row r="936" spans="1:2" x14ac:dyDescent="0.45">
      <c r="A936" s="55"/>
      <c r="B936"/>
    </row>
    <row r="937" spans="1:2" x14ac:dyDescent="0.45">
      <c r="A937" s="55"/>
      <c r="B937"/>
    </row>
    <row r="938" spans="1:2" x14ac:dyDescent="0.45">
      <c r="A938" s="55"/>
      <c r="B938"/>
    </row>
    <row r="939" spans="1:2" x14ac:dyDescent="0.45">
      <c r="A939" s="55"/>
      <c r="B939"/>
    </row>
    <row r="940" spans="1:2" x14ac:dyDescent="0.45">
      <c r="A940" s="55"/>
      <c r="B940"/>
    </row>
    <row r="941" spans="1:2" x14ac:dyDescent="0.45">
      <c r="A941" s="55"/>
      <c r="B941"/>
    </row>
    <row r="942" spans="1:2" x14ac:dyDescent="0.45">
      <c r="A942" s="55"/>
      <c r="B942"/>
    </row>
    <row r="943" spans="1:2" x14ac:dyDescent="0.45">
      <c r="A943" s="55"/>
      <c r="B943"/>
    </row>
    <row r="944" spans="1:2" x14ac:dyDescent="0.45">
      <c r="A944" s="55"/>
      <c r="B944"/>
    </row>
    <row r="945" spans="1:2" x14ac:dyDescent="0.45">
      <c r="A945" s="55"/>
      <c r="B945"/>
    </row>
    <row r="946" spans="1:2" x14ac:dyDescent="0.45">
      <c r="A946" s="55"/>
      <c r="B946"/>
    </row>
    <row r="947" spans="1:2" x14ac:dyDescent="0.45">
      <c r="A947" s="55"/>
      <c r="B947"/>
    </row>
    <row r="948" spans="1:2" x14ac:dyDescent="0.45">
      <c r="A948" s="55"/>
      <c r="B948"/>
    </row>
    <row r="949" spans="1:2" x14ac:dyDescent="0.45">
      <c r="A949" s="55"/>
      <c r="B949"/>
    </row>
    <row r="950" spans="1:2" x14ac:dyDescent="0.45">
      <c r="A950" s="55"/>
      <c r="B950"/>
    </row>
    <row r="951" spans="1:2" x14ac:dyDescent="0.45">
      <c r="A951" s="55"/>
      <c r="B951"/>
    </row>
    <row r="952" spans="1:2" x14ac:dyDescent="0.45">
      <c r="A952" s="55"/>
      <c r="B952"/>
    </row>
    <row r="953" spans="1:2" x14ac:dyDescent="0.45">
      <c r="A953" s="55"/>
      <c r="B953"/>
    </row>
    <row r="954" spans="1:2" x14ac:dyDescent="0.45">
      <c r="A954" s="55"/>
      <c r="B954"/>
    </row>
    <row r="955" spans="1:2" x14ac:dyDescent="0.45">
      <c r="A955" s="55"/>
      <c r="B955"/>
    </row>
    <row r="956" spans="1:2" x14ac:dyDescent="0.45">
      <c r="A956" s="55"/>
      <c r="B956"/>
    </row>
    <row r="957" spans="1:2" x14ac:dyDescent="0.45">
      <c r="A957" s="55"/>
      <c r="B957"/>
    </row>
    <row r="958" spans="1:2" x14ac:dyDescent="0.45">
      <c r="A958" s="55"/>
      <c r="B958"/>
    </row>
    <row r="959" spans="1:2" x14ac:dyDescent="0.45">
      <c r="A959" s="55"/>
      <c r="B959"/>
    </row>
    <row r="960" spans="1:2" x14ac:dyDescent="0.45">
      <c r="A960" s="55"/>
      <c r="B960"/>
    </row>
    <row r="961" spans="1:2" x14ac:dyDescent="0.45">
      <c r="A961" s="55"/>
      <c r="B961"/>
    </row>
    <row r="962" spans="1:2" x14ac:dyDescent="0.45">
      <c r="A962" s="55"/>
      <c r="B962"/>
    </row>
    <row r="963" spans="1:2" x14ac:dyDescent="0.45">
      <c r="A963" s="55"/>
      <c r="B963"/>
    </row>
    <row r="964" spans="1:2" x14ac:dyDescent="0.45">
      <c r="A964" s="55"/>
      <c r="B964"/>
    </row>
    <row r="965" spans="1:2" x14ac:dyDescent="0.45">
      <c r="A965" s="55"/>
      <c r="B965"/>
    </row>
    <row r="966" spans="1:2" x14ac:dyDescent="0.45">
      <c r="A966" s="55"/>
      <c r="B966"/>
    </row>
    <row r="967" spans="1:2" x14ac:dyDescent="0.45">
      <c r="A967" s="55"/>
      <c r="B967"/>
    </row>
    <row r="968" spans="1:2" x14ac:dyDescent="0.45">
      <c r="A968" s="55"/>
      <c r="B968"/>
    </row>
    <row r="969" spans="1:2" x14ac:dyDescent="0.45">
      <c r="A969" s="55"/>
      <c r="B969"/>
    </row>
    <row r="970" spans="1:2" x14ac:dyDescent="0.45">
      <c r="A970" s="55"/>
      <c r="B970"/>
    </row>
    <row r="971" spans="1:2" x14ac:dyDescent="0.45">
      <c r="A971" s="55"/>
      <c r="B971"/>
    </row>
    <row r="972" spans="1:2" x14ac:dyDescent="0.45">
      <c r="A972" s="55"/>
      <c r="B972"/>
    </row>
    <row r="973" spans="1:2" x14ac:dyDescent="0.45">
      <c r="A973" s="55"/>
      <c r="B973"/>
    </row>
    <row r="974" spans="1:2" x14ac:dyDescent="0.45">
      <c r="A974" s="55"/>
      <c r="B974"/>
    </row>
    <row r="975" spans="1:2" x14ac:dyDescent="0.45">
      <c r="A975" s="55"/>
      <c r="B975"/>
    </row>
    <row r="976" spans="1:2" x14ac:dyDescent="0.45">
      <c r="A976" s="55"/>
      <c r="B976"/>
    </row>
    <row r="977" spans="1:2" x14ac:dyDescent="0.45">
      <c r="A977" s="55"/>
      <c r="B977"/>
    </row>
    <row r="978" spans="1:2" x14ac:dyDescent="0.45">
      <c r="A978" s="55"/>
      <c r="B978"/>
    </row>
    <row r="979" spans="1:2" x14ac:dyDescent="0.45">
      <c r="A979" s="55"/>
      <c r="B979"/>
    </row>
    <row r="980" spans="1:2" x14ac:dyDescent="0.45">
      <c r="A980" s="55"/>
      <c r="B980"/>
    </row>
    <row r="981" spans="1:2" x14ac:dyDescent="0.45">
      <c r="A981" s="55"/>
      <c r="B981"/>
    </row>
    <row r="982" spans="1:2" x14ac:dyDescent="0.45">
      <c r="A982" s="55"/>
      <c r="B982"/>
    </row>
    <row r="983" spans="1:2" x14ac:dyDescent="0.45">
      <c r="A983" s="55"/>
      <c r="B983"/>
    </row>
    <row r="984" spans="1:2" x14ac:dyDescent="0.45">
      <c r="A984" s="55"/>
      <c r="B984"/>
    </row>
    <row r="985" spans="1:2" x14ac:dyDescent="0.45">
      <c r="A985" s="55"/>
      <c r="B985"/>
    </row>
    <row r="986" spans="1:2" x14ac:dyDescent="0.45">
      <c r="A986" s="55"/>
      <c r="B986"/>
    </row>
    <row r="987" spans="1:2" x14ac:dyDescent="0.45">
      <c r="A987" s="55"/>
      <c r="B987"/>
    </row>
    <row r="988" spans="1:2" x14ac:dyDescent="0.45">
      <c r="A988" s="55"/>
      <c r="B988"/>
    </row>
    <row r="989" spans="1:2" x14ac:dyDescent="0.45">
      <c r="A989" s="55"/>
      <c r="B989"/>
    </row>
    <row r="990" spans="1:2" x14ac:dyDescent="0.45">
      <c r="A990" s="55"/>
      <c r="B990"/>
    </row>
    <row r="991" spans="1:2" x14ac:dyDescent="0.45">
      <c r="A991" s="55"/>
      <c r="B991"/>
    </row>
    <row r="992" spans="1:2" x14ac:dyDescent="0.45">
      <c r="A992" s="55"/>
      <c r="B992"/>
    </row>
    <row r="993" spans="1:2" x14ac:dyDescent="0.45">
      <c r="A993" s="55"/>
      <c r="B993"/>
    </row>
    <row r="994" spans="1:2" x14ac:dyDescent="0.45">
      <c r="A994" s="55"/>
      <c r="B994"/>
    </row>
    <row r="995" spans="1:2" x14ac:dyDescent="0.45">
      <c r="A995" s="55"/>
      <c r="B995"/>
    </row>
    <row r="996" spans="1:2" x14ac:dyDescent="0.45">
      <c r="A996" s="55"/>
      <c r="B996"/>
    </row>
    <row r="997" spans="1:2" x14ac:dyDescent="0.45">
      <c r="A997" s="55"/>
      <c r="B997"/>
    </row>
    <row r="998" spans="1:2" x14ac:dyDescent="0.45">
      <c r="A998" s="55"/>
      <c r="B998"/>
    </row>
    <row r="999" spans="1:2" x14ac:dyDescent="0.45">
      <c r="A999" s="55"/>
      <c r="B999"/>
    </row>
    <row r="1000" spans="1:2" x14ac:dyDescent="0.45">
      <c r="A1000" s="55"/>
      <c r="B1000"/>
    </row>
    <row r="1001" spans="1:2" x14ac:dyDescent="0.45">
      <c r="A1001" s="55"/>
      <c r="B1001"/>
    </row>
    <row r="1002" spans="1:2" x14ac:dyDescent="0.45">
      <c r="A1002" s="55"/>
      <c r="B1002"/>
    </row>
    <row r="1003" spans="1:2" x14ac:dyDescent="0.45">
      <c r="A1003" s="55"/>
      <c r="B1003"/>
    </row>
    <row r="1004" spans="1:2" x14ac:dyDescent="0.45">
      <c r="A1004" s="55"/>
      <c r="B1004"/>
    </row>
    <row r="1005" spans="1:2" x14ac:dyDescent="0.45">
      <c r="A1005" s="55"/>
      <c r="B1005"/>
    </row>
    <row r="1006" spans="1:2" x14ac:dyDescent="0.45">
      <c r="A1006" s="55"/>
      <c r="B1006"/>
    </row>
    <row r="1007" spans="1:2" x14ac:dyDescent="0.45">
      <c r="A1007" s="55"/>
      <c r="B1007"/>
    </row>
    <row r="1008" spans="1:2" x14ac:dyDescent="0.45">
      <c r="A1008" s="55"/>
      <c r="B1008"/>
    </row>
    <row r="1009" spans="1:2" x14ac:dyDescent="0.45">
      <c r="A1009" s="55"/>
      <c r="B1009"/>
    </row>
    <row r="1010" spans="1:2" x14ac:dyDescent="0.45">
      <c r="A1010" s="55"/>
      <c r="B1010"/>
    </row>
    <row r="1011" spans="1:2" x14ac:dyDescent="0.45">
      <c r="A1011" s="55"/>
      <c r="B1011"/>
    </row>
    <row r="1012" spans="1:2" x14ac:dyDescent="0.45">
      <c r="A1012" s="55"/>
      <c r="B1012"/>
    </row>
    <row r="1013" spans="1:2" x14ac:dyDescent="0.45">
      <c r="A1013" s="55"/>
      <c r="B1013"/>
    </row>
    <row r="1014" spans="1:2" x14ac:dyDescent="0.45">
      <c r="A1014" s="55"/>
      <c r="B1014"/>
    </row>
    <row r="1015" spans="1:2" x14ac:dyDescent="0.45">
      <c r="A1015" s="55"/>
      <c r="B1015"/>
    </row>
    <row r="1016" spans="1:2" x14ac:dyDescent="0.45">
      <c r="A1016" s="55"/>
      <c r="B1016"/>
    </row>
    <row r="1017" spans="1:2" x14ac:dyDescent="0.45">
      <c r="A1017" s="55"/>
      <c r="B1017"/>
    </row>
    <row r="1018" spans="1:2" x14ac:dyDescent="0.45">
      <c r="A1018" s="55"/>
      <c r="B1018"/>
    </row>
    <row r="1019" spans="1:2" x14ac:dyDescent="0.45">
      <c r="A1019" s="55"/>
      <c r="B1019"/>
    </row>
    <row r="1020" spans="1:2" x14ac:dyDescent="0.45">
      <c r="A1020" s="55"/>
      <c r="B1020"/>
    </row>
    <row r="1021" spans="1:2" x14ac:dyDescent="0.45">
      <c r="A1021" s="55"/>
      <c r="B1021"/>
    </row>
    <row r="1022" spans="1:2" x14ac:dyDescent="0.45">
      <c r="A1022" s="55"/>
      <c r="B1022"/>
    </row>
    <row r="1023" spans="1:2" x14ac:dyDescent="0.45">
      <c r="A1023" s="55"/>
      <c r="B1023"/>
    </row>
    <row r="1024" spans="1:2" x14ac:dyDescent="0.45">
      <c r="A1024" s="55"/>
      <c r="B1024"/>
    </row>
    <row r="1025" spans="1:2" x14ac:dyDescent="0.45">
      <c r="A1025" s="55"/>
      <c r="B1025"/>
    </row>
    <row r="1026" spans="1:2" x14ac:dyDescent="0.45">
      <c r="A1026" s="55"/>
      <c r="B1026"/>
    </row>
    <row r="1027" spans="1:2" x14ac:dyDescent="0.45">
      <c r="A1027" s="55"/>
      <c r="B1027"/>
    </row>
    <row r="1028" spans="1:2" x14ac:dyDescent="0.45">
      <c r="A1028" s="55"/>
      <c r="B1028"/>
    </row>
    <row r="1029" spans="1:2" x14ac:dyDescent="0.45">
      <c r="A1029" s="55"/>
      <c r="B1029"/>
    </row>
    <row r="1030" spans="1:2" x14ac:dyDescent="0.45">
      <c r="A1030" s="55"/>
      <c r="B1030"/>
    </row>
    <row r="1031" spans="1:2" x14ac:dyDescent="0.45">
      <c r="A1031" s="55"/>
      <c r="B1031"/>
    </row>
    <row r="1032" spans="1:2" x14ac:dyDescent="0.45">
      <c r="A1032" s="55"/>
      <c r="B1032"/>
    </row>
    <row r="1033" spans="1:2" x14ac:dyDescent="0.45">
      <c r="A1033" s="55"/>
      <c r="B1033"/>
    </row>
    <row r="1034" spans="1:2" x14ac:dyDescent="0.45">
      <c r="A1034" s="55"/>
      <c r="B1034"/>
    </row>
    <row r="1035" spans="1:2" x14ac:dyDescent="0.45">
      <c r="A1035" s="55"/>
      <c r="B1035"/>
    </row>
    <row r="1036" spans="1:2" x14ac:dyDescent="0.45">
      <c r="A1036" s="55"/>
      <c r="B1036"/>
    </row>
    <row r="1037" spans="1:2" x14ac:dyDescent="0.45">
      <c r="A1037" s="55"/>
      <c r="B1037"/>
    </row>
    <row r="1038" spans="1:2" x14ac:dyDescent="0.45">
      <c r="A1038" s="55"/>
      <c r="B1038"/>
    </row>
    <row r="1039" spans="1:2" x14ac:dyDescent="0.45">
      <c r="A1039" s="55"/>
      <c r="B1039"/>
    </row>
    <row r="1040" spans="1:2" x14ac:dyDescent="0.45">
      <c r="A1040" s="55"/>
      <c r="B1040"/>
    </row>
    <row r="1041" spans="1:2" x14ac:dyDescent="0.45">
      <c r="A1041" s="55"/>
      <c r="B1041"/>
    </row>
    <row r="1042" spans="1:2" x14ac:dyDescent="0.45">
      <c r="A1042" s="55"/>
      <c r="B1042"/>
    </row>
    <row r="1043" spans="1:2" x14ac:dyDescent="0.45">
      <c r="A1043" s="55"/>
      <c r="B1043"/>
    </row>
    <row r="1044" spans="1:2" x14ac:dyDescent="0.45">
      <c r="A1044" s="55"/>
      <c r="B1044"/>
    </row>
    <row r="1045" spans="1:2" x14ac:dyDescent="0.45">
      <c r="A1045" s="55"/>
      <c r="B1045"/>
    </row>
    <row r="1046" spans="1:2" x14ac:dyDescent="0.45">
      <c r="A1046" s="55"/>
      <c r="B1046"/>
    </row>
    <row r="1047" spans="1:2" x14ac:dyDescent="0.45">
      <c r="A1047" s="55"/>
      <c r="B1047"/>
    </row>
    <row r="1048" spans="1:2" x14ac:dyDescent="0.45">
      <c r="A1048" s="55"/>
      <c r="B1048"/>
    </row>
    <row r="1049" spans="1:2" x14ac:dyDescent="0.45">
      <c r="A1049" s="55"/>
      <c r="B1049"/>
    </row>
    <row r="1050" spans="1:2" x14ac:dyDescent="0.45">
      <c r="A1050" s="55"/>
      <c r="B1050"/>
    </row>
    <row r="1051" spans="1:2" x14ac:dyDescent="0.45">
      <c r="A1051" s="55"/>
      <c r="B1051"/>
    </row>
    <row r="1052" spans="1:2" x14ac:dyDescent="0.45">
      <c r="A1052" s="55"/>
      <c r="B1052"/>
    </row>
    <row r="1053" spans="1:2" x14ac:dyDescent="0.45">
      <c r="A1053" s="55"/>
      <c r="B1053"/>
    </row>
    <row r="1054" spans="1:2" x14ac:dyDescent="0.45">
      <c r="A1054" s="55"/>
      <c r="B1054"/>
    </row>
    <row r="1055" spans="1:2" x14ac:dyDescent="0.45">
      <c r="A1055" s="55"/>
      <c r="B1055"/>
    </row>
    <row r="1056" spans="1:2" x14ac:dyDescent="0.45">
      <c r="A1056" s="55"/>
      <c r="B1056"/>
    </row>
    <row r="1057" spans="1:2" x14ac:dyDescent="0.45">
      <c r="A1057" s="55"/>
      <c r="B1057"/>
    </row>
    <row r="1058" spans="1:2" x14ac:dyDescent="0.45">
      <c r="A1058" s="55"/>
      <c r="B1058"/>
    </row>
    <row r="1059" spans="1:2" x14ac:dyDescent="0.45">
      <c r="A1059" s="55"/>
      <c r="B1059"/>
    </row>
    <row r="1060" spans="1:2" x14ac:dyDescent="0.45">
      <c r="A1060" s="55"/>
      <c r="B1060"/>
    </row>
    <row r="1061" spans="1:2" x14ac:dyDescent="0.45">
      <c r="A1061" s="55"/>
      <c r="B1061"/>
    </row>
    <row r="1062" spans="1:2" x14ac:dyDescent="0.45">
      <c r="A1062" s="55"/>
      <c r="B1062"/>
    </row>
    <row r="1063" spans="1:2" x14ac:dyDescent="0.45">
      <c r="A1063" s="55"/>
      <c r="B1063"/>
    </row>
    <row r="1064" spans="1:2" x14ac:dyDescent="0.45">
      <c r="A1064" s="55"/>
      <c r="B1064"/>
    </row>
    <row r="1065" spans="1:2" x14ac:dyDescent="0.45">
      <c r="A1065" s="55"/>
      <c r="B1065"/>
    </row>
    <row r="1066" spans="1:2" x14ac:dyDescent="0.45">
      <c r="A1066" s="55"/>
      <c r="B1066"/>
    </row>
    <row r="1067" spans="1:2" x14ac:dyDescent="0.45">
      <c r="A1067" s="55"/>
      <c r="B1067"/>
    </row>
    <row r="1068" spans="1:2" x14ac:dyDescent="0.45">
      <c r="A1068" s="55"/>
      <c r="B1068"/>
    </row>
    <row r="1069" spans="1:2" x14ac:dyDescent="0.45">
      <c r="A1069" s="55"/>
      <c r="B1069"/>
    </row>
    <row r="1070" spans="1:2" x14ac:dyDescent="0.45">
      <c r="A1070" s="55"/>
      <c r="B1070"/>
    </row>
    <row r="1071" spans="1:2" x14ac:dyDescent="0.45">
      <c r="A1071" s="55"/>
      <c r="B1071"/>
    </row>
    <row r="1072" spans="1:2" x14ac:dyDescent="0.45">
      <c r="A1072" s="55"/>
      <c r="B1072"/>
    </row>
    <row r="1073" spans="1:2" x14ac:dyDescent="0.45">
      <c r="A1073" s="55"/>
      <c r="B1073"/>
    </row>
    <row r="1074" spans="1:2" x14ac:dyDescent="0.45">
      <c r="A1074" s="55"/>
      <c r="B1074"/>
    </row>
    <row r="1075" spans="1:2" x14ac:dyDescent="0.45">
      <c r="A1075" s="55"/>
      <c r="B1075"/>
    </row>
    <row r="1076" spans="1:2" x14ac:dyDescent="0.45">
      <c r="A1076" s="55"/>
      <c r="B1076"/>
    </row>
    <row r="1077" spans="1:2" x14ac:dyDescent="0.45">
      <c r="A1077" s="55"/>
      <c r="B1077"/>
    </row>
    <row r="1078" spans="1:2" x14ac:dyDescent="0.45">
      <c r="A1078" s="55"/>
      <c r="B1078"/>
    </row>
    <row r="1079" spans="1:2" x14ac:dyDescent="0.45">
      <c r="A1079" s="55"/>
      <c r="B1079"/>
    </row>
    <row r="1080" spans="1:2" x14ac:dyDescent="0.45">
      <c r="A1080" s="55"/>
      <c r="B1080"/>
    </row>
    <row r="1081" spans="1:2" x14ac:dyDescent="0.45">
      <c r="A1081" s="55"/>
      <c r="B1081"/>
    </row>
    <row r="1082" spans="1:2" x14ac:dyDescent="0.45">
      <c r="A1082" s="55"/>
      <c r="B1082"/>
    </row>
    <row r="1083" spans="1:2" x14ac:dyDescent="0.45">
      <c r="A1083" s="55"/>
      <c r="B1083"/>
    </row>
    <row r="1084" spans="1:2" x14ac:dyDescent="0.45">
      <c r="A1084" s="55"/>
      <c r="B1084"/>
    </row>
    <row r="1085" spans="1:2" x14ac:dyDescent="0.45">
      <c r="A1085" s="55"/>
      <c r="B1085"/>
    </row>
    <row r="1086" spans="1:2" x14ac:dyDescent="0.45">
      <c r="A1086" s="55"/>
      <c r="B1086"/>
    </row>
    <row r="1087" spans="1:2" x14ac:dyDescent="0.45">
      <c r="A1087" s="55"/>
      <c r="B1087"/>
    </row>
    <row r="1088" spans="1:2" x14ac:dyDescent="0.45">
      <c r="A1088" s="55"/>
      <c r="B1088"/>
    </row>
    <row r="1089" spans="1:2" x14ac:dyDescent="0.45">
      <c r="A1089" s="55"/>
      <c r="B1089"/>
    </row>
    <row r="1090" spans="1:2" x14ac:dyDescent="0.45">
      <c r="A1090" s="55"/>
      <c r="B1090"/>
    </row>
    <row r="1091" spans="1:2" x14ac:dyDescent="0.45">
      <c r="A1091" s="55"/>
      <c r="B1091"/>
    </row>
    <row r="1092" spans="1:2" x14ac:dyDescent="0.45">
      <c r="A1092" s="55"/>
      <c r="B1092"/>
    </row>
    <row r="1093" spans="1:2" x14ac:dyDescent="0.45">
      <c r="A1093" s="55"/>
      <c r="B1093"/>
    </row>
    <row r="1094" spans="1:2" x14ac:dyDescent="0.45">
      <c r="A1094" s="55"/>
      <c r="B1094"/>
    </row>
    <row r="1095" spans="1:2" x14ac:dyDescent="0.45">
      <c r="A1095" s="55"/>
      <c r="B1095"/>
    </row>
    <row r="1096" spans="1:2" x14ac:dyDescent="0.45">
      <c r="A1096" s="55"/>
      <c r="B1096"/>
    </row>
    <row r="1097" spans="1:2" x14ac:dyDescent="0.45">
      <c r="A1097" s="55"/>
      <c r="B1097"/>
    </row>
    <row r="1098" spans="1:2" x14ac:dyDescent="0.45">
      <c r="A1098" s="55"/>
      <c r="B1098"/>
    </row>
    <row r="1099" spans="1:2" x14ac:dyDescent="0.45">
      <c r="A1099" s="55"/>
      <c r="B1099"/>
    </row>
    <row r="1100" spans="1:2" x14ac:dyDescent="0.45">
      <c r="A1100" s="55"/>
      <c r="B1100"/>
    </row>
    <row r="1101" spans="1:2" x14ac:dyDescent="0.45">
      <c r="A1101" s="55"/>
      <c r="B1101"/>
    </row>
    <row r="1102" spans="1:2" x14ac:dyDescent="0.45">
      <c r="A1102" s="55"/>
      <c r="B1102"/>
    </row>
    <row r="1103" spans="1:2" x14ac:dyDescent="0.45">
      <c r="A1103" s="55"/>
      <c r="B1103"/>
    </row>
    <row r="1104" spans="1:2" x14ac:dyDescent="0.45">
      <c r="A1104" s="55"/>
      <c r="B1104"/>
    </row>
    <row r="1105" spans="1:2" x14ac:dyDescent="0.45">
      <c r="A1105" s="55"/>
      <c r="B1105"/>
    </row>
    <row r="1106" spans="1:2" x14ac:dyDescent="0.45">
      <c r="A1106" s="55"/>
      <c r="B1106"/>
    </row>
    <row r="1107" spans="1:2" x14ac:dyDescent="0.45">
      <c r="A1107" s="55"/>
      <c r="B1107"/>
    </row>
    <row r="1108" spans="1:2" x14ac:dyDescent="0.45">
      <c r="A1108" s="55"/>
      <c r="B1108"/>
    </row>
    <row r="1109" spans="1:2" x14ac:dyDescent="0.45">
      <c r="A1109" s="55"/>
      <c r="B1109"/>
    </row>
    <row r="1110" spans="1:2" x14ac:dyDescent="0.45">
      <c r="A1110" s="55"/>
      <c r="B1110"/>
    </row>
    <row r="1111" spans="1:2" x14ac:dyDescent="0.45">
      <c r="A1111" s="55"/>
      <c r="B1111"/>
    </row>
    <row r="1112" spans="1:2" x14ac:dyDescent="0.45">
      <c r="A1112" s="55"/>
      <c r="B1112"/>
    </row>
    <row r="1113" spans="1:2" x14ac:dyDescent="0.45">
      <c r="A1113" s="55"/>
      <c r="B1113"/>
    </row>
    <row r="1114" spans="1:2" x14ac:dyDescent="0.45">
      <c r="A1114" s="55"/>
      <c r="B1114"/>
    </row>
    <row r="1115" spans="1:2" x14ac:dyDescent="0.45">
      <c r="A1115" s="55"/>
      <c r="B1115"/>
    </row>
    <row r="1116" spans="1:2" x14ac:dyDescent="0.45">
      <c r="A1116" s="55"/>
      <c r="B1116"/>
    </row>
    <row r="1117" spans="1:2" x14ac:dyDescent="0.45">
      <c r="A1117" s="55"/>
      <c r="B1117"/>
    </row>
    <row r="1118" spans="1:2" x14ac:dyDescent="0.45">
      <c r="A1118" s="55"/>
      <c r="B1118"/>
    </row>
    <row r="1119" spans="1:2" x14ac:dyDescent="0.45">
      <c r="A1119" s="55"/>
      <c r="B1119"/>
    </row>
    <row r="1120" spans="1:2" x14ac:dyDescent="0.45">
      <c r="A1120" s="55"/>
      <c r="B1120"/>
    </row>
    <row r="1121" spans="1:2" x14ac:dyDescent="0.45">
      <c r="A1121" s="55"/>
      <c r="B1121"/>
    </row>
    <row r="1122" spans="1:2" x14ac:dyDescent="0.45">
      <c r="A1122" s="55"/>
      <c r="B1122"/>
    </row>
    <row r="1123" spans="1:2" x14ac:dyDescent="0.45">
      <c r="A1123" s="55"/>
      <c r="B1123"/>
    </row>
    <row r="1124" spans="1:2" x14ac:dyDescent="0.45">
      <c r="A1124" s="55"/>
      <c r="B1124"/>
    </row>
    <row r="1125" spans="1:2" x14ac:dyDescent="0.45">
      <c r="A1125" s="55"/>
      <c r="B1125"/>
    </row>
    <row r="1126" spans="1:2" x14ac:dyDescent="0.45">
      <c r="A1126" s="55"/>
      <c r="B1126"/>
    </row>
    <row r="1127" spans="1:2" x14ac:dyDescent="0.45">
      <c r="A1127" s="55"/>
      <c r="B1127"/>
    </row>
    <row r="1128" spans="1:2" x14ac:dyDescent="0.45">
      <c r="A1128" s="55"/>
      <c r="B1128"/>
    </row>
    <row r="1129" spans="1:2" x14ac:dyDescent="0.45">
      <c r="A1129" s="55"/>
      <c r="B1129"/>
    </row>
    <row r="1130" spans="1:2" x14ac:dyDescent="0.45">
      <c r="A1130" s="55"/>
      <c r="B1130"/>
    </row>
    <row r="1131" spans="1:2" x14ac:dyDescent="0.45">
      <c r="A1131" s="55"/>
      <c r="B1131"/>
    </row>
    <row r="1132" spans="1:2" x14ac:dyDescent="0.45">
      <c r="A1132" s="55"/>
      <c r="B1132"/>
    </row>
    <row r="1133" spans="1:2" x14ac:dyDescent="0.45">
      <c r="A1133" s="55"/>
      <c r="B1133"/>
    </row>
    <row r="1134" spans="1:2" x14ac:dyDescent="0.45">
      <c r="A1134" s="55"/>
      <c r="B1134"/>
    </row>
    <row r="1135" spans="1:2" x14ac:dyDescent="0.45">
      <c r="A1135" s="55"/>
      <c r="B1135"/>
    </row>
    <row r="1136" spans="1:2" x14ac:dyDescent="0.45">
      <c r="A1136" s="55"/>
      <c r="B1136"/>
    </row>
    <row r="1137" spans="1:2" x14ac:dyDescent="0.45">
      <c r="A1137" s="55"/>
      <c r="B1137"/>
    </row>
    <row r="1138" spans="1:2" x14ac:dyDescent="0.45">
      <c r="A1138" s="55"/>
      <c r="B1138"/>
    </row>
    <row r="1139" spans="1:2" x14ac:dyDescent="0.45">
      <c r="A1139" s="55"/>
      <c r="B1139"/>
    </row>
    <row r="1140" spans="1:2" x14ac:dyDescent="0.45">
      <c r="A1140" s="55"/>
      <c r="B1140"/>
    </row>
    <row r="1141" spans="1:2" x14ac:dyDescent="0.45">
      <c r="A1141" s="55"/>
      <c r="B1141"/>
    </row>
    <row r="1142" spans="1:2" x14ac:dyDescent="0.45">
      <c r="A1142" s="55"/>
      <c r="B1142"/>
    </row>
    <row r="1143" spans="1:2" x14ac:dyDescent="0.45">
      <c r="A1143" s="55"/>
      <c r="B1143"/>
    </row>
    <row r="1144" spans="1:2" x14ac:dyDescent="0.45">
      <c r="A1144" s="55"/>
      <c r="B1144"/>
    </row>
    <row r="1145" spans="1:2" x14ac:dyDescent="0.45">
      <c r="A1145" s="55"/>
      <c r="B1145"/>
    </row>
    <row r="1146" spans="1:2" x14ac:dyDescent="0.45">
      <c r="A1146" s="55"/>
      <c r="B1146"/>
    </row>
    <row r="1147" spans="1:2" x14ac:dyDescent="0.45">
      <c r="A1147" s="55"/>
      <c r="B1147"/>
    </row>
    <row r="1148" spans="1:2" x14ac:dyDescent="0.45">
      <c r="A1148" s="55"/>
      <c r="B1148"/>
    </row>
    <row r="1149" spans="1:2" x14ac:dyDescent="0.45">
      <c r="A1149" s="55"/>
      <c r="B1149"/>
    </row>
    <row r="1150" spans="1:2" x14ac:dyDescent="0.45">
      <c r="A1150" s="55"/>
      <c r="B1150"/>
    </row>
    <row r="1151" spans="1:2" x14ac:dyDescent="0.45">
      <c r="A1151" s="55"/>
      <c r="B1151"/>
    </row>
    <row r="1152" spans="1:2" x14ac:dyDescent="0.45">
      <c r="A1152" s="55"/>
      <c r="B1152"/>
    </row>
    <row r="1153" spans="1:2" x14ac:dyDescent="0.45">
      <c r="A1153" s="55"/>
      <c r="B1153"/>
    </row>
    <row r="1154" spans="1:2" x14ac:dyDescent="0.45">
      <c r="A1154" s="55"/>
      <c r="B1154"/>
    </row>
    <row r="1155" spans="1:2" x14ac:dyDescent="0.45">
      <c r="A1155" s="55"/>
      <c r="B1155"/>
    </row>
    <row r="1156" spans="1:2" x14ac:dyDescent="0.45">
      <c r="A1156" s="55"/>
      <c r="B1156"/>
    </row>
    <row r="1157" spans="1:2" x14ac:dyDescent="0.45">
      <c r="A1157" s="55"/>
      <c r="B1157"/>
    </row>
    <row r="1158" spans="1:2" x14ac:dyDescent="0.45">
      <c r="A1158" s="55"/>
      <c r="B1158"/>
    </row>
    <row r="1159" spans="1:2" x14ac:dyDescent="0.45">
      <c r="A1159" s="55"/>
      <c r="B1159"/>
    </row>
    <row r="1160" spans="1:2" x14ac:dyDescent="0.45">
      <c r="A1160" s="55"/>
      <c r="B1160"/>
    </row>
    <row r="1161" spans="1:2" x14ac:dyDescent="0.45">
      <c r="A1161" s="55"/>
      <c r="B1161"/>
    </row>
    <row r="1162" spans="1:2" x14ac:dyDescent="0.45">
      <c r="A1162" s="55"/>
      <c r="B1162"/>
    </row>
    <row r="1163" spans="1:2" x14ac:dyDescent="0.45">
      <c r="A1163" s="55"/>
      <c r="B1163"/>
    </row>
    <row r="1164" spans="1:2" x14ac:dyDescent="0.45">
      <c r="A1164" s="55"/>
      <c r="B1164"/>
    </row>
    <row r="1165" spans="1:2" x14ac:dyDescent="0.45">
      <c r="A1165" s="55"/>
      <c r="B1165"/>
    </row>
    <row r="1166" spans="1:2" x14ac:dyDescent="0.45">
      <c r="A1166" s="55"/>
      <c r="B1166"/>
    </row>
    <row r="1167" spans="1:2" x14ac:dyDescent="0.45">
      <c r="A1167" s="55"/>
      <c r="B1167"/>
    </row>
    <row r="1168" spans="1:2" x14ac:dyDescent="0.45">
      <c r="A1168" s="55"/>
      <c r="B1168"/>
    </row>
    <row r="1169" spans="1:2" x14ac:dyDescent="0.45">
      <c r="A1169" s="55"/>
      <c r="B1169"/>
    </row>
    <row r="1170" spans="1:2" x14ac:dyDescent="0.45">
      <c r="A1170" s="55"/>
      <c r="B1170"/>
    </row>
    <row r="1171" spans="1:2" x14ac:dyDescent="0.45">
      <c r="A1171" s="55"/>
      <c r="B1171"/>
    </row>
    <row r="1172" spans="1:2" x14ac:dyDescent="0.45">
      <c r="A1172" s="55"/>
      <c r="B1172"/>
    </row>
    <row r="1173" spans="1:2" x14ac:dyDescent="0.45">
      <c r="A1173" s="55"/>
      <c r="B1173"/>
    </row>
    <row r="1174" spans="1:2" x14ac:dyDescent="0.45">
      <c r="A1174" s="55"/>
      <c r="B1174"/>
    </row>
    <row r="1175" spans="1:2" x14ac:dyDescent="0.45">
      <c r="A1175" s="55"/>
      <c r="B1175"/>
    </row>
    <row r="1176" spans="1:2" x14ac:dyDescent="0.45">
      <c r="A1176" s="55"/>
      <c r="B1176"/>
    </row>
    <row r="1177" spans="1:2" x14ac:dyDescent="0.45">
      <c r="A1177" s="55"/>
      <c r="B1177"/>
    </row>
    <row r="1178" spans="1:2" x14ac:dyDescent="0.45">
      <c r="A1178" s="55"/>
      <c r="B1178"/>
    </row>
    <row r="1179" spans="1:2" x14ac:dyDescent="0.45">
      <c r="A1179" s="55"/>
      <c r="B1179"/>
    </row>
    <row r="1180" spans="1:2" x14ac:dyDescent="0.45">
      <c r="A1180" s="55"/>
      <c r="B1180"/>
    </row>
    <row r="1181" spans="1:2" x14ac:dyDescent="0.45">
      <c r="A1181" s="55"/>
      <c r="B1181"/>
    </row>
    <row r="1182" spans="1:2" x14ac:dyDescent="0.45">
      <c r="A1182" s="55"/>
      <c r="B1182"/>
    </row>
    <row r="1183" spans="1:2" x14ac:dyDescent="0.45">
      <c r="A1183" s="55"/>
      <c r="B1183"/>
    </row>
    <row r="1184" spans="1:2" x14ac:dyDescent="0.45">
      <c r="A1184" s="55"/>
      <c r="B1184"/>
    </row>
    <row r="1185" spans="1:2" x14ac:dyDescent="0.45">
      <c r="A1185" s="55"/>
      <c r="B1185"/>
    </row>
    <row r="1186" spans="1:2" x14ac:dyDescent="0.45">
      <c r="A1186" s="55"/>
      <c r="B1186"/>
    </row>
    <row r="1187" spans="1:2" x14ac:dyDescent="0.45">
      <c r="A1187" s="55"/>
      <c r="B1187"/>
    </row>
    <row r="1188" spans="1:2" x14ac:dyDescent="0.45">
      <c r="A1188" s="55"/>
      <c r="B1188"/>
    </row>
    <row r="1189" spans="1:2" x14ac:dyDescent="0.45">
      <c r="A1189" s="55"/>
      <c r="B1189"/>
    </row>
    <row r="1190" spans="1:2" x14ac:dyDescent="0.45">
      <c r="A1190" s="55"/>
      <c r="B1190"/>
    </row>
    <row r="1191" spans="1:2" x14ac:dyDescent="0.45">
      <c r="A1191" s="55"/>
      <c r="B1191"/>
    </row>
    <row r="1192" spans="1:2" x14ac:dyDescent="0.45">
      <c r="A1192" s="55"/>
      <c r="B1192"/>
    </row>
    <row r="1193" spans="1:2" x14ac:dyDescent="0.45">
      <c r="A1193" s="55"/>
      <c r="B1193"/>
    </row>
    <row r="1194" spans="1:2" x14ac:dyDescent="0.45">
      <c r="A1194" s="55"/>
      <c r="B1194"/>
    </row>
    <row r="1195" spans="1:2" x14ac:dyDescent="0.45">
      <c r="A1195" s="55"/>
      <c r="B1195"/>
    </row>
    <row r="1196" spans="1:2" x14ac:dyDescent="0.45">
      <c r="A1196" s="55"/>
      <c r="B1196"/>
    </row>
    <row r="1197" spans="1:2" x14ac:dyDescent="0.45">
      <c r="A1197" s="55"/>
      <c r="B1197"/>
    </row>
    <row r="1198" spans="1:2" x14ac:dyDescent="0.45">
      <c r="A1198" s="55"/>
      <c r="B1198"/>
    </row>
    <row r="1199" spans="1:2" x14ac:dyDescent="0.45">
      <c r="A1199" s="55"/>
      <c r="B1199"/>
    </row>
    <row r="1200" spans="1:2" x14ac:dyDescent="0.45">
      <c r="A1200" s="55"/>
      <c r="B1200"/>
    </row>
    <row r="1201" spans="1:2" x14ac:dyDescent="0.45">
      <c r="A1201" s="55"/>
      <c r="B1201"/>
    </row>
    <row r="1202" spans="1:2" x14ac:dyDescent="0.45">
      <c r="A1202" s="55"/>
      <c r="B1202"/>
    </row>
    <row r="1203" spans="1:2" x14ac:dyDescent="0.45">
      <c r="A1203" s="55"/>
      <c r="B1203"/>
    </row>
    <row r="1204" spans="1:2" x14ac:dyDescent="0.45">
      <c r="A1204" s="55"/>
      <c r="B1204"/>
    </row>
    <row r="1205" spans="1:2" x14ac:dyDescent="0.45">
      <c r="A1205" s="55"/>
      <c r="B1205"/>
    </row>
    <row r="1206" spans="1:2" x14ac:dyDescent="0.45">
      <c r="A1206" s="55"/>
      <c r="B1206"/>
    </row>
    <row r="1207" spans="1:2" x14ac:dyDescent="0.45">
      <c r="A1207" s="55"/>
      <c r="B1207"/>
    </row>
    <row r="1208" spans="1:2" x14ac:dyDescent="0.45">
      <c r="A1208" s="55"/>
      <c r="B1208"/>
    </row>
    <row r="1209" spans="1:2" x14ac:dyDescent="0.45">
      <c r="A1209" s="55"/>
      <c r="B1209"/>
    </row>
    <row r="1210" spans="1:2" x14ac:dyDescent="0.45">
      <c r="A1210" s="55"/>
      <c r="B1210"/>
    </row>
    <row r="1211" spans="1:2" x14ac:dyDescent="0.45">
      <c r="A1211" s="55"/>
      <c r="B1211"/>
    </row>
    <row r="1212" spans="1:2" x14ac:dyDescent="0.45">
      <c r="A1212" s="55"/>
      <c r="B1212"/>
    </row>
    <row r="1213" spans="1:2" x14ac:dyDescent="0.45">
      <c r="A1213" s="55"/>
      <c r="B1213"/>
    </row>
    <row r="1214" spans="1:2" x14ac:dyDescent="0.45">
      <c r="A1214" s="55"/>
      <c r="B1214"/>
    </row>
    <row r="1215" spans="1:2" x14ac:dyDescent="0.45">
      <c r="A1215" s="55"/>
      <c r="B1215"/>
    </row>
    <row r="1216" spans="1:2" x14ac:dyDescent="0.45">
      <c r="A1216" s="55"/>
      <c r="B1216"/>
    </row>
    <row r="1217" spans="1:2" x14ac:dyDescent="0.45">
      <c r="A1217" s="55"/>
      <c r="B1217"/>
    </row>
    <row r="1218" spans="1:2" x14ac:dyDescent="0.45">
      <c r="A1218" s="55"/>
      <c r="B1218"/>
    </row>
    <row r="1219" spans="1:2" x14ac:dyDescent="0.45">
      <c r="A1219" s="55"/>
      <c r="B1219"/>
    </row>
    <row r="1220" spans="1:2" x14ac:dyDescent="0.45">
      <c r="A1220" s="55"/>
      <c r="B1220"/>
    </row>
    <row r="1221" spans="1:2" x14ac:dyDescent="0.45">
      <c r="A1221" s="55"/>
      <c r="B1221"/>
    </row>
    <row r="1222" spans="1:2" x14ac:dyDescent="0.45">
      <c r="A1222" s="55"/>
      <c r="B1222"/>
    </row>
    <row r="1223" spans="1:2" x14ac:dyDescent="0.45">
      <c r="A1223" s="55"/>
      <c r="B1223"/>
    </row>
    <row r="1224" spans="1:2" x14ac:dyDescent="0.45">
      <c r="A1224" s="55"/>
      <c r="B1224"/>
    </row>
    <row r="1225" spans="1:2" x14ac:dyDescent="0.45">
      <c r="A1225" s="55"/>
      <c r="B1225"/>
    </row>
    <row r="1226" spans="1:2" x14ac:dyDescent="0.45">
      <c r="A1226" s="55"/>
      <c r="B1226"/>
    </row>
    <row r="1227" spans="1:2" x14ac:dyDescent="0.45">
      <c r="A1227" s="55"/>
      <c r="B1227"/>
    </row>
    <row r="1228" spans="1:2" x14ac:dyDescent="0.45">
      <c r="A1228" s="55"/>
      <c r="B1228"/>
    </row>
    <row r="1229" spans="1:2" x14ac:dyDescent="0.45">
      <c r="A1229" s="55"/>
      <c r="B1229"/>
    </row>
    <row r="1230" spans="1:2" x14ac:dyDescent="0.45">
      <c r="A1230" s="55"/>
      <c r="B1230"/>
    </row>
    <row r="1231" spans="1:2" x14ac:dyDescent="0.45">
      <c r="A1231" s="55"/>
      <c r="B1231"/>
    </row>
    <row r="1232" spans="1:2" x14ac:dyDescent="0.45">
      <c r="A1232" s="55"/>
      <c r="B1232"/>
    </row>
    <row r="1233" spans="1:2" x14ac:dyDescent="0.45">
      <c r="A1233" s="55"/>
      <c r="B1233"/>
    </row>
    <row r="1234" spans="1:2" x14ac:dyDescent="0.45">
      <c r="A1234" s="55"/>
      <c r="B1234"/>
    </row>
    <row r="1235" spans="1:2" x14ac:dyDescent="0.45">
      <c r="A1235" s="55"/>
      <c r="B1235"/>
    </row>
    <row r="1236" spans="1:2" x14ac:dyDescent="0.45">
      <c r="A1236" s="55"/>
      <c r="B1236"/>
    </row>
    <row r="1237" spans="1:2" x14ac:dyDescent="0.45">
      <c r="A1237" s="55"/>
      <c r="B1237"/>
    </row>
    <row r="1238" spans="1:2" x14ac:dyDescent="0.45">
      <c r="A1238" s="55"/>
      <c r="B1238"/>
    </row>
    <row r="1239" spans="1:2" x14ac:dyDescent="0.45">
      <c r="A1239" s="55"/>
      <c r="B1239"/>
    </row>
    <row r="1240" spans="1:2" x14ac:dyDescent="0.45">
      <c r="A1240" s="55"/>
      <c r="B1240"/>
    </row>
    <row r="1241" spans="1:2" x14ac:dyDescent="0.45">
      <c r="A1241" s="55"/>
      <c r="B1241"/>
    </row>
    <row r="1242" spans="1:2" x14ac:dyDescent="0.45">
      <c r="A1242" s="55"/>
      <c r="B1242"/>
    </row>
    <row r="1243" spans="1:2" x14ac:dyDescent="0.45">
      <c r="A1243" s="55"/>
      <c r="B1243"/>
    </row>
    <row r="1244" spans="1:2" x14ac:dyDescent="0.45">
      <c r="A1244" s="55"/>
      <c r="B1244"/>
    </row>
    <row r="1245" spans="1:2" x14ac:dyDescent="0.45">
      <c r="A1245" s="55"/>
      <c r="B1245"/>
    </row>
    <row r="1246" spans="1:2" x14ac:dyDescent="0.45">
      <c r="A1246" s="55"/>
      <c r="B1246"/>
    </row>
    <row r="1247" spans="1:2" x14ac:dyDescent="0.45">
      <c r="A1247" s="55"/>
      <c r="B1247"/>
    </row>
    <row r="1248" spans="1:2" x14ac:dyDescent="0.45">
      <c r="A1248" s="55"/>
      <c r="B1248"/>
    </row>
    <row r="1249" spans="1:2" x14ac:dyDescent="0.45">
      <c r="A1249" s="55"/>
      <c r="B1249"/>
    </row>
    <row r="1250" spans="1:2" x14ac:dyDescent="0.45">
      <c r="A1250" s="55"/>
      <c r="B1250"/>
    </row>
    <row r="1251" spans="1:2" x14ac:dyDescent="0.45">
      <c r="A1251" s="55"/>
      <c r="B1251"/>
    </row>
    <row r="1252" spans="1:2" x14ac:dyDescent="0.45">
      <c r="A1252" s="55"/>
      <c r="B1252"/>
    </row>
    <row r="1253" spans="1:2" x14ac:dyDescent="0.45">
      <c r="A1253" s="55"/>
      <c r="B1253"/>
    </row>
    <row r="1254" spans="1:2" x14ac:dyDescent="0.45">
      <c r="A1254" s="55"/>
      <c r="B1254"/>
    </row>
    <row r="1255" spans="1:2" x14ac:dyDescent="0.45">
      <c r="A1255" s="55"/>
      <c r="B1255"/>
    </row>
    <row r="1256" spans="1:2" x14ac:dyDescent="0.45">
      <c r="A1256" s="55"/>
      <c r="B1256"/>
    </row>
    <row r="1257" spans="1:2" x14ac:dyDescent="0.45">
      <c r="A1257" s="55"/>
      <c r="B1257"/>
    </row>
    <row r="1258" spans="1:2" x14ac:dyDescent="0.45">
      <c r="A1258" s="55"/>
      <c r="B1258"/>
    </row>
    <row r="1259" spans="1:2" x14ac:dyDescent="0.45">
      <c r="A1259" s="55"/>
      <c r="B1259"/>
    </row>
    <row r="1260" spans="1:2" x14ac:dyDescent="0.45">
      <c r="A1260" s="55"/>
      <c r="B1260"/>
    </row>
    <row r="1261" spans="1:2" x14ac:dyDescent="0.45">
      <c r="A1261" s="55"/>
      <c r="B1261"/>
    </row>
    <row r="1262" spans="1:2" x14ac:dyDescent="0.45">
      <c r="A1262" s="55"/>
      <c r="B1262"/>
    </row>
    <row r="1263" spans="1:2" x14ac:dyDescent="0.45">
      <c r="A1263" s="55"/>
      <c r="B1263"/>
    </row>
    <row r="1264" spans="1:2" x14ac:dyDescent="0.45">
      <c r="A1264" s="55"/>
      <c r="B1264"/>
    </row>
    <row r="1265" spans="1:2" x14ac:dyDescent="0.45">
      <c r="A1265" s="55"/>
      <c r="B1265"/>
    </row>
    <row r="1266" spans="1:2" x14ac:dyDescent="0.45">
      <c r="A1266" s="55"/>
      <c r="B1266"/>
    </row>
    <row r="1267" spans="1:2" x14ac:dyDescent="0.45">
      <c r="A1267" s="55"/>
      <c r="B1267"/>
    </row>
    <row r="1268" spans="1:2" x14ac:dyDescent="0.45">
      <c r="A1268" s="55"/>
      <c r="B1268"/>
    </row>
    <row r="1269" spans="1:2" x14ac:dyDescent="0.45">
      <c r="A1269" s="55"/>
      <c r="B1269"/>
    </row>
    <row r="1270" spans="1:2" x14ac:dyDescent="0.45">
      <c r="A1270" s="55"/>
      <c r="B1270"/>
    </row>
    <row r="1271" spans="1:2" x14ac:dyDescent="0.45">
      <c r="A1271" s="55"/>
      <c r="B1271"/>
    </row>
    <row r="1272" spans="1:2" x14ac:dyDescent="0.45">
      <c r="A1272" s="55"/>
      <c r="B1272"/>
    </row>
    <row r="1273" spans="1:2" x14ac:dyDescent="0.45">
      <c r="A1273" s="55"/>
      <c r="B1273"/>
    </row>
    <row r="1274" spans="1:2" x14ac:dyDescent="0.45">
      <c r="A1274" s="55"/>
      <c r="B1274"/>
    </row>
    <row r="1275" spans="1:2" x14ac:dyDescent="0.45">
      <c r="A1275" s="55"/>
      <c r="B1275"/>
    </row>
    <row r="1276" spans="1:2" x14ac:dyDescent="0.45">
      <c r="A1276" s="55"/>
      <c r="B1276"/>
    </row>
    <row r="1277" spans="1:2" x14ac:dyDescent="0.45">
      <c r="A1277" s="55"/>
      <c r="B1277"/>
    </row>
    <row r="1278" spans="1:2" x14ac:dyDescent="0.45">
      <c r="A1278" s="55"/>
      <c r="B1278"/>
    </row>
    <row r="1279" spans="1:2" x14ac:dyDescent="0.45">
      <c r="A1279" s="55"/>
      <c r="B1279"/>
    </row>
    <row r="1280" spans="1:2" x14ac:dyDescent="0.45">
      <c r="A1280" s="55"/>
      <c r="B1280"/>
    </row>
    <row r="1281" spans="1:2" x14ac:dyDescent="0.45">
      <c r="A1281" s="55"/>
      <c r="B1281"/>
    </row>
    <row r="1282" spans="1:2" x14ac:dyDescent="0.45">
      <c r="A1282" s="55"/>
      <c r="B1282"/>
    </row>
    <row r="1283" spans="1:2" x14ac:dyDescent="0.45">
      <c r="A1283" s="55"/>
      <c r="B1283"/>
    </row>
    <row r="1284" spans="1:2" x14ac:dyDescent="0.45">
      <c r="A1284" s="55"/>
      <c r="B1284"/>
    </row>
    <row r="1285" spans="1:2" x14ac:dyDescent="0.45">
      <c r="A1285" s="55"/>
      <c r="B1285"/>
    </row>
    <row r="1286" spans="1:2" x14ac:dyDescent="0.45">
      <c r="A1286" s="55"/>
      <c r="B1286"/>
    </row>
    <row r="1287" spans="1:2" x14ac:dyDescent="0.45">
      <c r="A1287" s="55"/>
      <c r="B1287"/>
    </row>
    <row r="1288" spans="1:2" x14ac:dyDescent="0.45">
      <c r="A1288" s="55"/>
      <c r="B1288"/>
    </row>
    <row r="1289" spans="1:2" x14ac:dyDescent="0.45">
      <c r="A1289" s="55"/>
      <c r="B1289"/>
    </row>
    <row r="1290" spans="1:2" x14ac:dyDescent="0.45">
      <c r="A1290" s="55"/>
      <c r="B1290"/>
    </row>
    <row r="1291" spans="1:2" x14ac:dyDescent="0.45">
      <c r="A1291" s="55"/>
      <c r="B1291"/>
    </row>
    <row r="1292" spans="1:2" x14ac:dyDescent="0.45">
      <c r="A1292" s="55"/>
      <c r="B1292"/>
    </row>
    <row r="1293" spans="1:2" x14ac:dyDescent="0.45">
      <c r="A1293" s="55"/>
      <c r="B1293"/>
    </row>
    <row r="1294" spans="1:2" x14ac:dyDescent="0.45">
      <c r="A1294" s="55"/>
      <c r="B1294"/>
    </row>
    <row r="1295" spans="1:2" x14ac:dyDescent="0.45">
      <c r="A1295" s="55"/>
      <c r="B1295"/>
    </row>
    <row r="1296" spans="1:2" x14ac:dyDescent="0.45">
      <c r="A1296" s="55"/>
      <c r="B1296"/>
    </row>
    <row r="1297" spans="1:2" x14ac:dyDescent="0.45">
      <c r="A1297" s="55"/>
      <c r="B1297"/>
    </row>
    <row r="1298" spans="1:2" x14ac:dyDescent="0.45">
      <c r="A1298" s="55"/>
      <c r="B1298"/>
    </row>
    <row r="1299" spans="1:2" x14ac:dyDescent="0.45">
      <c r="A1299" s="55"/>
      <c r="B1299"/>
    </row>
    <row r="1300" spans="1:2" x14ac:dyDescent="0.45">
      <c r="A1300" s="55"/>
      <c r="B1300"/>
    </row>
    <row r="1301" spans="1:2" x14ac:dyDescent="0.45">
      <c r="A1301" s="55"/>
      <c r="B1301"/>
    </row>
    <row r="1302" spans="1:2" x14ac:dyDescent="0.45">
      <c r="A1302" s="55"/>
      <c r="B1302"/>
    </row>
    <row r="1303" spans="1:2" x14ac:dyDescent="0.45">
      <c r="A1303" s="55"/>
      <c r="B1303"/>
    </row>
    <row r="1304" spans="1:2" x14ac:dyDescent="0.45">
      <c r="A1304" s="55"/>
      <c r="B1304"/>
    </row>
    <row r="1305" spans="1:2" x14ac:dyDescent="0.45">
      <c r="A1305" s="55"/>
      <c r="B1305"/>
    </row>
    <row r="1306" spans="1:2" x14ac:dyDescent="0.45">
      <c r="A1306" s="55"/>
      <c r="B1306"/>
    </row>
    <row r="1307" spans="1:2" x14ac:dyDescent="0.45">
      <c r="A1307" s="55"/>
      <c r="B1307"/>
    </row>
    <row r="1308" spans="1:2" x14ac:dyDescent="0.45">
      <c r="A1308" s="55"/>
      <c r="B1308"/>
    </row>
    <row r="1309" spans="1:2" x14ac:dyDescent="0.45">
      <c r="A1309" s="55"/>
      <c r="B1309"/>
    </row>
    <row r="1310" spans="1:2" x14ac:dyDescent="0.45">
      <c r="A1310" s="55"/>
      <c r="B1310"/>
    </row>
    <row r="1311" spans="1:2" x14ac:dyDescent="0.45">
      <c r="A1311" s="55"/>
      <c r="B1311"/>
    </row>
    <row r="1312" spans="1:2" x14ac:dyDescent="0.45">
      <c r="A1312" s="55"/>
      <c r="B1312"/>
    </row>
    <row r="1313" spans="1:2" x14ac:dyDescent="0.45">
      <c r="A1313" s="55"/>
      <c r="B1313"/>
    </row>
    <row r="1314" spans="1:2" x14ac:dyDescent="0.45">
      <c r="A1314" s="55"/>
      <c r="B1314"/>
    </row>
    <row r="1315" spans="1:2" x14ac:dyDescent="0.45">
      <c r="A1315" s="55"/>
      <c r="B1315"/>
    </row>
    <row r="1316" spans="1:2" x14ac:dyDescent="0.45">
      <c r="A1316" s="55"/>
      <c r="B1316"/>
    </row>
    <row r="1317" spans="1:2" x14ac:dyDescent="0.45">
      <c r="A1317" s="55"/>
      <c r="B1317"/>
    </row>
    <row r="1318" spans="1:2" x14ac:dyDescent="0.45">
      <c r="A1318" s="55"/>
      <c r="B1318"/>
    </row>
    <row r="1319" spans="1:2" x14ac:dyDescent="0.45">
      <c r="A1319" s="55"/>
      <c r="B1319"/>
    </row>
    <row r="1320" spans="1:2" x14ac:dyDescent="0.45">
      <c r="A1320" s="55"/>
      <c r="B1320"/>
    </row>
    <row r="1321" spans="1:2" x14ac:dyDescent="0.45">
      <c r="A1321" s="55"/>
      <c r="B1321"/>
    </row>
    <row r="1322" spans="1:2" x14ac:dyDescent="0.45">
      <c r="A1322" s="55"/>
      <c r="B1322"/>
    </row>
    <row r="1323" spans="1:2" x14ac:dyDescent="0.45">
      <c r="A1323" s="55"/>
      <c r="B1323"/>
    </row>
    <row r="1324" spans="1:2" x14ac:dyDescent="0.45">
      <c r="A1324" s="55"/>
      <c r="B1324"/>
    </row>
    <row r="1325" spans="1:2" x14ac:dyDescent="0.45">
      <c r="A1325" s="55"/>
      <c r="B1325"/>
    </row>
    <row r="1326" spans="1:2" x14ac:dyDescent="0.45">
      <c r="A1326" s="55"/>
      <c r="B1326"/>
    </row>
    <row r="1327" spans="1:2" x14ac:dyDescent="0.45">
      <c r="A1327" s="55"/>
      <c r="B1327"/>
    </row>
    <row r="1328" spans="1:2" x14ac:dyDescent="0.45">
      <c r="A1328" s="55"/>
      <c r="B1328"/>
    </row>
    <row r="1329" spans="1:2" x14ac:dyDescent="0.45">
      <c r="A1329" s="55"/>
      <c r="B1329"/>
    </row>
    <row r="1330" spans="1:2" x14ac:dyDescent="0.45">
      <c r="A1330" s="55"/>
      <c r="B1330"/>
    </row>
    <row r="1331" spans="1:2" x14ac:dyDescent="0.45">
      <c r="A1331" s="55"/>
      <c r="B1331"/>
    </row>
    <row r="1332" spans="1:2" x14ac:dyDescent="0.45">
      <c r="A1332" s="55"/>
      <c r="B1332"/>
    </row>
    <row r="1333" spans="1:2" x14ac:dyDescent="0.45">
      <c r="A1333" s="55"/>
      <c r="B1333"/>
    </row>
    <row r="1334" spans="1:2" x14ac:dyDescent="0.45">
      <c r="A1334" s="55"/>
      <c r="B1334"/>
    </row>
    <row r="1335" spans="1:2" x14ac:dyDescent="0.45">
      <c r="A1335" s="55"/>
      <c r="B1335"/>
    </row>
    <row r="1336" spans="1:2" x14ac:dyDescent="0.45">
      <c r="A1336" s="55"/>
      <c r="B1336"/>
    </row>
    <row r="1337" spans="1:2" x14ac:dyDescent="0.45">
      <c r="A1337" s="55"/>
      <c r="B1337"/>
    </row>
    <row r="1338" spans="1:2" x14ac:dyDescent="0.45">
      <c r="A1338" s="55"/>
      <c r="B1338"/>
    </row>
    <row r="1339" spans="1:2" x14ac:dyDescent="0.45">
      <c r="A1339" s="55"/>
      <c r="B1339"/>
    </row>
    <row r="1340" spans="1:2" x14ac:dyDescent="0.45">
      <c r="A1340" s="55"/>
      <c r="B1340"/>
    </row>
    <row r="1341" spans="1:2" x14ac:dyDescent="0.45">
      <c r="A1341" s="55"/>
      <c r="B1341"/>
    </row>
    <row r="1342" spans="1:2" x14ac:dyDescent="0.45">
      <c r="A1342" s="55"/>
      <c r="B1342"/>
    </row>
    <row r="1343" spans="1:2" x14ac:dyDescent="0.45">
      <c r="A1343" s="55"/>
      <c r="B1343"/>
    </row>
    <row r="1344" spans="1:2" x14ac:dyDescent="0.45">
      <c r="A1344" s="55"/>
      <c r="B1344"/>
    </row>
    <row r="1345" spans="1:2" x14ac:dyDescent="0.45">
      <c r="A1345" s="55"/>
      <c r="B1345"/>
    </row>
    <row r="1346" spans="1:2" x14ac:dyDescent="0.45">
      <c r="A1346" s="55"/>
      <c r="B1346"/>
    </row>
    <row r="1347" spans="1:2" x14ac:dyDescent="0.45">
      <c r="A1347" s="55"/>
      <c r="B1347"/>
    </row>
    <row r="1348" spans="1:2" x14ac:dyDescent="0.45">
      <c r="A1348" s="55"/>
      <c r="B1348"/>
    </row>
    <row r="1349" spans="1:2" x14ac:dyDescent="0.45">
      <c r="A1349" s="55"/>
      <c r="B1349"/>
    </row>
    <row r="1350" spans="1:2" x14ac:dyDescent="0.45">
      <c r="A1350" s="55"/>
      <c r="B1350"/>
    </row>
    <row r="1351" spans="1:2" x14ac:dyDescent="0.45">
      <c r="A1351" s="55"/>
      <c r="B1351"/>
    </row>
    <row r="1352" spans="1:2" x14ac:dyDescent="0.45">
      <c r="A1352" s="55"/>
      <c r="B1352"/>
    </row>
    <row r="1353" spans="1:2" x14ac:dyDescent="0.45">
      <c r="A1353" s="55"/>
      <c r="B1353"/>
    </row>
    <row r="1354" spans="1:2" x14ac:dyDescent="0.45">
      <c r="A1354" s="55"/>
      <c r="B1354"/>
    </row>
    <row r="1355" spans="1:2" x14ac:dyDescent="0.45">
      <c r="A1355" s="55"/>
      <c r="B1355"/>
    </row>
    <row r="1356" spans="1:2" x14ac:dyDescent="0.45">
      <c r="A1356" s="55"/>
      <c r="B1356"/>
    </row>
    <row r="1357" spans="1:2" x14ac:dyDescent="0.45">
      <c r="A1357" s="55"/>
      <c r="B1357"/>
    </row>
    <row r="1358" spans="1:2" x14ac:dyDescent="0.45">
      <c r="A1358" s="55"/>
      <c r="B1358"/>
    </row>
    <row r="1359" spans="1:2" x14ac:dyDescent="0.45">
      <c r="A1359" s="55"/>
      <c r="B1359"/>
    </row>
    <row r="1360" spans="1:2" x14ac:dyDescent="0.45">
      <c r="A1360" s="55"/>
      <c r="B1360"/>
    </row>
    <row r="1361" spans="1:2" x14ac:dyDescent="0.45">
      <c r="A1361" s="55"/>
      <c r="B1361"/>
    </row>
    <row r="1362" spans="1:2" x14ac:dyDescent="0.45">
      <c r="A1362" s="55"/>
      <c r="B1362"/>
    </row>
    <row r="1363" spans="1:2" x14ac:dyDescent="0.45">
      <c r="A1363" s="55"/>
      <c r="B1363"/>
    </row>
    <row r="1364" spans="1:2" x14ac:dyDescent="0.45">
      <c r="A1364" s="55"/>
      <c r="B1364"/>
    </row>
    <row r="1365" spans="1:2" x14ac:dyDescent="0.45">
      <c r="A1365" s="55"/>
      <c r="B1365"/>
    </row>
    <row r="1366" spans="1:2" x14ac:dyDescent="0.45">
      <c r="A1366" s="55"/>
      <c r="B1366"/>
    </row>
    <row r="1367" spans="1:2" x14ac:dyDescent="0.45">
      <c r="A1367" s="55"/>
      <c r="B1367"/>
    </row>
    <row r="1368" spans="1:2" x14ac:dyDescent="0.45">
      <c r="A1368" s="55"/>
      <c r="B1368"/>
    </row>
    <row r="1369" spans="1:2" x14ac:dyDescent="0.45">
      <c r="A1369" s="55"/>
      <c r="B1369"/>
    </row>
    <row r="1370" spans="1:2" x14ac:dyDescent="0.45">
      <c r="A1370" s="55"/>
      <c r="B1370"/>
    </row>
    <row r="1371" spans="1:2" x14ac:dyDescent="0.45">
      <c r="A1371" s="55"/>
      <c r="B1371"/>
    </row>
    <row r="1372" spans="1:2" x14ac:dyDescent="0.45">
      <c r="A1372" s="55"/>
      <c r="B1372"/>
    </row>
    <row r="1373" spans="1:2" x14ac:dyDescent="0.45">
      <c r="A1373" s="55"/>
      <c r="B1373"/>
    </row>
    <row r="1374" spans="1:2" x14ac:dyDescent="0.45">
      <c r="A1374" s="55"/>
      <c r="B1374"/>
    </row>
    <row r="1375" spans="1:2" x14ac:dyDescent="0.45">
      <c r="A1375" s="55"/>
      <c r="B1375"/>
    </row>
    <row r="1376" spans="1:2" x14ac:dyDescent="0.45">
      <c r="A1376" s="55"/>
      <c r="B1376"/>
    </row>
    <row r="1377" spans="1:2" x14ac:dyDescent="0.45">
      <c r="A1377" s="55"/>
      <c r="B1377"/>
    </row>
    <row r="1378" spans="1:2" x14ac:dyDescent="0.45">
      <c r="A1378" s="55"/>
      <c r="B1378"/>
    </row>
    <row r="1379" spans="1:2" x14ac:dyDescent="0.45">
      <c r="A1379" s="55"/>
      <c r="B1379"/>
    </row>
    <row r="1380" spans="1:2" x14ac:dyDescent="0.45">
      <c r="A1380" s="55"/>
      <c r="B1380"/>
    </row>
    <row r="1381" spans="1:2" x14ac:dyDescent="0.45">
      <c r="A1381" s="55"/>
      <c r="B1381"/>
    </row>
    <row r="1382" spans="1:2" x14ac:dyDescent="0.45">
      <c r="A1382" s="55"/>
      <c r="B1382"/>
    </row>
    <row r="1383" spans="1:2" x14ac:dyDescent="0.45">
      <c r="A1383" s="55"/>
      <c r="B1383"/>
    </row>
    <row r="1384" spans="1:2" x14ac:dyDescent="0.45">
      <c r="A1384" s="55"/>
      <c r="B1384"/>
    </row>
    <row r="1385" spans="1:2" x14ac:dyDescent="0.45">
      <c r="A1385" s="55"/>
      <c r="B1385"/>
    </row>
    <row r="1386" spans="1:2" x14ac:dyDescent="0.45">
      <c r="A1386" s="55"/>
      <c r="B1386"/>
    </row>
    <row r="1387" spans="1:2" x14ac:dyDescent="0.45">
      <c r="A1387" s="55"/>
      <c r="B1387"/>
    </row>
    <row r="1388" spans="1:2" x14ac:dyDescent="0.45">
      <c r="A1388" s="55"/>
      <c r="B1388"/>
    </row>
    <row r="1389" spans="1:2" x14ac:dyDescent="0.45">
      <c r="A1389" s="55"/>
      <c r="B1389"/>
    </row>
    <row r="1390" spans="1:2" x14ac:dyDescent="0.45">
      <c r="A1390" s="55"/>
      <c r="B1390"/>
    </row>
    <row r="1391" spans="1:2" x14ac:dyDescent="0.45">
      <c r="A1391" s="55"/>
      <c r="B1391"/>
    </row>
    <row r="1392" spans="1:2" x14ac:dyDescent="0.45">
      <c r="A1392" s="55"/>
      <c r="B1392"/>
    </row>
    <row r="1393" spans="1:2" x14ac:dyDescent="0.45">
      <c r="A1393" s="55"/>
      <c r="B1393"/>
    </row>
    <row r="1394" spans="1:2" x14ac:dyDescent="0.45">
      <c r="A1394" s="55"/>
      <c r="B1394"/>
    </row>
    <row r="1395" spans="1:2" x14ac:dyDescent="0.45">
      <c r="A1395" s="55"/>
      <c r="B1395"/>
    </row>
    <row r="1396" spans="1:2" x14ac:dyDescent="0.45">
      <c r="A1396" s="55"/>
      <c r="B1396"/>
    </row>
    <row r="1397" spans="1:2" x14ac:dyDescent="0.45">
      <c r="A1397" s="55"/>
      <c r="B1397"/>
    </row>
    <row r="1398" spans="1:2" x14ac:dyDescent="0.45">
      <c r="A1398" s="55"/>
      <c r="B1398"/>
    </row>
    <row r="1399" spans="1:2" x14ac:dyDescent="0.45">
      <c r="A1399" s="55"/>
      <c r="B1399"/>
    </row>
    <row r="1400" spans="1:2" x14ac:dyDescent="0.45">
      <c r="A1400" s="55"/>
      <c r="B1400"/>
    </row>
    <row r="1401" spans="1:2" x14ac:dyDescent="0.45">
      <c r="A1401" s="55"/>
      <c r="B1401"/>
    </row>
    <row r="1402" spans="1:2" x14ac:dyDescent="0.45">
      <c r="A1402" s="55"/>
      <c r="B1402"/>
    </row>
    <row r="1403" spans="1:2" x14ac:dyDescent="0.45">
      <c r="A1403" s="55"/>
      <c r="B1403"/>
    </row>
    <row r="1404" spans="1:2" x14ac:dyDescent="0.45">
      <c r="A1404" s="55"/>
      <c r="B1404"/>
    </row>
    <row r="1405" spans="1:2" x14ac:dyDescent="0.45">
      <c r="A1405" s="55"/>
      <c r="B1405"/>
    </row>
    <row r="1406" spans="1:2" x14ac:dyDescent="0.45">
      <c r="A1406" s="55"/>
      <c r="B1406"/>
    </row>
    <row r="1407" spans="1:2" x14ac:dyDescent="0.45">
      <c r="A1407" s="55"/>
      <c r="B1407"/>
    </row>
    <row r="1408" spans="1:2" x14ac:dyDescent="0.45">
      <c r="A1408" s="55"/>
      <c r="B1408"/>
    </row>
    <row r="1409" spans="1:2" x14ac:dyDescent="0.45">
      <c r="A1409" s="55"/>
      <c r="B1409"/>
    </row>
    <row r="1410" spans="1:2" x14ac:dyDescent="0.45">
      <c r="A1410" s="55"/>
      <c r="B1410"/>
    </row>
    <row r="1411" spans="1:2" x14ac:dyDescent="0.45">
      <c r="A1411" s="55"/>
      <c r="B1411"/>
    </row>
    <row r="1412" spans="1:2" x14ac:dyDescent="0.45">
      <c r="A1412" s="55"/>
      <c r="B1412"/>
    </row>
    <row r="1413" spans="1:2" x14ac:dyDescent="0.45">
      <c r="A1413" s="55"/>
      <c r="B1413"/>
    </row>
    <row r="1414" spans="1:2" x14ac:dyDescent="0.45">
      <c r="A1414" s="55"/>
      <c r="B1414"/>
    </row>
    <row r="1415" spans="1:2" x14ac:dyDescent="0.45">
      <c r="A1415" s="55"/>
      <c r="B1415"/>
    </row>
    <row r="1416" spans="1:2" x14ac:dyDescent="0.45">
      <c r="A1416" s="55"/>
      <c r="B1416"/>
    </row>
    <row r="1417" spans="1:2" x14ac:dyDescent="0.45">
      <c r="A1417" s="55"/>
      <c r="B1417"/>
    </row>
    <row r="1418" spans="1:2" x14ac:dyDescent="0.45">
      <c r="A1418" s="55"/>
      <c r="B1418"/>
    </row>
    <row r="1419" spans="1:2" x14ac:dyDescent="0.45">
      <c r="A1419" s="55"/>
      <c r="B1419"/>
    </row>
    <row r="1420" spans="1:2" x14ac:dyDescent="0.45">
      <c r="A1420" s="55"/>
      <c r="B1420"/>
    </row>
    <row r="1421" spans="1:2" x14ac:dyDescent="0.45">
      <c r="A1421" s="55"/>
      <c r="B1421"/>
    </row>
    <row r="1422" spans="1:2" x14ac:dyDescent="0.45">
      <c r="A1422" s="55"/>
      <c r="B1422"/>
    </row>
    <row r="1423" spans="1:2" x14ac:dyDescent="0.45">
      <c r="A1423" s="55"/>
      <c r="B1423"/>
    </row>
    <row r="1424" spans="1:2" x14ac:dyDescent="0.45">
      <c r="A1424" s="55"/>
      <c r="B1424"/>
    </row>
    <row r="1425" spans="1:2" x14ac:dyDescent="0.45">
      <c r="A1425" s="55"/>
      <c r="B1425"/>
    </row>
    <row r="1426" spans="1:2" x14ac:dyDescent="0.45">
      <c r="A1426" s="55"/>
      <c r="B1426"/>
    </row>
    <row r="1427" spans="1:2" x14ac:dyDescent="0.45">
      <c r="A1427" s="55"/>
      <c r="B1427"/>
    </row>
    <row r="1428" spans="1:2" x14ac:dyDescent="0.45">
      <c r="A1428" s="55"/>
      <c r="B1428"/>
    </row>
    <row r="1429" spans="1:2" x14ac:dyDescent="0.45">
      <c r="A1429" s="55"/>
      <c r="B1429"/>
    </row>
    <row r="1430" spans="1:2" x14ac:dyDescent="0.45">
      <c r="A1430" s="55"/>
      <c r="B1430"/>
    </row>
    <row r="1431" spans="1:2" x14ac:dyDescent="0.45">
      <c r="A1431" s="55"/>
      <c r="B1431"/>
    </row>
    <row r="1432" spans="1:2" x14ac:dyDescent="0.45">
      <c r="A1432" s="55"/>
      <c r="B1432"/>
    </row>
    <row r="1433" spans="1:2" x14ac:dyDescent="0.45">
      <c r="A1433" s="55"/>
      <c r="B1433"/>
    </row>
    <row r="1434" spans="1:2" x14ac:dyDescent="0.45">
      <c r="A1434" s="55"/>
      <c r="B1434"/>
    </row>
    <row r="1435" spans="1:2" x14ac:dyDescent="0.45">
      <c r="A1435" s="55"/>
      <c r="B1435"/>
    </row>
    <row r="1436" spans="1:2" x14ac:dyDescent="0.45">
      <c r="A1436" s="55"/>
      <c r="B1436"/>
    </row>
    <row r="1437" spans="1:2" x14ac:dyDescent="0.45">
      <c r="A1437" s="55"/>
      <c r="B1437"/>
    </row>
    <row r="1438" spans="1:2" x14ac:dyDescent="0.45">
      <c r="A1438" s="55"/>
      <c r="B1438"/>
    </row>
    <row r="1439" spans="1:2" x14ac:dyDescent="0.45">
      <c r="A1439" s="55"/>
      <c r="B1439"/>
    </row>
    <row r="1440" spans="1:2" x14ac:dyDescent="0.45">
      <c r="A1440" s="55"/>
      <c r="B1440"/>
    </row>
    <row r="1441" spans="1:2" x14ac:dyDescent="0.45">
      <c r="A1441" s="55"/>
      <c r="B1441"/>
    </row>
    <row r="1442" spans="1:2" x14ac:dyDescent="0.45">
      <c r="A1442" s="55"/>
      <c r="B1442"/>
    </row>
    <row r="1443" spans="1:2" x14ac:dyDescent="0.45">
      <c r="A1443" s="55"/>
      <c r="B1443"/>
    </row>
    <row r="1444" spans="1:2" x14ac:dyDescent="0.45">
      <c r="A1444" s="55"/>
      <c r="B1444"/>
    </row>
    <row r="1445" spans="1:2" x14ac:dyDescent="0.45">
      <c r="A1445" s="55"/>
      <c r="B1445"/>
    </row>
    <row r="1446" spans="1:2" x14ac:dyDescent="0.45">
      <c r="A1446" s="55"/>
      <c r="B1446"/>
    </row>
    <row r="1447" spans="1:2" x14ac:dyDescent="0.45">
      <c r="A1447" s="55"/>
      <c r="B1447"/>
    </row>
    <row r="1448" spans="1:2" x14ac:dyDescent="0.45">
      <c r="A1448" s="55"/>
      <c r="B1448"/>
    </row>
    <row r="1449" spans="1:2" x14ac:dyDescent="0.45">
      <c r="A1449" s="55"/>
      <c r="B1449"/>
    </row>
    <row r="1450" spans="1:2" x14ac:dyDescent="0.45">
      <c r="A1450" s="55"/>
      <c r="B1450"/>
    </row>
    <row r="1451" spans="1:2" x14ac:dyDescent="0.45">
      <c r="A1451" s="55"/>
      <c r="B1451"/>
    </row>
    <row r="1452" spans="1:2" x14ac:dyDescent="0.45">
      <c r="A1452" s="55"/>
      <c r="B1452"/>
    </row>
    <row r="1453" spans="1:2" x14ac:dyDescent="0.45">
      <c r="A1453" s="55"/>
      <c r="B1453"/>
    </row>
    <row r="1454" spans="1:2" x14ac:dyDescent="0.45">
      <c r="A1454" s="55"/>
      <c r="B1454"/>
    </row>
    <row r="1455" spans="1:2" x14ac:dyDescent="0.45">
      <c r="A1455" s="55"/>
      <c r="B1455"/>
    </row>
    <row r="1456" spans="1:2" x14ac:dyDescent="0.45">
      <c r="A1456" s="55"/>
      <c r="B1456"/>
    </row>
    <row r="1457" spans="1:2" x14ac:dyDescent="0.45">
      <c r="A1457" s="55"/>
      <c r="B1457"/>
    </row>
    <row r="1458" spans="1:2" x14ac:dyDescent="0.45">
      <c r="A1458" s="55"/>
      <c r="B1458"/>
    </row>
    <row r="1459" spans="1:2" x14ac:dyDescent="0.45">
      <c r="A1459" s="55"/>
      <c r="B1459"/>
    </row>
    <row r="1460" spans="1:2" x14ac:dyDescent="0.45">
      <c r="A1460" s="55"/>
      <c r="B1460"/>
    </row>
    <row r="1461" spans="1:2" x14ac:dyDescent="0.45">
      <c r="A1461" s="55"/>
      <c r="B1461"/>
    </row>
    <row r="1462" spans="1:2" x14ac:dyDescent="0.45">
      <c r="A1462" s="55"/>
      <c r="B1462"/>
    </row>
    <row r="1463" spans="1:2" x14ac:dyDescent="0.45">
      <c r="A1463" s="55"/>
      <c r="B1463"/>
    </row>
    <row r="1464" spans="1:2" x14ac:dyDescent="0.45">
      <c r="A1464" s="55"/>
      <c r="B1464"/>
    </row>
    <row r="1465" spans="1:2" x14ac:dyDescent="0.45">
      <c r="A1465" s="55"/>
      <c r="B1465"/>
    </row>
    <row r="1466" spans="1:2" x14ac:dyDescent="0.45">
      <c r="A1466" s="55"/>
      <c r="B1466"/>
    </row>
    <row r="1467" spans="1:2" x14ac:dyDescent="0.45">
      <c r="A1467" s="55"/>
      <c r="B1467"/>
    </row>
    <row r="1468" spans="1:2" x14ac:dyDescent="0.45">
      <c r="A1468" s="55"/>
      <c r="B1468"/>
    </row>
    <row r="1469" spans="1:2" x14ac:dyDescent="0.45">
      <c r="A1469" s="55"/>
      <c r="B1469"/>
    </row>
    <row r="1470" spans="1:2" x14ac:dyDescent="0.45">
      <c r="A1470" s="55"/>
      <c r="B1470"/>
    </row>
    <row r="1471" spans="1:2" x14ac:dyDescent="0.45">
      <c r="A1471" s="55"/>
      <c r="B1471"/>
    </row>
    <row r="1472" spans="1:2" x14ac:dyDescent="0.45">
      <c r="A1472" s="55"/>
      <c r="B1472"/>
    </row>
    <row r="1473" spans="1:2" x14ac:dyDescent="0.45">
      <c r="A1473" s="55"/>
      <c r="B1473"/>
    </row>
    <row r="1474" spans="1:2" x14ac:dyDescent="0.45">
      <c r="A1474" s="55"/>
      <c r="B1474"/>
    </row>
    <row r="1475" spans="1:2" x14ac:dyDescent="0.45">
      <c r="A1475" s="55"/>
      <c r="B1475"/>
    </row>
    <row r="1476" spans="1:2" x14ac:dyDescent="0.45">
      <c r="A1476" s="55"/>
      <c r="B1476"/>
    </row>
    <row r="1477" spans="1:2" x14ac:dyDescent="0.45">
      <c r="A1477" s="55"/>
      <c r="B1477"/>
    </row>
    <row r="1478" spans="1:2" x14ac:dyDescent="0.45">
      <c r="A1478" s="55"/>
      <c r="B1478"/>
    </row>
    <row r="1479" spans="1:2" x14ac:dyDescent="0.45">
      <c r="A1479" s="55"/>
      <c r="B1479"/>
    </row>
    <row r="1480" spans="1:2" x14ac:dyDescent="0.45">
      <c r="A1480" s="55"/>
      <c r="B1480"/>
    </row>
    <row r="1481" spans="1:2" x14ac:dyDescent="0.45">
      <c r="A1481" s="55"/>
      <c r="B1481"/>
    </row>
    <row r="1482" spans="1:2" x14ac:dyDescent="0.45">
      <c r="A1482" s="55"/>
      <c r="B1482"/>
    </row>
    <row r="1483" spans="1:2" x14ac:dyDescent="0.45">
      <c r="A1483" s="55"/>
      <c r="B1483"/>
    </row>
    <row r="1484" spans="1:2" x14ac:dyDescent="0.45">
      <c r="A1484" s="55"/>
      <c r="B1484"/>
    </row>
    <row r="1485" spans="1:2" x14ac:dyDescent="0.45">
      <c r="A1485" s="55"/>
      <c r="B1485"/>
    </row>
    <row r="1486" spans="1:2" x14ac:dyDescent="0.45">
      <c r="A1486" s="55"/>
      <c r="B1486"/>
    </row>
    <row r="1487" spans="1:2" x14ac:dyDescent="0.45">
      <c r="A1487" s="55"/>
      <c r="B1487"/>
    </row>
    <row r="1488" spans="1:2" x14ac:dyDescent="0.45">
      <c r="A1488" s="55"/>
      <c r="B1488"/>
    </row>
    <row r="1489" spans="1:2" x14ac:dyDescent="0.45">
      <c r="A1489" s="55"/>
      <c r="B1489"/>
    </row>
    <row r="1490" spans="1:2" x14ac:dyDescent="0.45">
      <c r="A1490" s="55"/>
      <c r="B1490"/>
    </row>
    <row r="1491" spans="1:2" x14ac:dyDescent="0.45">
      <c r="A1491" s="55"/>
      <c r="B1491"/>
    </row>
    <row r="1492" spans="1:2" x14ac:dyDescent="0.45">
      <c r="A1492" s="55"/>
      <c r="B1492"/>
    </row>
    <row r="1493" spans="1:2" x14ac:dyDescent="0.45">
      <c r="A1493" s="55"/>
      <c r="B1493"/>
    </row>
    <row r="1494" spans="1:2" x14ac:dyDescent="0.45">
      <c r="A1494" s="55"/>
      <c r="B1494"/>
    </row>
    <row r="1495" spans="1:2" x14ac:dyDescent="0.45">
      <c r="A1495" s="55"/>
      <c r="B1495"/>
    </row>
    <row r="1496" spans="1:2" x14ac:dyDescent="0.45">
      <c r="A1496" s="55"/>
      <c r="B1496"/>
    </row>
    <row r="1497" spans="1:2" x14ac:dyDescent="0.45">
      <c r="A1497" s="55"/>
      <c r="B1497"/>
    </row>
    <row r="1498" spans="1:2" x14ac:dyDescent="0.45">
      <c r="A1498" s="55"/>
      <c r="B1498"/>
    </row>
    <row r="1499" spans="1:2" x14ac:dyDescent="0.45">
      <c r="A1499" s="55"/>
      <c r="B1499"/>
    </row>
    <row r="1500" spans="1:2" x14ac:dyDescent="0.45">
      <c r="A1500" s="55"/>
      <c r="B1500"/>
    </row>
    <row r="1501" spans="1:2" x14ac:dyDescent="0.45">
      <c r="A1501" s="55"/>
      <c r="B1501"/>
    </row>
    <row r="1502" spans="1:2" x14ac:dyDescent="0.45">
      <c r="A1502" s="55"/>
      <c r="B1502"/>
    </row>
    <row r="1503" spans="1:2" x14ac:dyDescent="0.45">
      <c r="A1503" s="55"/>
      <c r="B1503"/>
    </row>
    <row r="1504" spans="1:2" x14ac:dyDescent="0.45">
      <c r="A1504" s="55"/>
      <c r="B1504"/>
    </row>
    <row r="1505" spans="1:2" x14ac:dyDescent="0.45">
      <c r="A1505" s="55"/>
      <c r="B1505"/>
    </row>
    <row r="1506" spans="1:2" x14ac:dyDescent="0.45">
      <c r="A1506" s="55"/>
      <c r="B1506"/>
    </row>
    <row r="1507" spans="1:2" x14ac:dyDescent="0.45">
      <c r="A1507" s="55"/>
      <c r="B1507"/>
    </row>
    <row r="1508" spans="1:2" x14ac:dyDescent="0.45">
      <c r="A1508" s="55"/>
      <c r="B1508"/>
    </row>
    <row r="1509" spans="1:2" x14ac:dyDescent="0.45">
      <c r="A1509" s="55"/>
      <c r="B1509"/>
    </row>
    <row r="1510" spans="1:2" x14ac:dyDescent="0.45">
      <c r="A1510" s="55"/>
      <c r="B1510"/>
    </row>
    <row r="1511" spans="1:2" x14ac:dyDescent="0.45">
      <c r="A1511" s="55"/>
      <c r="B1511"/>
    </row>
    <row r="1512" spans="1:2" x14ac:dyDescent="0.45">
      <c r="A1512" s="55"/>
      <c r="B1512"/>
    </row>
    <row r="1513" spans="1:2" x14ac:dyDescent="0.45">
      <c r="A1513" s="55"/>
      <c r="B1513"/>
    </row>
    <row r="1514" spans="1:2" x14ac:dyDescent="0.45">
      <c r="A1514" s="55"/>
      <c r="B1514"/>
    </row>
    <row r="1515" spans="1:2" x14ac:dyDescent="0.45">
      <c r="A1515" s="55"/>
      <c r="B1515"/>
    </row>
    <row r="1516" spans="1:2" x14ac:dyDescent="0.45">
      <c r="A1516" s="55"/>
      <c r="B1516"/>
    </row>
    <row r="1517" spans="1:2" x14ac:dyDescent="0.45">
      <c r="A1517" s="55"/>
      <c r="B1517"/>
    </row>
    <row r="1518" spans="1:2" x14ac:dyDescent="0.45">
      <c r="A1518" s="55"/>
      <c r="B1518"/>
    </row>
    <row r="1519" spans="1:2" x14ac:dyDescent="0.45">
      <c r="A1519" s="55"/>
      <c r="B1519"/>
    </row>
    <row r="1520" spans="1:2" x14ac:dyDescent="0.45">
      <c r="A1520" s="55"/>
      <c r="B1520"/>
    </row>
    <row r="1521" spans="1:2" x14ac:dyDescent="0.45">
      <c r="A1521" s="55"/>
      <c r="B1521"/>
    </row>
    <row r="1522" spans="1:2" x14ac:dyDescent="0.45">
      <c r="A1522" s="55"/>
      <c r="B1522"/>
    </row>
    <row r="1523" spans="1:2" x14ac:dyDescent="0.45">
      <c r="A1523" s="55"/>
      <c r="B1523"/>
    </row>
    <row r="1524" spans="1:2" x14ac:dyDescent="0.45">
      <c r="A1524" s="55"/>
      <c r="B1524"/>
    </row>
    <row r="1525" spans="1:2" x14ac:dyDescent="0.45">
      <c r="A1525" s="55"/>
      <c r="B1525"/>
    </row>
    <row r="1526" spans="1:2" x14ac:dyDescent="0.45">
      <c r="A1526" s="55"/>
      <c r="B1526"/>
    </row>
    <row r="1527" spans="1:2" x14ac:dyDescent="0.45">
      <c r="A1527" s="55"/>
      <c r="B1527"/>
    </row>
    <row r="1528" spans="1:2" x14ac:dyDescent="0.45">
      <c r="A1528" s="55"/>
      <c r="B1528"/>
    </row>
    <row r="1529" spans="1:2" x14ac:dyDescent="0.45">
      <c r="A1529" s="55"/>
      <c r="B1529"/>
    </row>
    <row r="1530" spans="1:2" x14ac:dyDescent="0.45">
      <c r="A1530" s="55"/>
      <c r="B1530"/>
    </row>
    <row r="1531" spans="1:2" x14ac:dyDescent="0.45">
      <c r="A1531" s="55"/>
      <c r="B1531"/>
    </row>
    <row r="1532" spans="1:2" x14ac:dyDescent="0.45">
      <c r="A1532" s="55"/>
      <c r="B1532"/>
    </row>
    <row r="1533" spans="1:2" x14ac:dyDescent="0.45">
      <c r="A1533" s="55"/>
      <c r="B1533"/>
    </row>
    <row r="1534" spans="1:2" x14ac:dyDescent="0.45">
      <c r="A1534" s="55"/>
      <c r="B1534"/>
    </row>
    <row r="1535" spans="1:2" x14ac:dyDescent="0.45">
      <c r="A1535" s="55"/>
      <c r="B1535"/>
    </row>
    <row r="1536" spans="1:2" x14ac:dyDescent="0.45">
      <c r="A1536" s="55"/>
      <c r="B1536"/>
    </row>
    <row r="1537" spans="1:2" x14ac:dyDescent="0.45">
      <c r="A1537" s="55"/>
      <c r="B1537"/>
    </row>
    <row r="1538" spans="1:2" x14ac:dyDescent="0.45">
      <c r="A1538" s="55"/>
      <c r="B1538"/>
    </row>
    <row r="1539" spans="1:2" x14ac:dyDescent="0.45">
      <c r="A1539" s="55"/>
      <c r="B1539"/>
    </row>
    <row r="1540" spans="1:2" x14ac:dyDescent="0.45">
      <c r="A1540" s="55"/>
      <c r="B1540"/>
    </row>
    <row r="1541" spans="1:2" x14ac:dyDescent="0.45">
      <c r="A1541" s="55"/>
      <c r="B1541"/>
    </row>
    <row r="1542" spans="1:2" x14ac:dyDescent="0.45">
      <c r="A1542" s="55"/>
      <c r="B1542"/>
    </row>
    <row r="1543" spans="1:2" x14ac:dyDescent="0.45">
      <c r="A1543" s="55"/>
      <c r="B1543"/>
    </row>
    <row r="1544" spans="1:2" x14ac:dyDescent="0.45">
      <c r="A1544" s="55"/>
      <c r="B1544"/>
    </row>
    <row r="1545" spans="1:2" x14ac:dyDescent="0.45">
      <c r="A1545" s="55"/>
      <c r="B1545"/>
    </row>
    <row r="1546" spans="1:2" x14ac:dyDescent="0.45">
      <c r="A1546" s="55"/>
      <c r="B1546"/>
    </row>
    <row r="1547" spans="1:2" x14ac:dyDescent="0.45">
      <c r="A1547" s="55"/>
      <c r="B1547"/>
    </row>
    <row r="1548" spans="1:2" x14ac:dyDescent="0.45">
      <c r="A1548" s="55"/>
      <c r="B1548"/>
    </row>
    <row r="1549" spans="1:2" x14ac:dyDescent="0.45">
      <c r="A1549" s="55"/>
      <c r="B1549"/>
    </row>
    <row r="1550" spans="1:2" x14ac:dyDescent="0.45">
      <c r="A1550" s="55"/>
      <c r="B1550"/>
    </row>
    <row r="1551" spans="1:2" x14ac:dyDescent="0.45">
      <c r="A1551" s="55"/>
      <c r="B1551"/>
    </row>
    <row r="1552" spans="1:2" x14ac:dyDescent="0.45">
      <c r="A1552" s="55"/>
      <c r="B1552"/>
    </row>
    <row r="1553" spans="1:2" x14ac:dyDescent="0.45">
      <c r="A1553" s="55"/>
      <c r="B1553"/>
    </row>
    <row r="1554" spans="1:2" x14ac:dyDescent="0.45">
      <c r="A1554" s="55"/>
      <c r="B1554"/>
    </row>
    <row r="1555" spans="1:2" x14ac:dyDescent="0.45">
      <c r="A1555" s="55"/>
      <c r="B1555"/>
    </row>
    <row r="1556" spans="1:2" x14ac:dyDescent="0.45">
      <c r="A1556" s="55"/>
      <c r="B1556"/>
    </row>
    <row r="1557" spans="1:2" x14ac:dyDescent="0.45">
      <c r="A1557" s="55"/>
      <c r="B1557"/>
    </row>
    <row r="1558" spans="1:2" x14ac:dyDescent="0.45">
      <c r="A1558" s="55"/>
      <c r="B1558"/>
    </row>
    <row r="1559" spans="1:2" x14ac:dyDescent="0.45">
      <c r="A1559" s="55"/>
      <c r="B1559"/>
    </row>
    <row r="1560" spans="1:2" x14ac:dyDescent="0.45">
      <c r="A1560" s="55"/>
      <c r="B1560"/>
    </row>
    <row r="1561" spans="1:2" x14ac:dyDescent="0.45">
      <c r="A1561" s="55"/>
      <c r="B1561"/>
    </row>
    <row r="1562" spans="1:2" x14ac:dyDescent="0.45">
      <c r="A1562" s="55"/>
      <c r="B1562"/>
    </row>
    <row r="1563" spans="1:2" x14ac:dyDescent="0.45">
      <c r="A1563" s="55"/>
      <c r="B1563"/>
    </row>
    <row r="1564" spans="1:2" x14ac:dyDescent="0.45">
      <c r="A1564" s="55"/>
      <c r="B1564"/>
    </row>
    <row r="1565" spans="1:2" x14ac:dyDescent="0.45">
      <c r="A1565" s="55"/>
      <c r="B1565"/>
    </row>
    <row r="1566" spans="1:2" x14ac:dyDescent="0.45">
      <c r="A1566" s="55"/>
      <c r="B1566"/>
    </row>
    <row r="1567" spans="1:2" x14ac:dyDescent="0.45">
      <c r="A1567" s="55"/>
      <c r="B1567"/>
    </row>
    <row r="1568" spans="1:2" x14ac:dyDescent="0.45">
      <c r="A1568" s="55"/>
      <c r="B1568"/>
    </row>
    <row r="1569" spans="1:2" x14ac:dyDescent="0.45">
      <c r="A1569" s="55"/>
      <c r="B1569"/>
    </row>
    <row r="1570" spans="1:2" x14ac:dyDescent="0.45">
      <c r="A1570" s="55"/>
      <c r="B1570"/>
    </row>
    <row r="1571" spans="1:2" x14ac:dyDescent="0.45">
      <c r="A1571" s="55"/>
      <c r="B1571"/>
    </row>
    <row r="1572" spans="1:2" x14ac:dyDescent="0.45">
      <c r="A1572" s="55"/>
      <c r="B1572"/>
    </row>
    <row r="1573" spans="1:2" x14ac:dyDescent="0.45">
      <c r="A1573" s="55"/>
      <c r="B1573"/>
    </row>
    <row r="1574" spans="1:2" x14ac:dyDescent="0.45">
      <c r="A1574" s="55"/>
      <c r="B1574"/>
    </row>
    <row r="1575" spans="1:2" x14ac:dyDescent="0.45">
      <c r="A1575" s="55"/>
      <c r="B1575"/>
    </row>
    <row r="1576" spans="1:2" x14ac:dyDescent="0.45">
      <c r="A1576" s="55"/>
      <c r="B1576"/>
    </row>
    <row r="1577" spans="1:2" x14ac:dyDescent="0.45">
      <c r="A1577" s="55"/>
      <c r="B1577"/>
    </row>
    <row r="1578" spans="1:2" x14ac:dyDescent="0.45">
      <c r="A1578" s="55"/>
      <c r="B1578"/>
    </row>
    <row r="1579" spans="1:2" x14ac:dyDescent="0.45">
      <c r="A1579" s="55"/>
      <c r="B1579"/>
    </row>
    <row r="1580" spans="1:2" x14ac:dyDescent="0.45">
      <c r="A1580" s="55"/>
      <c r="B1580"/>
    </row>
    <row r="1581" spans="1:2" x14ac:dyDescent="0.45">
      <c r="A1581" s="55"/>
      <c r="B1581"/>
    </row>
    <row r="1582" spans="1:2" x14ac:dyDescent="0.45">
      <c r="A1582" s="55"/>
      <c r="B1582"/>
    </row>
    <row r="1583" spans="1:2" x14ac:dyDescent="0.45">
      <c r="A1583" s="55"/>
      <c r="B1583"/>
    </row>
    <row r="1584" spans="1:2" x14ac:dyDescent="0.45">
      <c r="A1584" s="55"/>
      <c r="B1584"/>
    </row>
    <row r="1585" spans="1:2" x14ac:dyDescent="0.45">
      <c r="A1585" s="55"/>
      <c r="B1585"/>
    </row>
    <row r="1586" spans="1:2" x14ac:dyDescent="0.45">
      <c r="A1586" s="55"/>
      <c r="B1586"/>
    </row>
    <row r="1587" spans="1:2" x14ac:dyDescent="0.45">
      <c r="A1587" s="55"/>
      <c r="B1587"/>
    </row>
    <row r="1588" spans="1:2" x14ac:dyDescent="0.45">
      <c r="A1588" s="55"/>
      <c r="B1588"/>
    </row>
    <row r="1589" spans="1:2" x14ac:dyDescent="0.45">
      <c r="A1589" s="55"/>
      <c r="B1589"/>
    </row>
    <row r="1590" spans="1:2" x14ac:dyDescent="0.45">
      <c r="A1590" s="55"/>
      <c r="B1590"/>
    </row>
    <row r="1591" spans="1:2" x14ac:dyDescent="0.45">
      <c r="A1591" s="55"/>
      <c r="B1591"/>
    </row>
    <row r="1592" spans="1:2" x14ac:dyDescent="0.45">
      <c r="A1592" s="55"/>
      <c r="B1592"/>
    </row>
    <row r="1593" spans="1:2" x14ac:dyDescent="0.45">
      <c r="A1593" s="55"/>
      <c r="B1593"/>
    </row>
    <row r="1594" spans="1:2" x14ac:dyDescent="0.45">
      <c r="A1594" s="55"/>
      <c r="B1594"/>
    </row>
    <row r="1595" spans="1:2" x14ac:dyDescent="0.45">
      <c r="A1595" s="55"/>
      <c r="B1595"/>
    </row>
    <row r="1596" spans="1:2" x14ac:dyDescent="0.45">
      <c r="A1596" s="55"/>
      <c r="B1596"/>
    </row>
    <row r="1597" spans="1:2" x14ac:dyDescent="0.45">
      <c r="A1597" s="55"/>
      <c r="B1597"/>
    </row>
    <row r="1598" spans="1:2" x14ac:dyDescent="0.45">
      <c r="A1598" s="55"/>
      <c r="B1598"/>
    </row>
    <row r="1599" spans="1:2" x14ac:dyDescent="0.45">
      <c r="A1599" s="55"/>
      <c r="B1599"/>
    </row>
    <row r="1600" spans="1:2" x14ac:dyDescent="0.45">
      <c r="A1600" s="55"/>
      <c r="B1600"/>
    </row>
    <row r="1601" spans="1:2" x14ac:dyDescent="0.45">
      <c r="A1601" s="55"/>
      <c r="B1601"/>
    </row>
    <row r="1602" spans="1:2" x14ac:dyDescent="0.45">
      <c r="A1602" s="55"/>
      <c r="B1602"/>
    </row>
    <row r="1603" spans="1:2" x14ac:dyDescent="0.45">
      <c r="A1603" s="55"/>
      <c r="B1603"/>
    </row>
    <row r="1604" spans="1:2" x14ac:dyDescent="0.45">
      <c r="A1604" s="55"/>
      <c r="B1604"/>
    </row>
    <row r="1605" spans="1:2" x14ac:dyDescent="0.45">
      <c r="A1605" s="55"/>
      <c r="B1605"/>
    </row>
    <row r="1606" spans="1:2" x14ac:dyDescent="0.45">
      <c r="A1606" s="55"/>
      <c r="B1606"/>
    </row>
    <row r="1607" spans="1:2" x14ac:dyDescent="0.45">
      <c r="A1607" s="55"/>
      <c r="B1607"/>
    </row>
    <row r="1608" spans="1:2" x14ac:dyDescent="0.45">
      <c r="A1608" s="55"/>
      <c r="B1608"/>
    </row>
    <row r="1609" spans="1:2" x14ac:dyDescent="0.45">
      <c r="A1609" s="55"/>
      <c r="B1609"/>
    </row>
    <row r="1610" spans="1:2" x14ac:dyDescent="0.45">
      <c r="A1610" s="55"/>
      <c r="B1610"/>
    </row>
    <row r="1611" spans="1:2" x14ac:dyDescent="0.45">
      <c r="A1611" s="55"/>
      <c r="B1611"/>
    </row>
    <row r="1612" spans="1:2" x14ac:dyDescent="0.45">
      <c r="A1612" s="55"/>
      <c r="B1612"/>
    </row>
    <row r="1613" spans="1:2" x14ac:dyDescent="0.45">
      <c r="A1613" s="55"/>
      <c r="B1613"/>
    </row>
    <row r="1614" spans="1:2" x14ac:dyDescent="0.45">
      <c r="A1614" s="55"/>
      <c r="B1614"/>
    </row>
    <row r="1615" spans="1:2" x14ac:dyDescent="0.45">
      <c r="A1615" s="55"/>
      <c r="B1615"/>
    </row>
    <row r="1616" spans="1:2" x14ac:dyDescent="0.45">
      <c r="A1616" s="55"/>
      <c r="B1616"/>
    </row>
    <row r="1617" spans="1:2" x14ac:dyDescent="0.45">
      <c r="A1617" s="55"/>
      <c r="B1617"/>
    </row>
    <row r="1618" spans="1:2" x14ac:dyDescent="0.45">
      <c r="A1618" s="55"/>
      <c r="B1618"/>
    </row>
    <row r="1619" spans="1:2" x14ac:dyDescent="0.45">
      <c r="A1619" s="55"/>
      <c r="B1619"/>
    </row>
    <row r="1620" spans="1:2" x14ac:dyDescent="0.45">
      <c r="A1620" s="55"/>
      <c r="B1620"/>
    </row>
    <row r="1621" spans="1:2" x14ac:dyDescent="0.45">
      <c r="A1621" s="55"/>
      <c r="B1621"/>
    </row>
    <row r="1622" spans="1:2" x14ac:dyDescent="0.45">
      <c r="A1622" s="55"/>
      <c r="B1622"/>
    </row>
    <row r="1623" spans="1:2" x14ac:dyDescent="0.45">
      <c r="A1623" s="55"/>
      <c r="B1623"/>
    </row>
    <row r="1624" spans="1:2" x14ac:dyDescent="0.45">
      <c r="A1624" s="55"/>
      <c r="B1624"/>
    </row>
    <row r="1625" spans="1:2" x14ac:dyDescent="0.45">
      <c r="A1625" s="55"/>
      <c r="B1625"/>
    </row>
    <row r="1626" spans="1:2" x14ac:dyDescent="0.45">
      <c r="A1626" s="55"/>
      <c r="B1626"/>
    </row>
    <row r="1627" spans="1:2" x14ac:dyDescent="0.45">
      <c r="A1627" s="55"/>
      <c r="B1627"/>
    </row>
    <row r="1628" spans="1:2" x14ac:dyDescent="0.45">
      <c r="A1628" s="55"/>
      <c r="B1628"/>
    </row>
    <row r="1629" spans="1:2" x14ac:dyDescent="0.45">
      <c r="A1629" s="55"/>
      <c r="B1629"/>
    </row>
    <row r="1630" spans="1:2" x14ac:dyDescent="0.45">
      <c r="A1630" s="55"/>
      <c r="B1630"/>
    </row>
    <row r="1631" spans="1:2" x14ac:dyDescent="0.45">
      <c r="A1631" s="55"/>
      <c r="B1631"/>
    </row>
    <row r="1632" spans="1:2" x14ac:dyDescent="0.45">
      <c r="A1632" s="55"/>
      <c r="B1632"/>
    </row>
    <row r="1633" spans="1:2" x14ac:dyDescent="0.45">
      <c r="A1633" s="55"/>
      <c r="B1633"/>
    </row>
    <row r="1634" spans="1:2" x14ac:dyDescent="0.45">
      <c r="A1634" s="55"/>
      <c r="B1634"/>
    </row>
    <row r="1635" spans="1:2" x14ac:dyDescent="0.45">
      <c r="A1635" s="55"/>
      <c r="B1635"/>
    </row>
    <row r="1636" spans="1:2" x14ac:dyDescent="0.45">
      <c r="A1636" s="55"/>
      <c r="B1636"/>
    </row>
    <row r="1637" spans="1:2" x14ac:dyDescent="0.45">
      <c r="A1637" s="55"/>
      <c r="B1637"/>
    </row>
    <row r="1638" spans="1:2" x14ac:dyDescent="0.45">
      <c r="A1638" s="55"/>
      <c r="B1638"/>
    </row>
    <row r="1639" spans="1:2" x14ac:dyDescent="0.45">
      <c r="A1639" s="55"/>
      <c r="B1639"/>
    </row>
    <row r="1640" spans="1:2" x14ac:dyDescent="0.45">
      <c r="A1640" s="55"/>
      <c r="B1640"/>
    </row>
    <row r="1641" spans="1:2" x14ac:dyDescent="0.45">
      <c r="A1641" s="55"/>
      <c r="B1641"/>
    </row>
    <row r="1642" spans="1:2" x14ac:dyDescent="0.45">
      <c r="A1642" s="55"/>
      <c r="B1642"/>
    </row>
    <row r="1643" spans="1:2" x14ac:dyDescent="0.45">
      <c r="A1643" s="55"/>
      <c r="B1643"/>
    </row>
    <row r="1644" spans="1:2" x14ac:dyDescent="0.45">
      <c r="A1644" s="55"/>
      <c r="B1644"/>
    </row>
    <row r="1645" spans="1:2" x14ac:dyDescent="0.45">
      <c r="A1645" s="55"/>
      <c r="B1645"/>
    </row>
    <row r="1646" spans="1:2" x14ac:dyDescent="0.45">
      <c r="A1646" s="55"/>
      <c r="B1646"/>
    </row>
    <row r="1647" spans="1:2" x14ac:dyDescent="0.45">
      <c r="A1647" s="55"/>
      <c r="B1647"/>
    </row>
    <row r="1648" spans="1:2" x14ac:dyDescent="0.45">
      <c r="A1648" s="55"/>
      <c r="B1648"/>
    </row>
    <row r="1649" spans="1:2" x14ac:dyDescent="0.45">
      <c r="A1649" s="55"/>
      <c r="B1649"/>
    </row>
    <row r="1650" spans="1:2" x14ac:dyDescent="0.45">
      <c r="A1650" s="55"/>
      <c r="B1650"/>
    </row>
    <row r="1651" spans="1:2" x14ac:dyDescent="0.45">
      <c r="A1651" s="55"/>
      <c r="B1651"/>
    </row>
    <row r="1652" spans="1:2" x14ac:dyDescent="0.45">
      <c r="A1652" s="55"/>
      <c r="B1652"/>
    </row>
    <row r="1653" spans="1:2" x14ac:dyDescent="0.45">
      <c r="A1653" s="55"/>
      <c r="B1653"/>
    </row>
    <row r="1654" spans="1:2" x14ac:dyDescent="0.45">
      <c r="A1654" s="55"/>
      <c r="B1654"/>
    </row>
    <row r="1655" spans="1:2" x14ac:dyDescent="0.45">
      <c r="A1655" s="55"/>
      <c r="B1655"/>
    </row>
    <row r="1656" spans="1:2" x14ac:dyDescent="0.45">
      <c r="A1656" s="55"/>
      <c r="B1656"/>
    </row>
    <row r="1657" spans="1:2" x14ac:dyDescent="0.45">
      <c r="A1657" s="55"/>
      <c r="B1657"/>
    </row>
    <row r="1658" spans="1:2" x14ac:dyDescent="0.45">
      <c r="A1658" s="55"/>
      <c r="B1658"/>
    </row>
    <row r="1659" spans="1:2" x14ac:dyDescent="0.45">
      <c r="A1659" s="55"/>
      <c r="B1659"/>
    </row>
    <row r="1660" spans="1:2" x14ac:dyDescent="0.45">
      <c r="A1660" s="55"/>
      <c r="B1660"/>
    </row>
    <row r="1661" spans="1:2" x14ac:dyDescent="0.45">
      <c r="A1661" s="55"/>
      <c r="B1661"/>
    </row>
    <row r="1662" spans="1:2" x14ac:dyDescent="0.45">
      <c r="A1662" s="55"/>
      <c r="B1662"/>
    </row>
    <row r="1663" spans="1:2" x14ac:dyDescent="0.45">
      <c r="A1663" s="55"/>
      <c r="B1663"/>
    </row>
    <row r="1664" spans="1:2" x14ac:dyDescent="0.45">
      <c r="A1664" s="55"/>
      <c r="B1664"/>
    </row>
    <row r="1665" spans="1:2" x14ac:dyDescent="0.45">
      <c r="A1665" s="55"/>
      <c r="B1665"/>
    </row>
    <row r="1666" spans="1:2" x14ac:dyDescent="0.45">
      <c r="A1666" s="55"/>
      <c r="B1666"/>
    </row>
    <row r="1667" spans="1:2" x14ac:dyDescent="0.45">
      <c r="A1667" s="55"/>
      <c r="B1667"/>
    </row>
    <row r="1668" spans="1:2" x14ac:dyDescent="0.45">
      <c r="A1668" s="55"/>
      <c r="B1668"/>
    </row>
    <row r="1669" spans="1:2" x14ac:dyDescent="0.45">
      <c r="A1669" s="55"/>
      <c r="B1669"/>
    </row>
    <row r="1670" spans="1:2" x14ac:dyDescent="0.45">
      <c r="A1670" s="55"/>
      <c r="B1670"/>
    </row>
    <row r="1671" spans="1:2" x14ac:dyDescent="0.45">
      <c r="A1671" s="55"/>
      <c r="B1671"/>
    </row>
    <row r="1672" spans="1:2" x14ac:dyDescent="0.45">
      <c r="A1672" s="55"/>
      <c r="B1672"/>
    </row>
    <row r="1673" spans="1:2" x14ac:dyDescent="0.45">
      <c r="A1673" s="55"/>
      <c r="B1673"/>
    </row>
    <row r="1674" spans="1:2" x14ac:dyDescent="0.45">
      <c r="A1674" s="55"/>
      <c r="B1674"/>
    </row>
    <row r="1675" spans="1:2" x14ac:dyDescent="0.45">
      <c r="A1675" s="55"/>
      <c r="B1675"/>
    </row>
    <row r="1676" spans="1:2" x14ac:dyDescent="0.45">
      <c r="A1676" s="55"/>
      <c r="B1676"/>
    </row>
    <row r="1677" spans="1:2" x14ac:dyDescent="0.45">
      <c r="A1677" s="55"/>
      <c r="B1677"/>
    </row>
    <row r="1678" spans="1:2" x14ac:dyDescent="0.45">
      <c r="A1678" s="55"/>
      <c r="B1678"/>
    </row>
    <row r="1679" spans="1:2" x14ac:dyDescent="0.45">
      <c r="A1679" s="55"/>
      <c r="B1679"/>
    </row>
    <row r="1680" spans="1:2" x14ac:dyDescent="0.45">
      <c r="A1680" s="55"/>
      <c r="B1680"/>
    </row>
    <row r="1681" spans="1:2" x14ac:dyDescent="0.45">
      <c r="A1681" s="55"/>
      <c r="B1681"/>
    </row>
    <row r="1682" spans="1:2" x14ac:dyDescent="0.45">
      <c r="A1682" s="55"/>
      <c r="B1682"/>
    </row>
    <row r="1683" spans="1:2" x14ac:dyDescent="0.45">
      <c r="A1683" s="55"/>
      <c r="B1683"/>
    </row>
    <row r="1684" spans="1:2" x14ac:dyDescent="0.45">
      <c r="A1684" s="55"/>
      <c r="B1684"/>
    </row>
    <row r="1685" spans="1:2" x14ac:dyDescent="0.45">
      <c r="A1685" s="55"/>
      <c r="B1685"/>
    </row>
    <row r="1686" spans="1:2" x14ac:dyDescent="0.45">
      <c r="A1686" s="55"/>
      <c r="B1686"/>
    </row>
    <row r="1687" spans="1:2" x14ac:dyDescent="0.45">
      <c r="A1687" s="55"/>
      <c r="B1687"/>
    </row>
    <row r="1688" spans="1:2" x14ac:dyDescent="0.45">
      <c r="A1688" s="55"/>
      <c r="B1688"/>
    </row>
    <row r="1689" spans="1:2" x14ac:dyDescent="0.45">
      <c r="A1689" s="55"/>
      <c r="B1689"/>
    </row>
    <row r="1690" spans="1:2" x14ac:dyDescent="0.45">
      <c r="A1690" s="55"/>
      <c r="B1690"/>
    </row>
    <row r="1691" spans="1:2" x14ac:dyDescent="0.45">
      <c r="A1691" s="55"/>
      <c r="B1691"/>
    </row>
    <row r="1692" spans="1:2" x14ac:dyDescent="0.45">
      <c r="A1692" s="55"/>
      <c r="B1692"/>
    </row>
    <row r="1693" spans="1:2" x14ac:dyDescent="0.45">
      <c r="A1693" s="55"/>
      <c r="B1693"/>
    </row>
    <row r="1694" spans="1:2" x14ac:dyDescent="0.45">
      <c r="A1694" s="55"/>
      <c r="B1694"/>
    </row>
    <row r="1695" spans="1:2" x14ac:dyDescent="0.45">
      <c r="A1695" s="55"/>
      <c r="B1695"/>
    </row>
    <row r="1696" spans="1:2" x14ac:dyDescent="0.45">
      <c r="A1696" s="55"/>
      <c r="B1696"/>
    </row>
    <row r="1697" spans="1:2" x14ac:dyDescent="0.45">
      <c r="A1697" s="55"/>
      <c r="B1697"/>
    </row>
    <row r="1698" spans="1:2" x14ac:dyDescent="0.45">
      <c r="A1698" s="55"/>
      <c r="B1698"/>
    </row>
    <row r="1699" spans="1:2" x14ac:dyDescent="0.45">
      <c r="A1699" s="55"/>
      <c r="B1699"/>
    </row>
    <row r="1700" spans="1:2" x14ac:dyDescent="0.45">
      <c r="A1700" s="55"/>
      <c r="B1700"/>
    </row>
    <row r="1701" spans="1:2" x14ac:dyDescent="0.45">
      <c r="A1701" s="55"/>
      <c r="B1701"/>
    </row>
    <row r="1702" spans="1:2" x14ac:dyDescent="0.45">
      <c r="A1702" s="55"/>
      <c r="B1702"/>
    </row>
    <row r="1703" spans="1:2" x14ac:dyDescent="0.45">
      <c r="A1703" s="55"/>
      <c r="B1703"/>
    </row>
    <row r="1704" spans="1:2" x14ac:dyDescent="0.45">
      <c r="A1704" s="55"/>
      <c r="B1704"/>
    </row>
    <row r="1705" spans="1:2" x14ac:dyDescent="0.45">
      <c r="A1705" s="55"/>
      <c r="B1705"/>
    </row>
    <row r="1706" spans="1:2" x14ac:dyDescent="0.45">
      <c r="A1706" s="55"/>
      <c r="B1706"/>
    </row>
    <row r="1707" spans="1:2" x14ac:dyDescent="0.45">
      <c r="A1707" s="55"/>
      <c r="B1707"/>
    </row>
    <row r="1708" spans="1:2" x14ac:dyDescent="0.45">
      <c r="A1708" s="55"/>
      <c r="B1708"/>
    </row>
    <row r="1709" spans="1:2" x14ac:dyDescent="0.45">
      <c r="A1709" s="55"/>
      <c r="B1709"/>
    </row>
    <row r="1710" spans="1:2" x14ac:dyDescent="0.45">
      <c r="A1710" s="55"/>
      <c r="B1710"/>
    </row>
    <row r="1711" spans="1:2" x14ac:dyDescent="0.45">
      <c r="A1711" s="55"/>
      <c r="B1711"/>
    </row>
    <row r="1712" spans="1:2" x14ac:dyDescent="0.45">
      <c r="A1712" s="55"/>
      <c r="B1712"/>
    </row>
    <row r="1713" spans="1:2" x14ac:dyDescent="0.45">
      <c r="A1713" s="55"/>
      <c r="B1713"/>
    </row>
    <row r="1714" spans="1:2" x14ac:dyDescent="0.45">
      <c r="A1714" s="55"/>
      <c r="B1714"/>
    </row>
    <row r="1715" spans="1:2" x14ac:dyDescent="0.45">
      <c r="A1715" s="55"/>
      <c r="B1715"/>
    </row>
    <row r="1716" spans="1:2" x14ac:dyDescent="0.45">
      <c r="A1716" s="55"/>
      <c r="B1716"/>
    </row>
    <row r="1717" spans="1:2" x14ac:dyDescent="0.45">
      <c r="A1717" s="55"/>
      <c r="B1717"/>
    </row>
    <row r="1718" spans="1:2" x14ac:dyDescent="0.45">
      <c r="A1718" s="55"/>
      <c r="B1718"/>
    </row>
    <row r="1719" spans="1:2" x14ac:dyDescent="0.45">
      <c r="A1719" s="55"/>
      <c r="B1719"/>
    </row>
    <row r="1720" spans="1:2" x14ac:dyDescent="0.45">
      <c r="A1720" s="55"/>
      <c r="B1720"/>
    </row>
    <row r="1721" spans="1:2" x14ac:dyDescent="0.45">
      <c r="A1721" s="55"/>
      <c r="B1721"/>
    </row>
    <row r="1722" spans="1:2" x14ac:dyDescent="0.45">
      <c r="A1722" s="55"/>
      <c r="B1722"/>
    </row>
    <row r="1723" spans="1:2" x14ac:dyDescent="0.45">
      <c r="A1723" s="55"/>
      <c r="B1723"/>
    </row>
    <row r="1724" spans="1:2" x14ac:dyDescent="0.45">
      <c r="A1724" s="55"/>
      <c r="B1724"/>
    </row>
    <row r="1725" spans="1:2" x14ac:dyDescent="0.45">
      <c r="A1725" s="55"/>
      <c r="B1725"/>
    </row>
    <row r="1726" spans="1:2" x14ac:dyDescent="0.45">
      <c r="A1726" s="55"/>
      <c r="B1726"/>
    </row>
    <row r="1727" spans="1:2" x14ac:dyDescent="0.45">
      <c r="A1727" s="55"/>
      <c r="B1727"/>
    </row>
    <row r="1728" spans="1:2" x14ac:dyDescent="0.45">
      <c r="A1728" s="55"/>
      <c r="B1728"/>
    </row>
    <row r="1729" spans="1:2" x14ac:dyDescent="0.45">
      <c r="A1729" s="55"/>
      <c r="B1729"/>
    </row>
    <row r="1730" spans="1:2" x14ac:dyDescent="0.45">
      <c r="A1730" s="55"/>
      <c r="B1730"/>
    </row>
    <row r="1731" spans="1:2" x14ac:dyDescent="0.45">
      <c r="A1731" s="55"/>
      <c r="B1731"/>
    </row>
    <row r="1732" spans="1:2" x14ac:dyDescent="0.45">
      <c r="A1732" s="55"/>
      <c r="B1732"/>
    </row>
    <row r="1733" spans="1:2" x14ac:dyDescent="0.45">
      <c r="A1733" s="55"/>
      <c r="B1733"/>
    </row>
    <row r="1734" spans="1:2" x14ac:dyDescent="0.45">
      <c r="A1734" s="55"/>
      <c r="B1734"/>
    </row>
    <row r="1735" spans="1:2" x14ac:dyDescent="0.45">
      <c r="A1735" s="55"/>
      <c r="B1735"/>
    </row>
    <row r="1736" spans="1:2" x14ac:dyDescent="0.45">
      <c r="A1736" s="55"/>
      <c r="B1736"/>
    </row>
    <row r="1737" spans="1:2" x14ac:dyDescent="0.45">
      <c r="A1737" s="55"/>
      <c r="B1737"/>
    </row>
    <row r="1738" spans="1:2" x14ac:dyDescent="0.45">
      <c r="A1738" s="55"/>
      <c r="B1738"/>
    </row>
    <row r="1739" spans="1:2" x14ac:dyDescent="0.45">
      <c r="A1739" s="55"/>
      <c r="B1739"/>
    </row>
    <row r="1740" spans="1:2" x14ac:dyDescent="0.45">
      <c r="A1740" s="55"/>
      <c r="B1740"/>
    </row>
    <row r="1741" spans="1:2" x14ac:dyDescent="0.45">
      <c r="A1741" s="55"/>
      <c r="B1741"/>
    </row>
    <row r="1742" spans="1:2" x14ac:dyDescent="0.45">
      <c r="A1742" s="55"/>
      <c r="B1742"/>
    </row>
    <row r="1743" spans="1:2" x14ac:dyDescent="0.45">
      <c r="A1743" s="55"/>
      <c r="B1743"/>
    </row>
    <row r="1744" spans="1:2" x14ac:dyDescent="0.45">
      <c r="A1744" s="55"/>
      <c r="B1744"/>
    </row>
    <row r="1745" spans="1:2" x14ac:dyDescent="0.45">
      <c r="A1745" s="55"/>
      <c r="B1745"/>
    </row>
    <row r="1746" spans="1:2" x14ac:dyDescent="0.45">
      <c r="A1746" s="55"/>
      <c r="B1746"/>
    </row>
    <row r="1747" spans="1:2" x14ac:dyDescent="0.45">
      <c r="A1747" s="55"/>
      <c r="B1747"/>
    </row>
    <row r="1748" spans="1:2" x14ac:dyDescent="0.45">
      <c r="A1748" s="55"/>
      <c r="B1748"/>
    </row>
    <row r="1749" spans="1:2" x14ac:dyDescent="0.45">
      <c r="A1749" s="55"/>
      <c r="B1749"/>
    </row>
    <row r="1750" spans="1:2" x14ac:dyDescent="0.45">
      <c r="A1750" s="55"/>
      <c r="B1750"/>
    </row>
    <row r="1751" spans="1:2" x14ac:dyDescent="0.45">
      <c r="A1751" s="55"/>
      <c r="B1751"/>
    </row>
    <row r="1752" spans="1:2" x14ac:dyDescent="0.45">
      <c r="A1752" s="55"/>
      <c r="B1752"/>
    </row>
    <row r="1753" spans="1:2" x14ac:dyDescent="0.45">
      <c r="A1753" s="55"/>
      <c r="B1753"/>
    </row>
    <row r="1754" spans="1:2" x14ac:dyDescent="0.45">
      <c r="A1754" s="55"/>
      <c r="B1754"/>
    </row>
    <row r="1755" spans="1:2" x14ac:dyDescent="0.45">
      <c r="A1755" s="55"/>
      <c r="B1755"/>
    </row>
    <row r="1756" spans="1:2" x14ac:dyDescent="0.45">
      <c r="A1756" s="55"/>
      <c r="B1756"/>
    </row>
    <row r="1757" spans="1:2" x14ac:dyDescent="0.45">
      <c r="A1757" s="55"/>
      <c r="B1757"/>
    </row>
    <row r="1758" spans="1:2" x14ac:dyDescent="0.45">
      <c r="A1758" s="55"/>
      <c r="B1758"/>
    </row>
    <row r="1759" spans="1:2" x14ac:dyDescent="0.45">
      <c r="A1759" s="55"/>
      <c r="B1759"/>
    </row>
    <row r="1760" spans="1:2" x14ac:dyDescent="0.45">
      <c r="A1760" s="55"/>
      <c r="B1760"/>
    </row>
    <row r="1761" spans="1:2" x14ac:dyDescent="0.45">
      <c r="A1761" s="55"/>
      <c r="B1761"/>
    </row>
    <row r="1762" spans="1:2" x14ac:dyDescent="0.45">
      <c r="A1762" s="55"/>
      <c r="B1762"/>
    </row>
    <row r="1763" spans="1:2" x14ac:dyDescent="0.45">
      <c r="A1763" s="55"/>
      <c r="B1763"/>
    </row>
    <row r="1764" spans="1:2" x14ac:dyDescent="0.45">
      <c r="A1764" s="55"/>
      <c r="B1764"/>
    </row>
    <row r="1765" spans="1:2" x14ac:dyDescent="0.45">
      <c r="A1765" s="55"/>
      <c r="B1765"/>
    </row>
    <row r="1766" spans="1:2" x14ac:dyDescent="0.45">
      <c r="A1766" s="55"/>
      <c r="B1766"/>
    </row>
    <row r="1767" spans="1:2" x14ac:dyDescent="0.45">
      <c r="A1767" s="55"/>
      <c r="B1767"/>
    </row>
    <row r="1768" spans="1:2" x14ac:dyDescent="0.45">
      <c r="A1768" s="55"/>
      <c r="B1768"/>
    </row>
    <row r="1769" spans="1:2" x14ac:dyDescent="0.45">
      <c r="A1769" s="55"/>
      <c r="B1769"/>
    </row>
    <row r="1770" spans="1:2" x14ac:dyDescent="0.45">
      <c r="A1770" s="55"/>
      <c r="B1770"/>
    </row>
    <row r="1771" spans="1:2" x14ac:dyDescent="0.45">
      <c r="A1771" s="55"/>
      <c r="B1771"/>
    </row>
    <row r="1772" spans="1:2" x14ac:dyDescent="0.45">
      <c r="A1772" s="55"/>
      <c r="B1772"/>
    </row>
    <row r="1773" spans="1:2" x14ac:dyDescent="0.45">
      <c r="A1773" s="55"/>
      <c r="B1773"/>
    </row>
    <row r="1774" spans="1:2" x14ac:dyDescent="0.45">
      <c r="A1774" s="55"/>
      <c r="B1774"/>
    </row>
    <row r="1775" spans="1:2" x14ac:dyDescent="0.45">
      <c r="A1775" s="55"/>
      <c r="B1775"/>
    </row>
    <row r="1776" spans="1:2" x14ac:dyDescent="0.45">
      <c r="A1776" s="55"/>
      <c r="B1776"/>
    </row>
    <row r="1777" spans="1:2" x14ac:dyDescent="0.45">
      <c r="A1777" s="55"/>
      <c r="B1777"/>
    </row>
    <row r="1778" spans="1:2" x14ac:dyDescent="0.45">
      <c r="A1778" s="55"/>
      <c r="B1778"/>
    </row>
    <row r="1779" spans="1:2" x14ac:dyDescent="0.45">
      <c r="A1779" s="55"/>
      <c r="B1779"/>
    </row>
    <row r="1780" spans="1:2" x14ac:dyDescent="0.45">
      <c r="A1780" s="55"/>
      <c r="B1780"/>
    </row>
    <row r="1781" spans="1:2" x14ac:dyDescent="0.45">
      <c r="A1781" s="55"/>
      <c r="B1781"/>
    </row>
    <row r="1782" spans="1:2" x14ac:dyDescent="0.45">
      <c r="A1782" s="55"/>
      <c r="B1782"/>
    </row>
    <row r="1783" spans="1:2" x14ac:dyDescent="0.45">
      <c r="A1783" s="55"/>
      <c r="B1783"/>
    </row>
    <row r="1784" spans="1:2" x14ac:dyDescent="0.45">
      <c r="A1784" s="55"/>
      <c r="B1784"/>
    </row>
    <row r="1785" spans="1:2" x14ac:dyDescent="0.45">
      <c r="A1785" s="55"/>
      <c r="B1785"/>
    </row>
    <row r="1786" spans="1:2" x14ac:dyDescent="0.45">
      <c r="A1786" s="55"/>
      <c r="B1786"/>
    </row>
    <row r="1787" spans="1:2" x14ac:dyDescent="0.45">
      <c r="A1787" s="55"/>
      <c r="B1787"/>
    </row>
    <row r="1788" spans="1:2" x14ac:dyDescent="0.45">
      <c r="A1788" s="55"/>
      <c r="B1788"/>
    </row>
    <row r="1789" spans="1:2" x14ac:dyDescent="0.45">
      <c r="A1789" s="55"/>
      <c r="B1789"/>
    </row>
    <row r="1790" spans="1:2" x14ac:dyDescent="0.45">
      <c r="A1790" s="55"/>
      <c r="B1790"/>
    </row>
    <row r="1791" spans="1:2" x14ac:dyDescent="0.45">
      <c r="A1791" s="55"/>
      <c r="B1791"/>
    </row>
    <row r="1792" spans="1:2" x14ac:dyDescent="0.45">
      <c r="A1792" s="55"/>
      <c r="B1792"/>
    </row>
    <row r="1793" spans="1:2" x14ac:dyDescent="0.45">
      <c r="A1793" s="55"/>
      <c r="B1793"/>
    </row>
    <row r="1794" spans="1:2" x14ac:dyDescent="0.45">
      <c r="A1794" s="55"/>
      <c r="B1794"/>
    </row>
    <row r="1795" spans="1:2" x14ac:dyDescent="0.45">
      <c r="A1795" s="55"/>
      <c r="B1795"/>
    </row>
    <row r="1796" spans="1:2" x14ac:dyDescent="0.45">
      <c r="A1796" s="55"/>
      <c r="B1796"/>
    </row>
    <row r="1797" spans="1:2" x14ac:dyDescent="0.45">
      <c r="A1797" s="55"/>
      <c r="B1797"/>
    </row>
    <row r="1798" spans="1:2" x14ac:dyDescent="0.45">
      <c r="A1798" s="55"/>
      <c r="B1798"/>
    </row>
    <row r="1799" spans="1:2" x14ac:dyDescent="0.45">
      <c r="A1799" s="55"/>
      <c r="B1799"/>
    </row>
    <row r="1800" spans="1:2" x14ac:dyDescent="0.45">
      <c r="A1800" s="55"/>
      <c r="B1800"/>
    </row>
    <row r="1801" spans="1:2" x14ac:dyDescent="0.45">
      <c r="A1801" s="55"/>
      <c r="B1801"/>
    </row>
    <row r="1802" spans="1:2" x14ac:dyDescent="0.45">
      <c r="A1802" s="55"/>
      <c r="B1802"/>
    </row>
    <row r="1803" spans="1:2" x14ac:dyDescent="0.45">
      <c r="A1803" s="55"/>
      <c r="B1803"/>
    </row>
    <row r="1804" spans="1:2" x14ac:dyDescent="0.45">
      <c r="A1804" s="55"/>
      <c r="B1804"/>
    </row>
    <row r="1805" spans="1:2" x14ac:dyDescent="0.45">
      <c r="A1805" s="55"/>
      <c r="B1805"/>
    </row>
    <row r="1806" spans="1:2" x14ac:dyDescent="0.45">
      <c r="A1806" s="55"/>
      <c r="B1806"/>
    </row>
    <row r="1807" spans="1:2" x14ac:dyDescent="0.45">
      <c r="A1807" s="55"/>
      <c r="B1807"/>
    </row>
    <row r="1808" spans="1:2" x14ac:dyDescent="0.45">
      <c r="A1808" s="55"/>
      <c r="B1808"/>
    </row>
    <row r="1809" spans="1:2" x14ac:dyDescent="0.45">
      <c r="A1809" s="55"/>
      <c r="B1809"/>
    </row>
    <row r="1810" spans="1:2" x14ac:dyDescent="0.45">
      <c r="A1810" s="55"/>
      <c r="B1810"/>
    </row>
    <row r="1811" spans="1:2" x14ac:dyDescent="0.45">
      <c r="A1811" s="55"/>
      <c r="B1811"/>
    </row>
    <row r="1812" spans="1:2" x14ac:dyDescent="0.45">
      <c r="A1812" s="55"/>
      <c r="B1812"/>
    </row>
    <row r="1813" spans="1:2" x14ac:dyDescent="0.45">
      <c r="A1813" s="55"/>
      <c r="B1813"/>
    </row>
    <row r="1814" spans="1:2" x14ac:dyDescent="0.45">
      <c r="A1814" s="55"/>
      <c r="B1814"/>
    </row>
    <row r="1815" spans="1:2" x14ac:dyDescent="0.45">
      <c r="A1815" s="55"/>
      <c r="B1815"/>
    </row>
    <row r="1816" spans="1:2" x14ac:dyDescent="0.45">
      <c r="A1816" s="55"/>
      <c r="B1816"/>
    </row>
    <row r="1817" spans="1:2" x14ac:dyDescent="0.45">
      <c r="A1817" s="55"/>
      <c r="B1817"/>
    </row>
    <row r="1818" spans="1:2" x14ac:dyDescent="0.45">
      <c r="A1818" s="55"/>
      <c r="B1818"/>
    </row>
    <row r="1819" spans="1:2" x14ac:dyDescent="0.45">
      <c r="A1819" s="55"/>
      <c r="B1819"/>
    </row>
    <row r="1820" spans="1:2" x14ac:dyDescent="0.45">
      <c r="A1820" s="55"/>
      <c r="B1820"/>
    </row>
    <row r="1821" spans="1:2" x14ac:dyDescent="0.45">
      <c r="A1821" s="55"/>
      <c r="B1821"/>
    </row>
    <row r="1822" spans="1:2" x14ac:dyDescent="0.45">
      <c r="A1822" s="55"/>
      <c r="B1822"/>
    </row>
    <row r="1823" spans="1:2" x14ac:dyDescent="0.45">
      <c r="A1823" s="55"/>
      <c r="B1823"/>
    </row>
    <row r="1824" spans="1:2" x14ac:dyDescent="0.45">
      <c r="A1824" s="55"/>
      <c r="B1824"/>
    </row>
    <row r="1825" spans="1:2" x14ac:dyDescent="0.45">
      <c r="A1825" s="55"/>
      <c r="B1825"/>
    </row>
    <row r="1826" spans="1:2" x14ac:dyDescent="0.45">
      <c r="A1826" s="55"/>
      <c r="B1826"/>
    </row>
    <row r="1827" spans="1:2" x14ac:dyDescent="0.45">
      <c r="A1827" s="55"/>
      <c r="B1827"/>
    </row>
    <row r="1828" spans="1:2" x14ac:dyDescent="0.45">
      <c r="A1828" s="55"/>
      <c r="B1828"/>
    </row>
    <row r="1829" spans="1:2" x14ac:dyDescent="0.45">
      <c r="A1829" s="55"/>
      <c r="B1829"/>
    </row>
    <row r="1830" spans="1:2" x14ac:dyDescent="0.45">
      <c r="A1830" s="55"/>
      <c r="B1830"/>
    </row>
    <row r="1831" spans="1:2" x14ac:dyDescent="0.45">
      <c r="A1831" s="55"/>
      <c r="B1831"/>
    </row>
    <row r="1832" spans="1:2" x14ac:dyDescent="0.45">
      <c r="A1832" s="55"/>
      <c r="B1832"/>
    </row>
    <row r="1833" spans="1:2" x14ac:dyDescent="0.45">
      <c r="A1833" s="55"/>
      <c r="B1833"/>
    </row>
    <row r="1834" spans="1:2" x14ac:dyDescent="0.45">
      <c r="A1834" s="55"/>
      <c r="B1834"/>
    </row>
    <row r="1835" spans="1:2" x14ac:dyDescent="0.45">
      <c r="A1835" s="55"/>
      <c r="B1835"/>
    </row>
    <row r="1836" spans="1:2" x14ac:dyDescent="0.45">
      <c r="A1836" s="55"/>
      <c r="B1836"/>
    </row>
    <row r="1837" spans="1:2" x14ac:dyDescent="0.45">
      <c r="A1837" s="55"/>
      <c r="B1837"/>
    </row>
    <row r="1838" spans="1:2" x14ac:dyDescent="0.45">
      <c r="A1838" s="55"/>
      <c r="B1838"/>
    </row>
    <row r="1839" spans="1:2" x14ac:dyDescent="0.45">
      <c r="A1839" s="55"/>
      <c r="B1839"/>
    </row>
    <row r="1840" spans="1:2" x14ac:dyDescent="0.45">
      <c r="A1840" s="55"/>
      <c r="B1840"/>
    </row>
    <row r="1841" spans="1:2" x14ac:dyDescent="0.45">
      <c r="A1841" s="55"/>
      <c r="B1841"/>
    </row>
    <row r="1842" spans="1:2" x14ac:dyDescent="0.45">
      <c r="A1842" s="55"/>
      <c r="B1842"/>
    </row>
    <row r="1843" spans="1:2" x14ac:dyDescent="0.45">
      <c r="A1843" s="55"/>
      <c r="B1843"/>
    </row>
    <row r="1844" spans="1:2" x14ac:dyDescent="0.45">
      <c r="A1844" s="55"/>
      <c r="B1844"/>
    </row>
    <row r="1845" spans="1:2" x14ac:dyDescent="0.45">
      <c r="A1845" s="55"/>
      <c r="B1845"/>
    </row>
    <row r="1846" spans="1:2" x14ac:dyDescent="0.45">
      <c r="A1846" s="55"/>
      <c r="B1846"/>
    </row>
    <row r="1847" spans="1:2" x14ac:dyDescent="0.45">
      <c r="A1847" s="55"/>
      <c r="B1847"/>
    </row>
    <row r="1848" spans="1:2" x14ac:dyDescent="0.45">
      <c r="A1848" s="55"/>
      <c r="B1848"/>
    </row>
    <row r="1849" spans="1:2" x14ac:dyDescent="0.45">
      <c r="A1849" s="55"/>
      <c r="B1849"/>
    </row>
    <row r="1850" spans="1:2" x14ac:dyDescent="0.45">
      <c r="A1850" s="55"/>
      <c r="B1850"/>
    </row>
    <row r="1851" spans="1:2" x14ac:dyDescent="0.45">
      <c r="A1851" s="55"/>
      <c r="B1851"/>
    </row>
    <row r="1852" spans="1:2" x14ac:dyDescent="0.45">
      <c r="A1852" s="55"/>
      <c r="B1852"/>
    </row>
    <row r="1853" spans="1:2" x14ac:dyDescent="0.45">
      <c r="A1853" s="55"/>
      <c r="B1853"/>
    </row>
    <row r="1854" spans="1:2" x14ac:dyDescent="0.45">
      <c r="A1854" s="55"/>
      <c r="B1854"/>
    </row>
    <row r="1855" spans="1:2" x14ac:dyDescent="0.45">
      <c r="A1855" s="55"/>
      <c r="B1855"/>
    </row>
    <row r="1856" spans="1:2" x14ac:dyDescent="0.45">
      <c r="A1856" s="55"/>
      <c r="B1856"/>
    </row>
    <row r="1857" spans="1:2" x14ac:dyDescent="0.45">
      <c r="A1857" s="55"/>
      <c r="B1857"/>
    </row>
    <row r="1858" spans="1:2" x14ac:dyDescent="0.45">
      <c r="A1858" s="55"/>
      <c r="B1858"/>
    </row>
    <row r="1859" spans="1:2" x14ac:dyDescent="0.45">
      <c r="A1859" s="55"/>
      <c r="B1859"/>
    </row>
    <row r="1860" spans="1:2" x14ac:dyDescent="0.45">
      <c r="A1860" s="55"/>
      <c r="B1860"/>
    </row>
    <row r="1861" spans="1:2" x14ac:dyDescent="0.45">
      <c r="A1861" s="55"/>
      <c r="B1861"/>
    </row>
    <row r="1862" spans="1:2" x14ac:dyDescent="0.45">
      <c r="A1862" s="55"/>
      <c r="B1862"/>
    </row>
    <row r="1863" spans="1:2" x14ac:dyDescent="0.45">
      <c r="A1863" s="55"/>
      <c r="B1863"/>
    </row>
    <row r="1864" spans="1:2" x14ac:dyDescent="0.45">
      <c r="A1864" s="55"/>
      <c r="B1864"/>
    </row>
    <row r="1865" spans="1:2" x14ac:dyDescent="0.45">
      <c r="A1865" s="55"/>
      <c r="B1865"/>
    </row>
    <row r="1866" spans="1:2" x14ac:dyDescent="0.45">
      <c r="A1866" s="55"/>
      <c r="B1866"/>
    </row>
    <row r="1867" spans="1:2" x14ac:dyDescent="0.45">
      <c r="A1867" s="55"/>
      <c r="B1867"/>
    </row>
    <row r="1868" spans="1:2" x14ac:dyDescent="0.45">
      <c r="A1868" s="55"/>
      <c r="B1868"/>
    </row>
    <row r="1869" spans="1:2" x14ac:dyDescent="0.45">
      <c r="A1869" s="55"/>
      <c r="B1869"/>
    </row>
    <row r="1870" spans="1:2" x14ac:dyDescent="0.45">
      <c r="A1870" s="55"/>
      <c r="B1870"/>
    </row>
    <row r="1871" spans="1:2" x14ac:dyDescent="0.45">
      <c r="A1871" s="55"/>
      <c r="B1871"/>
    </row>
    <row r="1872" spans="1:2" x14ac:dyDescent="0.45">
      <c r="A1872" s="55"/>
      <c r="B1872"/>
    </row>
    <row r="1873" spans="1:2" x14ac:dyDescent="0.45">
      <c r="A1873" s="55"/>
      <c r="B1873"/>
    </row>
    <row r="1874" spans="1:2" x14ac:dyDescent="0.45">
      <c r="A1874" s="55"/>
      <c r="B1874"/>
    </row>
    <row r="1875" spans="1:2" x14ac:dyDescent="0.45">
      <c r="A1875" s="55"/>
      <c r="B1875"/>
    </row>
    <row r="1876" spans="1:2" x14ac:dyDescent="0.45">
      <c r="A1876" s="55"/>
      <c r="B1876"/>
    </row>
    <row r="1877" spans="1:2" x14ac:dyDescent="0.45">
      <c r="A1877" s="55"/>
      <c r="B1877"/>
    </row>
    <row r="1878" spans="1:2" x14ac:dyDescent="0.45">
      <c r="A1878" s="55"/>
      <c r="B1878"/>
    </row>
    <row r="1879" spans="1:2" x14ac:dyDescent="0.45">
      <c r="A1879" s="55"/>
      <c r="B1879"/>
    </row>
    <row r="1880" spans="1:2" x14ac:dyDescent="0.45">
      <c r="A1880" s="55"/>
      <c r="B1880"/>
    </row>
    <row r="1881" spans="1:2" x14ac:dyDescent="0.45">
      <c r="A1881" s="55"/>
      <c r="B1881"/>
    </row>
    <row r="1882" spans="1:2" x14ac:dyDescent="0.45">
      <c r="A1882" s="55"/>
      <c r="B1882"/>
    </row>
    <row r="1883" spans="1:2" x14ac:dyDescent="0.45">
      <c r="A1883" s="55"/>
      <c r="B1883"/>
    </row>
    <row r="1884" spans="1:2" x14ac:dyDescent="0.45">
      <c r="A1884" s="55"/>
      <c r="B1884"/>
    </row>
    <row r="1885" spans="1:2" x14ac:dyDescent="0.45">
      <c r="A1885" s="55"/>
      <c r="B1885"/>
    </row>
    <row r="1886" spans="1:2" x14ac:dyDescent="0.45">
      <c r="A1886" s="55"/>
      <c r="B1886"/>
    </row>
    <row r="1887" spans="1:2" x14ac:dyDescent="0.45">
      <c r="A1887" s="55"/>
      <c r="B1887"/>
    </row>
    <row r="1888" spans="1:2" x14ac:dyDescent="0.45">
      <c r="A1888" s="55"/>
      <c r="B1888"/>
    </row>
    <row r="1889" spans="1:2" x14ac:dyDescent="0.45">
      <c r="A1889" s="55"/>
      <c r="B1889"/>
    </row>
    <row r="1890" spans="1:2" x14ac:dyDescent="0.45">
      <c r="A1890" s="55"/>
      <c r="B1890"/>
    </row>
    <row r="1891" spans="1:2" x14ac:dyDescent="0.45">
      <c r="A1891" s="55"/>
      <c r="B1891"/>
    </row>
    <row r="1892" spans="1:2" x14ac:dyDescent="0.45">
      <c r="A1892" s="55"/>
      <c r="B1892"/>
    </row>
    <row r="1893" spans="1:2" x14ac:dyDescent="0.45">
      <c r="A1893" s="55"/>
      <c r="B1893"/>
    </row>
    <row r="1894" spans="1:2" x14ac:dyDescent="0.45">
      <c r="A1894" s="55"/>
      <c r="B1894"/>
    </row>
    <row r="1895" spans="1:2" x14ac:dyDescent="0.45">
      <c r="A1895" s="55"/>
      <c r="B1895"/>
    </row>
    <row r="1896" spans="1:2" x14ac:dyDescent="0.45">
      <c r="A1896" s="55"/>
      <c r="B1896"/>
    </row>
    <row r="1897" spans="1:2" x14ac:dyDescent="0.45">
      <c r="A1897" s="55"/>
      <c r="B1897"/>
    </row>
    <row r="1898" spans="1:2" x14ac:dyDescent="0.45">
      <c r="A1898" s="55"/>
      <c r="B1898"/>
    </row>
    <row r="1899" spans="1:2" x14ac:dyDescent="0.45">
      <c r="A1899" s="55"/>
      <c r="B1899"/>
    </row>
    <row r="1900" spans="1:2" x14ac:dyDescent="0.45">
      <c r="A1900" s="55"/>
      <c r="B1900"/>
    </row>
    <row r="1901" spans="1:2" x14ac:dyDescent="0.45">
      <c r="A1901" s="55"/>
      <c r="B1901"/>
    </row>
    <row r="1902" spans="1:2" x14ac:dyDescent="0.45">
      <c r="A1902" s="55"/>
      <c r="B1902"/>
    </row>
    <row r="1903" spans="1:2" x14ac:dyDescent="0.45">
      <c r="A1903" s="55"/>
      <c r="B1903"/>
    </row>
    <row r="1904" spans="1:2" x14ac:dyDescent="0.45">
      <c r="A1904" s="55"/>
      <c r="B1904"/>
    </row>
    <row r="1905" spans="1:2" x14ac:dyDescent="0.45">
      <c r="A1905" s="55"/>
      <c r="B1905"/>
    </row>
    <row r="1906" spans="1:2" x14ac:dyDescent="0.45">
      <c r="A1906" s="55"/>
      <c r="B1906"/>
    </row>
    <row r="1907" spans="1:2" x14ac:dyDescent="0.45">
      <c r="A1907" s="55"/>
      <c r="B1907"/>
    </row>
    <row r="1908" spans="1:2" x14ac:dyDescent="0.45">
      <c r="A1908" s="55"/>
      <c r="B1908"/>
    </row>
    <row r="1909" spans="1:2" x14ac:dyDescent="0.45">
      <c r="A1909" s="55"/>
      <c r="B1909"/>
    </row>
    <row r="1910" spans="1:2" x14ac:dyDescent="0.45">
      <c r="A1910" s="55"/>
      <c r="B1910"/>
    </row>
    <row r="1911" spans="1:2" x14ac:dyDescent="0.45">
      <c r="A1911" s="55"/>
      <c r="B1911"/>
    </row>
    <row r="1912" spans="1:2" x14ac:dyDescent="0.45">
      <c r="A1912" s="55"/>
      <c r="B1912"/>
    </row>
    <row r="1913" spans="1:2" x14ac:dyDescent="0.45">
      <c r="A1913" s="55"/>
      <c r="B1913"/>
    </row>
    <row r="1914" spans="1:2" x14ac:dyDescent="0.45">
      <c r="A1914" s="55"/>
      <c r="B1914"/>
    </row>
    <row r="1915" spans="1:2" x14ac:dyDescent="0.45">
      <c r="A1915" s="55"/>
      <c r="B1915"/>
    </row>
    <row r="1916" spans="1:2" x14ac:dyDescent="0.45">
      <c r="A1916" s="55"/>
      <c r="B1916"/>
    </row>
    <row r="1917" spans="1:2" x14ac:dyDescent="0.45">
      <c r="A1917" s="55"/>
      <c r="B1917"/>
    </row>
    <row r="1918" spans="1:2" x14ac:dyDescent="0.45">
      <c r="A1918" s="55"/>
      <c r="B1918"/>
    </row>
    <row r="1919" spans="1:2" x14ac:dyDescent="0.45">
      <c r="A1919" s="55"/>
      <c r="B1919"/>
    </row>
    <row r="1920" spans="1:2" x14ac:dyDescent="0.45">
      <c r="A1920" s="55"/>
      <c r="B1920"/>
    </row>
    <row r="1921" spans="1:2" x14ac:dyDescent="0.45">
      <c r="A1921" s="55"/>
      <c r="B1921"/>
    </row>
    <row r="1922" spans="1:2" x14ac:dyDescent="0.45">
      <c r="A1922" s="55"/>
      <c r="B1922"/>
    </row>
    <row r="1923" spans="1:2" x14ac:dyDescent="0.45">
      <c r="A1923" s="55"/>
      <c r="B1923"/>
    </row>
    <row r="1924" spans="1:2" x14ac:dyDescent="0.45">
      <c r="A1924" s="55"/>
      <c r="B1924"/>
    </row>
    <row r="1925" spans="1:2" x14ac:dyDescent="0.45">
      <c r="A1925" s="55"/>
      <c r="B1925"/>
    </row>
    <row r="1926" spans="1:2" x14ac:dyDescent="0.45">
      <c r="A1926" s="55"/>
      <c r="B1926"/>
    </row>
    <row r="1927" spans="1:2" x14ac:dyDescent="0.45">
      <c r="A1927" s="55"/>
      <c r="B1927"/>
    </row>
    <row r="1928" spans="1:2" x14ac:dyDescent="0.45">
      <c r="A1928" s="55"/>
      <c r="B1928"/>
    </row>
    <row r="1929" spans="1:2" x14ac:dyDescent="0.45">
      <c r="A1929" s="55"/>
      <c r="B1929"/>
    </row>
    <row r="1930" spans="1:2" x14ac:dyDescent="0.45">
      <c r="A1930" s="55"/>
      <c r="B1930"/>
    </row>
    <row r="1931" spans="1:2" x14ac:dyDescent="0.45">
      <c r="A1931" s="55"/>
      <c r="B1931"/>
    </row>
    <row r="1932" spans="1:2" x14ac:dyDescent="0.45">
      <c r="A1932" s="55"/>
      <c r="B1932"/>
    </row>
    <row r="1933" spans="1:2" x14ac:dyDescent="0.45">
      <c r="A1933" s="55"/>
      <c r="B1933"/>
    </row>
    <row r="1934" spans="1:2" x14ac:dyDescent="0.45">
      <c r="A1934" s="55"/>
      <c r="B1934"/>
    </row>
    <row r="1935" spans="1:2" x14ac:dyDescent="0.45">
      <c r="A1935" s="55"/>
      <c r="B1935"/>
    </row>
    <row r="1936" spans="1:2" x14ac:dyDescent="0.45">
      <c r="A1936" s="55"/>
      <c r="B1936"/>
    </row>
    <row r="1937" spans="1:2" x14ac:dyDescent="0.45">
      <c r="A1937" s="55"/>
      <c r="B1937"/>
    </row>
    <row r="1938" spans="1:2" x14ac:dyDescent="0.45">
      <c r="A1938" s="55"/>
      <c r="B1938"/>
    </row>
    <row r="1939" spans="1:2" x14ac:dyDescent="0.45">
      <c r="A1939" s="55"/>
      <c r="B1939"/>
    </row>
    <row r="1940" spans="1:2" x14ac:dyDescent="0.45">
      <c r="A1940" s="55"/>
      <c r="B1940"/>
    </row>
    <row r="1941" spans="1:2" x14ac:dyDescent="0.45">
      <c r="A1941" s="55"/>
      <c r="B1941"/>
    </row>
    <row r="1942" spans="1:2" x14ac:dyDescent="0.45">
      <c r="A1942" s="55"/>
      <c r="B1942"/>
    </row>
    <row r="1943" spans="1:2" x14ac:dyDescent="0.45">
      <c r="A1943" s="55"/>
      <c r="B1943"/>
    </row>
    <row r="1944" spans="1:2" x14ac:dyDescent="0.45">
      <c r="A1944" s="55"/>
      <c r="B1944"/>
    </row>
    <row r="1945" spans="1:2" x14ac:dyDescent="0.45">
      <c r="A1945" s="55"/>
      <c r="B1945"/>
    </row>
    <row r="1946" spans="1:2" x14ac:dyDescent="0.45">
      <c r="A1946" s="55"/>
      <c r="B1946"/>
    </row>
    <row r="1947" spans="1:2" x14ac:dyDescent="0.45">
      <c r="A1947" s="55"/>
      <c r="B1947"/>
    </row>
    <row r="1948" spans="1:2" x14ac:dyDescent="0.45">
      <c r="A1948" s="55"/>
      <c r="B1948"/>
    </row>
    <row r="1949" spans="1:2" x14ac:dyDescent="0.45">
      <c r="A1949" s="55"/>
      <c r="B1949"/>
    </row>
    <row r="1950" spans="1:2" x14ac:dyDescent="0.45">
      <c r="A1950" s="55"/>
      <c r="B1950"/>
    </row>
    <row r="1951" spans="1:2" x14ac:dyDescent="0.45">
      <c r="A1951" s="55"/>
      <c r="B1951"/>
    </row>
    <row r="1952" spans="1:2" x14ac:dyDescent="0.45">
      <c r="A1952" s="55"/>
      <c r="B1952"/>
    </row>
    <row r="1953" spans="1:2" x14ac:dyDescent="0.45">
      <c r="A1953" s="55"/>
      <c r="B1953"/>
    </row>
    <row r="1954" spans="1:2" x14ac:dyDescent="0.45">
      <c r="A1954" s="55"/>
      <c r="B1954"/>
    </row>
    <row r="1955" spans="1:2" x14ac:dyDescent="0.45">
      <c r="A1955" s="55"/>
      <c r="B1955"/>
    </row>
    <row r="1956" spans="1:2" x14ac:dyDescent="0.45">
      <c r="A1956" s="55"/>
      <c r="B1956"/>
    </row>
    <row r="1957" spans="1:2" x14ac:dyDescent="0.45">
      <c r="A1957" s="55"/>
      <c r="B1957"/>
    </row>
    <row r="1958" spans="1:2" x14ac:dyDescent="0.45">
      <c r="A1958" s="55"/>
      <c r="B1958"/>
    </row>
    <row r="1959" spans="1:2" x14ac:dyDescent="0.45">
      <c r="A1959" s="55"/>
      <c r="B1959"/>
    </row>
    <row r="1960" spans="1:2" x14ac:dyDescent="0.45">
      <c r="A1960" s="55"/>
      <c r="B1960"/>
    </row>
    <row r="1961" spans="1:2" x14ac:dyDescent="0.45">
      <c r="A1961" s="55"/>
      <c r="B1961"/>
    </row>
    <row r="1962" spans="1:2" x14ac:dyDescent="0.45">
      <c r="A1962" s="55"/>
      <c r="B1962"/>
    </row>
    <row r="1963" spans="1:2" x14ac:dyDescent="0.45">
      <c r="A1963" s="55"/>
      <c r="B1963"/>
    </row>
    <row r="1964" spans="1:2" x14ac:dyDescent="0.45">
      <c r="A1964" s="55"/>
      <c r="B1964"/>
    </row>
    <row r="1965" spans="1:2" x14ac:dyDescent="0.45">
      <c r="A1965" s="55"/>
      <c r="B1965"/>
    </row>
    <row r="1966" spans="1:2" x14ac:dyDescent="0.45">
      <c r="A1966" s="55"/>
      <c r="B1966"/>
    </row>
    <row r="1967" spans="1:2" x14ac:dyDescent="0.45">
      <c r="A1967" s="55"/>
      <c r="B1967"/>
    </row>
    <row r="1968" spans="1:2" x14ac:dyDescent="0.45">
      <c r="A1968" s="55"/>
      <c r="B1968"/>
    </row>
    <row r="1969" spans="1:2" x14ac:dyDescent="0.45">
      <c r="A1969" s="55"/>
      <c r="B1969"/>
    </row>
    <row r="1970" spans="1:2" x14ac:dyDescent="0.45">
      <c r="A1970" s="55"/>
      <c r="B1970"/>
    </row>
    <row r="1971" spans="1:2" x14ac:dyDescent="0.45">
      <c r="A1971" s="55"/>
      <c r="B1971"/>
    </row>
    <row r="1972" spans="1:2" x14ac:dyDescent="0.45">
      <c r="A1972" s="55"/>
      <c r="B1972"/>
    </row>
    <row r="1973" spans="1:2" x14ac:dyDescent="0.45">
      <c r="A1973" s="55"/>
      <c r="B1973"/>
    </row>
    <row r="1974" spans="1:2" x14ac:dyDescent="0.45">
      <c r="A1974" s="55"/>
      <c r="B1974"/>
    </row>
    <row r="1975" spans="1:2" x14ac:dyDescent="0.45">
      <c r="A1975" s="55"/>
      <c r="B1975"/>
    </row>
    <row r="1976" spans="1:2" x14ac:dyDescent="0.45">
      <c r="A1976" s="55"/>
      <c r="B1976"/>
    </row>
    <row r="1977" spans="1:2" x14ac:dyDescent="0.45">
      <c r="A1977" s="55"/>
      <c r="B1977"/>
    </row>
    <row r="1978" spans="1:2" x14ac:dyDescent="0.45">
      <c r="A1978" s="55"/>
      <c r="B1978"/>
    </row>
    <row r="1979" spans="1:2" x14ac:dyDescent="0.45">
      <c r="A1979" s="55"/>
      <c r="B1979"/>
    </row>
    <row r="1980" spans="1:2" x14ac:dyDescent="0.45">
      <c r="A1980" s="55"/>
      <c r="B1980"/>
    </row>
    <row r="1981" spans="1:2" x14ac:dyDescent="0.45">
      <c r="A1981" s="55"/>
      <c r="B1981"/>
    </row>
    <row r="1982" spans="1:2" x14ac:dyDescent="0.45">
      <c r="A1982" s="55"/>
      <c r="B1982"/>
    </row>
    <row r="1983" spans="1:2" x14ac:dyDescent="0.45">
      <c r="A1983" s="55"/>
      <c r="B1983"/>
    </row>
    <row r="1984" spans="1:2" x14ac:dyDescent="0.45">
      <c r="A1984" s="55"/>
      <c r="B1984"/>
    </row>
    <row r="1985" spans="1:2" x14ac:dyDescent="0.45">
      <c r="A1985" s="55"/>
      <c r="B1985"/>
    </row>
    <row r="1986" spans="1:2" x14ac:dyDescent="0.45">
      <c r="A1986" s="55"/>
      <c r="B1986"/>
    </row>
    <row r="1987" spans="1:2" x14ac:dyDescent="0.45">
      <c r="A1987" s="55"/>
      <c r="B1987"/>
    </row>
    <row r="1988" spans="1:2" x14ac:dyDescent="0.45">
      <c r="A1988" s="55"/>
      <c r="B1988"/>
    </row>
    <row r="1989" spans="1:2" x14ac:dyDescent="0.45">
      <c r="A1989" s="55"/>
      <c r="B1989"/>
    </row>
    <row r="1990" spans="1:2" x14ac:dyDescent="0.45">
      <c r="A1990" s="55"/>
      <c r="B1990"/>
    </row>
    <row r="1991" spans="1:2" x14ac:dyDescent="0.45">
      <c r="A1991" s="55"/>
      <c r="B1991"/>
    </row>
    <row r="1992" spans="1:2" x14ac:dyDescent="0.45">
      <c r="A1992" s="55"/>
      <c r="B1992"/>
    </row>
    <row r="1993" spans="1:2" x14ac:dyDescent="0.45">
      <c r="A1993" s="55"/>
      <c r="B1993"/>
    </row>
    <row r="1994" spans="1:2" x14ac:dyDescent="0.45">
      <c r="A1994" s="55"/>
      <c r="B1994"/>
    </row>
    <row r="1995" spans="1:2" x14ac:dyDescent="0.45">
      <c r="A1995" s="55"/>
      <c r="B1995"/>
    </row>
    <row r="1996" spans="1:2" x14ac:dyDescent="0.45">
      <c r="A1996" s="55"/>
      <c r="B1996"/>
    </row>
    <row r="1997" spans="1:2" x14ac:dyDescent="0.45">
      <c r="A1997" s="55"/>
      <c r="B1997"/>
    </row>
    <row r="1998" spans="1:2" x14ac:dyDescent="0.45">
      <c r="A1998" s="55"/>
      <c r="B1998"/>
    </row>
    <row r="1999" spans="1:2" x14ac:dyDescent="0.45">
      <c r="A1999" s="55"/>
      <c r="B1999"/>
    </row>
    <row r="2000" spans="1:2" x14ac:dyDescent="0.45">
      <c r="A2000" s="55"/>
      <c r="B2000"/>
    </row>
    <row r="2001" spans="1:2" x14ac:dyDescent="0.45">
      <c r="A2001" s="55"/>
      <c r="B2001"/>
    </row>
    <row r="2002" spans="1:2" x14ac:dyDescent="0.45">
      <c r="A2002" s="55"/>
      <c r="B2002"/>
    </row>
    <row r="2003" spans="1:2" x14ac:dyDescent="0.45">
      <c r="A2003" s="55"/>
      <c r="B2003"/>
    </row>
    <row r="2004" spans="1:2" x14ac:dyDescent="0.45">
      <c r="A2004" s="55"/>
      <c r="B2004"/>
    </row>
    <row r="2005" spans="1:2" x14ac:dyDescent="0.45">
      <c r="A2005" s="55"/>
      <c r="B2005"/>
    </row>
    <row r="2006" spans="1:2" x14ac:dyDescent="0.45">
      <c r="A2006" s="55"/>
      <c r="B2006"/>
    </row>
    <row r="2007" spans="1:2" x14ac:dyDescent="0.45">
      <c r="A2007" s="55"/>
      <c r="B2007"/>
    </row>
    <row r="2008" spans="1:2" x14ac:dyDescent="0.45">
      <c r="A2008" s="55"/>
      <c r="B2008"/>
    </row>
    <row r="2009" spans="1:2" x14ac:dyDescent="0.45">
      <c r="A2009" s="55"/>
      <c r="B2009"/>
    </row>
    <row r="2010" spans="1:2" x14ac:dyDescent="0.45">
      <c r="A2010" s="55"/>
      <c r="B2010"/>
    </row>
    <row r="2011" spans="1:2" x14ac:dyDescent="0.45">
      <c r="A2011" s="55"/>
      <c r="B2011"/>
    </row>
    <row r="2012" spans="1:2" x14ac:dyDescent="0.45">
      <c r="A2012" s="55"/>
      <c r="B2012"/>
    </row>
    <row r="2013" spans="1:2" x14ac:dyDescent="0.45">
      <c r="A2013" s="55"/>
      <c r="B2013"/>
    </row>
    <row r="2014" spans="1:2" x14ac:dyDescent="0.45">
      <c r="A2014" s="55"/>
      <c r="B2014"/>
    </row>
    <row r="2015" spans="1:2" x14ac:dyDescent="0.45">
      <c r="A2015" s="55"/>
      <c r="B2015"/>
    </row>
    <row r="2016" spans="1:2" x14ac:dyDescent="0.45">
      <c r="A2016" s="55"/>
      <c r="B2016"/>
    </row>
    <row r="2017" spans="1:2" x14ac:dyDescent="0.45">
      <c r="A2017" s="55"/>
      <c r="B2017"/>
    </row>
    <row r="2018" spans="1:2" x14ac:dyDescent="0.45">
      <c r="A2018" s="55"/>
      <c r="B2018"/>
    </row>
    <row r="2019" spans="1:2" x14ac:dyDescent="0.45">
      <c r="A2019" s="55"/>
      <c r="B2019"/>
    </row>
    <row r="2020" spans="1:2" x14ac:dyDescent="0.45">
      <c r="A2020" s="55"/>
      <c r="B2020"/>
    </row>
    <row r="2021" spans="1:2" x14ac:dyDescent="0.45">
      <c r="A2021" s="55"/>
      <c r="B2021"/>
    </row>
    <row r="2022" spans="1:2" x14ac:dyDescent="0.45">
      <c r="A2022" s="55"/>
      <c r="B2022"/>
    </row>
    <row r="2023" spans="1:2" x14ac:dyDescent="0.45">
      <c r="A2023" s="55"/>
      <c r="B2023"/>
    </row>
    <row r="2024" spans="1:2" x14ac:dyDescent="0.45">
      <c r="A2024" s="55"/>
      <c r="B2024"/>
    </row>
    <row r="2025" spans="1:2" x14ac:dyDescent="0.45">
      <c r="A2025" s="55"/>
      <c r="B2025"/>
    </row>
    <row r="2026" spans="1:2" x14ac:dyDescent="0.45">
      <c r="A2026" s="55"/>
      <c r="B2026"/>
    </row>
    <row r="2027" spans="1:2" x14ac:dyDescent="0.45">
      <c r="A2027" s="55"/>
      <c r="B2027"/>
    </row>
    <row r="2028" spans="1:2" x14ac:dyDescent="0.45">
      <c r="A2028" s="55"/>
      <c r="B2028"/>
    </row>
    <row r="2029" spans="1:2" x14ac:dyDescent="0.45">
      <c r="A2029" s="55"/>
      <c r="B2029"/>
    </row>
    <row r="2030" spans="1:2" x14ac:dyDescent="0.45">
      <c r="A2030" s="55"/>
      <c r="B2030"/>
    </row>
    <row r="2031" spans="1:2" x14ac:dyDescent="0.45">
      <c r="A2031" s="55"/>
      <c r="B2031"/>
    </row>
    <row r="2032" spans="1:2" x14ac:dyDescent="0.45">
      <c r="A2032" s="55"/>
      <c r="B2032"/>
    </row>
    <row r="2033" spans="1:2" x14ac:dyDescent="0.45">
      <c r="A2033" s="55"/>
      <c r="B2033"/>
    </row>
    <row r="2034" spans="1:2" x14ac:dyDescent="0.45">
      <c r="A2034" s="55"/>
      <c r="B2034"/>
    </row>
    <row r="2035" spans="1:2" x14ac:dyDescent="0.45">
      <c r="A2035" s="55"/>
      <c r="B2035"/>
    </row>
    <row r="2036" spans="1:2" x14ac:dyDescent="0.45">
      <c r="A2036" s="55"/>
      <c r="B2036"/>
    </row>
    <row r="2037" spans="1:2" x14ac:dyDescent="0.45">
      <c r="A2037" s="55"/>
      <c r="B2037"/>
    </row>
    <row r="2038" spans="1:2" x14ac:dyDescent="0.45">
      <c r="A2038" s="55"/>
      <c r="B2038"/>
    </row>
    <row r="2039" spans="1:2" x14ac:dyDescent="0.45">
      <c r="A2039" s="55"/>
      <c r="B2039"/>
    </row>
    <row r="2040" spans="1:2" x14ac:dyDescent="0.45">
      <c r="A2040" s="55"/>
      <c r="B2040"/>
    </row>
    <row r="2041" spans="1:2" x14ac:dyDescent="0.45">
      <c r="A2041" s="55"/>
      <c r="B2041"/>
    </row>
    <row r="2042" spans="1:2" x14ac:dyDescent="0.45">
      <c r="A2042" s="55"/>
      <c r="B2042"/>
    </row>
    <row r="2043" spans="1:2" x14ac:dyDescent="0.45">
      <c r="A2043" s="55"/>
      <c r="B2043"/>
    </row>
    <row r="2044" spans="1:2" x14ac:dyDescent="0.45">
      <c r="A2044" s="55"/>
      <c r="B2044"/>
    </row>
    <row r="2045" spans="1:2" x14ac:dyDescent="0.45">
      <c r="A2045" s="55"/>
      <c r="B2045"/>
    </row>
    <row r="2046" spans="1:2" x14ac:dyDescent="0.45">
      <c r="A2046" s="55"/>
      <c r="B2046"/>
    </row>
    <row r="2047" spans="1:2" x14ac:dyDescent="0.45">
      <c r="A2047" s="55"/>
      <c r="B2047"/>
    </row>
    <row r="2048" spans="1:2" x14ac:dyDescent="0.45">
      <c r="A2048" s="55"/>
      <c r="B2048"/>
    </row>
    <row r="2049" spans="1:2" x14ac:dyDescent="0.45">
      <c r="A2049" s="55"/>
      <c r="B2049"/>
    </row>
    <row r="2050" spans="1:2" x14ac:dyDescent="0.45">
      <c r="A2050" s="55"/>
      <c r="B2050"/>
    </row>
    <row r="2051" spans="1:2" x14ac:dyDescent="0.45">
      <c r="A2051" s="55"/>
      <c r="B2051"/>
    </row>
    <row r="2052" spans="1:2" x14ac:dyDescent="0.45">
      <c r="A2052" s="55"/>
      <c r="B2052"/>
    </row>
    <row r="2053" spans="1:2" x14ac:dyDescent="0.45">
      <c r="A2053" s="55"/>
      <c r="B2053"/>
    </row>
    <row r="2054" spans="1:2" x14ac:dyDescent="0.45">
      <c r="A2054" s="55"/>
      <c r="B2054"/>
    </row>
    <row r="2055" spans="1:2" x14ac:dyDescent="0.45">
      <c r="A2055" s="55"/>
      <c r="B2055"/>
    </row>
    <row r="2056" spans="1:2" x14ac:dyDescent="0.45">
      <c r="A2056" s="55"/>
      <c r="B2056"/>
    </row>
    <row r="2057" spans="1:2" x14ac:dyDescent="0.45">
      <c r="A2057" s="55"/>
      <c r="B2057"/>
    </row>
    <row r="2058" spans="1:2" x14ac:dyDescent="0.45">
      <c r="A2058" s="55"/>
      <c r="B2058"/>
    </row>
    <row r="2059" spans="1:2" x14ac:dyDescent="0.45">
      <c r="A2059" s="55"/>
      <c r="B2059"/>
    </row>
    <row r="2060" spans="1:2" x14ac:dyDescent="0.45">
      <c r="A2060" s="55"/>
      <c r="B2060"/>
    </row>
    <row r="2061" spans="1:2" x14ac:dyDescent="0.45">
      <c r="A2061" s="55"/>
      <c r="B2061"/>
    </row>
    <row r="2062" spans="1:2" x14ac:dyDescent="0.45">
      <c r="A2062" s="55"/>
      <c r="B2062"/>
    </row>
    <row r="2063" spans="1:2" x14ac:dyDescent="0.45">
      <c r="A2063" s="55"/>
      <c r="B2063"/>
    </row>
    <row r="2064" spans="1:2" x14ac:dyDescent="0.45">
      <c r="A2064" s="55"/>
      <c r="B2064"/>
    </row>
    <row r="2065" spans="1:2" x14ac:dyDescent="0.45">
      <c r="A2065" s="55"/>
      <c r="B2065"/>
    </row>
    <row r="2066" spans="1:2" x14ac:dyDescent="0.45">
      <c r="A2066" s="55"/>
      <c r="B2066"/>
    </row>
    <row r="2067" spans="1:2" x14ac:dyDescent="0.45">
      <c r="A2067" s="55"/>
      <c r="B2067"/>
    </row>
    <row r="2068" spans="1:2" x14ac:dyDescent="0.45">
      <c r="A2068" s="55"/>
      <c r="B2068"/>
    </row>
    <row r="2069" spans="1:2" x14ac:dyDescent="0.45">
      <c r="A2069" s="55"/>
      <c r="B2069"/>
    </row>
    <row r="2070" spans="1:2" x14ac:dyDescent="0.45">
      <c r="A2070" s="55"/>
      <c r="B2070"/>
    </row>
    <row r="2071" spans="1:2" x14ac:dyDescent="0.45">
      <c r="A2071" s="55"/>
      <c r="B2071"/>
    </row>
    <row r="2072" spans="1:2" x14ac:dyDescent="0.45">
      <c r="A2072" s="55"/>
      <c r="B2072"/>
    </row>
    <row r="2073" spans="1:2" x14ac:dyDescent="0.45">
      <c r="A2073" s="55"/>
      <c r="B2073"/>
    </row>
    <row r="2074" spans="1:2" x14ac:dyDescent="0.45">
      <c r="A2074" s="55"/>
      <c r="B2074"/>
    </row>
    <row r="2075" spans="1:2" x14ac:dyDescent="0.45">
      <c r="A2075" s="55"/>
      <c r="B2075"/>
    </row>
    <row r="2076" spans="1:2" x14ac:dyDescent="0.45">
      <c r="A2076" s="55"/>
      <c r="B2076"/>
    </row>
    <row r="2077" spans="1:2" x14ac:dyDescent="0.45">
      <c r="A2077" s="55"/>
      <c r="B2077"/>
    </row>
    <row r="2078" spans="1:2" x14ac:dyDescent="0.45">
      <c r="A2078" s="55"/>
      <c r="B2078"/>
    </row>
    <row r="2079" spans="1:2" x14ac:dyDescent="0.45">
      <c r="A2079" s="55"/>
      <c r="B2079"/>
    </row>
    <row r="2080" spans="1:2" x14ac:dyDescent="0.45">
      <c r="A2080" s="55"/>
      <c r="B2080"/>
    </row>
    <row r="2081" spans="1:2" x14ac:dyDescent="0.45">
      <c r="A2081" s="55"/>
      <c r="B2081"/>
    </row>
    <row r="2082" spans="1:2" x14ac:dyDescent="0.45">
      <c r="A2082" s="55"/>
      <c r="B2082"/>
    </row>
    <row r="2083" spans="1:2" x14ac:dyDescent="0.45">
      <c r="A2083" s="55"/>
      <c r="B2083"/>
    </row>
    <row r="2084" spans="1:2" x14ac:dyDescent="0.45">
      <c r="A2084" s="55"/>
      <c r="B2084"/>
    </row>
    <row r="2085" spans="1:2" x14ac:dyDescent="0.45">
      <c r="A2085" s="55"/>
      <c r="B2085"/>
    </row>
    <row r="2086" spans="1:2" x14ac:dyDescent="0.45">
      <c r="A2086" s="55"/>
      <c r="B2086"/>
    </row>
    <row r="2087" spans="1:2" x14ac:dyDescent="0.45">
      <c r="A2087" s="55"/>
      <c r="B2087"/>
    </row>
    <row r="2088" spans="1:2" x14ac:dyDescent="0.45">
      <c r="A2088" s="55"/>
      <c r="B2088"/>
    </row>
    <row r="2089" spans="1:2" x14ac:dyDescent="0.45">
      <c r="A2089" s="55"/>
      <c r="B2089"/>
    </row>
    <row r="2090" spans="1:2" x14ac:dyDescent="0.45">
      <c r="A2090" s="55"/>
      <c r="B2090"/>
    </row>
    <row r="2091" spans="1:2" x14ac:dyDescent="0.45">
      <c r="A2091" s="55"/>
      <c r="B2091"/>
    </row>
    <row r="2092" spans="1:2" x14ac:dyDescent="0.45">
      <c r="A2092" s="55"/>
      <c r="B2092"/>
    </row>
    <row r="2093" spans="1:2" x14ac:dyDescent="0.45">
      <c r="A2093" s="55"/>
      <c r="B2093"/>
    </row>
    <row r="2094" spans="1:2" x14ac:dyDescent="0.45">
      <c r="A2094" s="55"/>
      <c r="B2094"/>
    </row>
    <row r="2095" spans="1:2" x14ac:dyDescent="0.45">
      <c r="A2095" s="55"/>
      <c r="B2095"/>
    </row>
    <row r="2096" spans="1:2" x14ac:dyDescent="0.45">
      <c r="A2096" s="55"/>
      <c r="B2096"/>
    </row>
    <row r="2097" spans="1:2" x14ac:dyDescent="0.45">
      <c r="A2097" s="55"/>
      <c r="B2097"/>
    </row>
    <row r="2098" spans="1:2" x14ac:dyDescent="0.45">
      <c r="A2098" s="55"/>
      <c r="B2098"/>
    </row>
    <row r="2099" spans="1:2" x14ac:dyDescent="0.45">
      <c r="A2099" s="55"/>
      <c r="B2099"/>
    </row>
    <row r="2100" spans="1:2" x14ac:dyDescent="0.45">
      <c r="A2100" s="55"/>
      <c r="B2100"/>
    </row>
    <row r="2101" spans="1:2" x14ac:dyDescent="0.45">
      <c r="A2101" s="55"/>
      <c r="B2101"/>
    </row>
    <row r="2102" spans="1:2" x14ac:dyDescent="0.45">
      <c r="A2102" s="55"/>
      <c r="B2102"/>
    </row>
    <row r="2103" spans="1:2" x14ac:dyDescent="0.45">
      <c r="A2103" s="55"/>
      <c r="B2103"/>
    </row>
    <row r="2104" spans="1:2" x14ac:dyDescent="0.45">
      <c r="A2104" s="55"/>
      <c r="B2104"/>
    </row>
    <row r="2105" spans="1:2" x14ac:dyDescent="0.45">
      <c r="A2105" s="55"/>
      <c r="B2105"/>
    </row>
    <row r="2106" spans="1:2" x14ac:dyDescent="0.45">
      <c r="A2106" s="55"/>
      <c r="B2106"/>
    </row>
    <row r="2107" spans="1:2" x14ac:dyDescent="0.45">
      <c r="A2107" s="55"/>
      <c r="B2107"/>
    </row>
    <row r="2108" spans="1:2" x14ac:dyDescent="0.45">
      <c r="A2108" s="55"/>
      <c r="B2108"/>
    </row>
    <row r="2109" spans="1:2" x14ac:dyDescent="0.45">
      <c r="A2109" s="55"/>
      <c r="B2109"/>
    </row>
    <row r="2110" spans="1:2" x14ac:dyDescent="0.45">
      <c r="A2110" s="55"/>
      <c r="B2110"/>
    </row>
    <row r="2111" spans="1:2" x14ac:dyDescent="0.45">
      <c r="A2111" s="55"/>
      <c r="B2111"/>
    </row>
    <row r="2112" spans="1:2" x14ac:dyDescent="0.45">
      <c r="A2112" s="55"/>
      <c r="B2112"/>
    </row>
    <row r="2113" spans="1:2" x14ac:dyDescent="0.45">
      <c r="A2113" s="55"/>
      <c r="B2113"/>
    </row>
    <row r="2114" spans="1:2" x14ac:dyDescent="0.45">
      <c r="A2114" s="55"/>
      <c r="B2114"/>
    </row>
    <row r="2115" spans="1:2" x14ac:dyDescent="0.45">
      <c r="A2115" s="55"/>
      <c r="B2115"/>
    </row>
    <row r="2116" spans="1:2" x14ac:dyDescent="0.45">
      <c r="A2116" s="55"/>
      <c r="B2116"/>
    </row>
    <row r="2117" spans="1:2" x14ac:dyDescent="0.45">
      <c r="A2117" s="55"/>
      <c r="B2117"/>
    </row>
    <row r="2118" spans="1:2" x14ac:dyDescent="0.45">
      <c r="A2118" s="55"/>
      <c r="B2118"/>
    </row>
    <row r="2119" spans="1:2" x14ac:dyDescent="0.45">
      <c r="A2119" s="55"/>
      <c r="B2119"/>
    </row>
    <row r="2120" spans="1:2" x14ac:dyDescent="0.45">
      <c r="A2120" s="55"/>
      <c r="B2120"/>
    </row>
    <row r="2121" spans="1:2" x14ac:dyDescent="0.45">
      <c r="A2121" s="55"/>
      <c r="B2121"/>
    </row>
    <row r="2122" spans="1:2" x14ac:dyDescent="0.45">
      <c r="A2122" s="55"/>
      <c r="B2122"/>
    </row>
    <row r="2123" spans="1:2" x14ac:dyDescent="0.45">
      <c r="A2123" s="55"/>
      <c r="B2123"/>
    </row>
    <row r="2124" spans="1:2" x14ac:dyDescent="0.45">
      <c r="A2124" s="55"/>
      <c r="B2124"/>
    </row>
    <row r="2125" spans="1:2" x14ac:dyDescent="0.45">
      <c r="A2125" s="55"/>
      <c r="B2125"/>
    </row>
    <row r="2126" spans="1:2" x14ac:dyDescent="0.45">
      <c r="A2126" s="55"/>
      <c r="B2126"/>
    </row>
    <row r="2127" spans="1:2" x14ac:dyDescent="0.45">
      <c r="A2127" s="55"/>
      <c r="B2127"/>
    </row>
    <row r="2128" spans="1:2" x14ac:dyDescent="0.45">
      <c r="A2128" s="55"/>
      <c r="B2128"/>
    </row>
    <row r="2129" spans="1:2" x14ac:dyDescent="0.45">
      <c r="A2129" s="55"/>
      <c r="B2129"/>
    </row>
    <row r="2130" spans="1:2" x14ac:dyDescent="0.45">
      <c r="A2130" s="55"/>
      <c r="B2130"/>
    </row>
    <row r="2131" spans="1:2" x14ac:dyDescent="0.45">
      <c r="A2131" s="55"/>
      <c r="B2131"/>
    </row>
    <row r="2132" spans="1:2" x14ac:dyDescent="0.45">
      <c r="A2132" s="55"/>
      <c r="B2132"/>
    </row>
    <row r="2133" spans="1:2" x14ac:dyDescent="0.45">
      <c r="A2133" s="55"/>
      <c r="B2133"/>
    </row>
    <row r="2134" spans="1:2" x14ac:dyDescent="0.45">
      <c r="A2134" s="55"/>
      <c r="B2134"/>
    </row>
    <row r="2135" spans="1:2" x14ac:dyDescent="0.45">
      <c r="A2135" s="55"/>
      <c r="B2135"/>
    </row>
    <row r="2136" spans="1:2" x14ac:dyDescent="0.45">
      <c r="A2136" s="55"/>
      <c r="B2136"/>
    </row>
    <row r="2137" spans="1:2" x14ac:dyDescent="0.45">
      <c r="A2137" s="55"/>
      <c r="B2137"/>
    </row>
    <row r="2138" spans="1:2" x14ac:dyDescent="0.45">
      <c r="A2138" s="55"/>
      <c r="B2138"/>
    </row>
    <row r="2139" spans="1:2" x14ac:dyDescent="0.45">
      <c r="A2139" s="55"/>
      <c r="B2139"/>
    </row>
    <row r="2140" spans="1:2" x14ac:dyDescent="0.45">
      <c r="A2140" s="55"/>
      <c r="B2140"/>
    </row>
    <row r="2141" spans="1:2" x14ac:dyDescent="0.45">
      <c r="A2141" s="55"/>
      <c r="B2141"/>
    </row>
    <row r="2142" spans="1:2" x14ac:dyDescent="0.45">
      <c r="A2142" s="55"/>
      <c r="B2142"/>
    </row>
    <row r="2143" spans="1:2" x14ac:dyDescent="0.45">
      <c r="A2143" s="55"/>
      <c r="B2143"/>
    </row>
    <row r="2144" spans="1:2" x14ac:dyDescent="0.45">
      <c r="A2144" s="55"/>
      <c r="B2144"/>
    </row>
    <row r="2145" spans="1:2" x14ac:dyDescent="0.45">
      <c r="A2145" s="55"/>
      <c r="B2145"/>
    </row>
    <row r="2146" spans="1:2" x14ac:dyDescent="0.45">
      <c r="A2146" s="55"/>
      <c r="B2146"/>
    </row>
    <row r="2147" spans="1:2" x14ac:dyDescent="0.45">
      <c r="A2147" s="55"/>
      <c r="B2147"/>
    </row>
    <row r="2148" spans="1:2" x14ac:dyDescent="0.45">
      <c r="A2148" s="55"/>
      <c r="B2148"/>
    </row>
    <row r="2149" spans="1:2" x14ac:dyDescent="0.45">
      <c r="A2149" s="55"/>
      <c r="B2149"/>
    </row>
    <row r="2150" spans="1:2" x14ac:dyDescent="0.45">
      <c r="A2150" s="55"/>
      <c r="B2150"/>
    </row>
    <row r="2151" spans="1:2" x14ac:dyDescent="0.45">
      <c r="A2151" s="55"/>
      <c r="B2151"/>
    </row>
    <row r="2152" spans="1:2" x14ac:dyDescent="0.45">
      <c r="A2152" s="55"/>
      <c r="B2152"/>
    </row>
    <row r="2153" spans="1:2" x14ac:dyDescent="0.45">
      <c r="A2153" s="55"/>
      <c r="B2153"/>
    </row>
    <row r="2154" spans="1:2" x14ac:dyDescent="0.45">
      <c r="A2154" s="55"/>
      <c r="B2154"/>
    </row>
    <row r="2155" spans="1:2" x14ac:dyDescent="0.45">
      <c r="A2155" s="55"/>
      <c r="B2155"/>
    </row>
    <row r="2156" spans="1:2" x14ac:dyDescent="0.45">
      <c r="A2156" s="55"/>
      <c r="B2156"/>
    </row>
    <row r="2157" spans="1:2" x14ac:dyDescent="0.45">
      <c r="A2157" s="55"/>
      <c r="B2157"/>
    </row>
    <row r="2158" spans="1:2" x14ac:dyDescent="0.45">
      <c r="A2158" s="55"/>
      <c r="B2158"/>
    </row>
    <row r="2159" spans="1:2" x14ac:dyDescent="0.45">
      <c r="A2159" s="55"/>
      <c r="B2159"/>
    </row>
    <row r="2160" spans="1:2" x14ac:dyDescent="0.45">
      <c r="A2160" s="55"/>
      <c r="B2160"/>
    </row>
    <row r="2161" spans="1:2" x14ac:dyDescent="0.45">
      <c r="A2161" s="55"/>
      <c r="B2161"/>
    </row>
    <row r="2162" spans="1:2" x14ac:dyDescent="0.45">
      <c r="A2162" s="55"/>
      <c r="B2162"/>
    </row>
    <row r="2163" spans="1:2" x14ac:dyDescent="0.45">
      <c r="A2163" s="55"/>
      <c r="B2163"/>
    </row>
    <row r="2164" spans="1:2" x14ac:dyDescent="0.45">
      <c r="A2164" s="55"/>
      <c r="B2164"/>
    </row>
    <row r="2165" spans="1:2" x14ac:dyDescent="0.45">
      <c r="A2165" s="55"/>
      <c r="B2165"/>
    </row>
    <row r="2166" spans="1:2" x14ac:dyDescent="0.45">
      <c r="A2166" s="55"/>
      <c r="B2166"/>
    </row>
    <row r="2167" spans="1:2" x14ac:dyDescent="0.45">
      <c r="A2167" s="55"/>
      <c r="B2167"/>
    </row>
    <row r="2168" spans="1:2" x14ac:dyDescent="0.45">
      <c r="A2168" s="55"/>
      <c r="B2168"/>
    </row>
    <row r="2169" spans="1:2" x14ac:dyDescent="0.45">
      <c r="A2169" s="55"/>
      <c r="B2169"/>
    </row>
    <row r="2170" spans="1:2" x14ac:dyDescent="0.45">
      <c r="A2170" s="55"/>
      <c r="B2170"/>
    </row>
    <row r="2171" spans="1:2" x14ac:dyDescent="0.45">
      <c r="A2171" s="55"/>
      <c r="B2171"/>
    </row>
    <row r="2172" spans="1:2" x14ac:dyDescent="0.45">
      <c r="A2172" s="55"/>
      <c r="B2172"/>
    </row>
    <row r="2173" spans="1:2" x14ac:dyDescent="0.45">
      <c r="A2173" s="55"/>
      <c r="B2173"/>
    </row>
    <row r="2174" spans="1:2" x14ac:dyDescent="0.45">
      <c r="A2174" s="55"/>
      <c r="B2174"/>
    </row>
    <row r="2175" spans="1:2" x14ac:dyDescent="0.45">
      <c r="A2175" s="55"/>
      <c r="B2175"/>
    </row>
    <row r="2176" spans="1:2" x14ac:dyDescent="0.45">
      <c r="A2176" s="55"/>
      <c r="B2176"/>
    </row>
    <row r="2177" spans="1:2" x14ac:dyDescent="0.45">
      <c r="A2177" s="55"/>
      <c r="B2177"/>
    </row>
    <row r="2178" spans="1:2" x14ac:dyDescent="0.45">
      <c r="A2178" s="55"/>
      <c r="B2178"/>
    </row>
    <row r="2179" spans="1:2" x14ac:dyDescent="0.45">
      <c r="A2179" s="55"/>
      <c r="B2179"/>
    </row>
    <row r="2180" spans="1:2" x14ac:dyDescent="0.45">
      <c r="A2180" s="55"/>
      <c r="B2180"/>
    </row>
    <row r="2181" spans="1:2" x14ac:dyDescent="0.45">
      <c r="A2181" s="55"/>
      <c r="B2181"/>
    </row>
    <row r="2182" spans="1:2" x14ac:dyDescent="0.45">
      <c r="A2182" s="55"/>
      <c r="B2182"/>
    </row>
    <row r="2183" spans="1:2" x14ac:dyDescent="0.45">
      <c r="A2183" s="55"/>
      <c r="B2183"/>
    </row>
    <row r="2184" spans="1:2" x14ac:dyDescent="0.45">
      <c r="A2184" s="55"/>
      <c r="B2184"/>
    </row>
    <row r="2185" spans="1:2" x14ac:dyDescent="0.45">
      <c r="A2185" s="55"/>
      <c r="B2185"/>
    </row>
    <row r="2186" spans="1:2" x14ac:dyDescent="0.45">
      <c r="A2186" s="55"/>
      <c r="B2186"/>
    </row>
    <row r="2187" spans="1:2" x14ac:dyDescent="0.45">
      <c r="A2187" s="55"/>
      <c r="B2187"/>
    </row>
    <row r="2188" spans="1:2" x14ac:dyDescent="0.45">
      <c r="A2188" s="55"/>
      <c r="B2188"/>
    </row>
    <row r="2189" spans="1:2" x14ac:dyDescent="0.45">
      <c r="A2189" s="55"/>
      <c r="B2189"/>
    </row>
    <row r="2190" spans="1:2" x14ac:dyDescent="0.45">
      <c r="A2190" s="55"/>
      <c r="B2190"/>
    </row>
    <row r="2191" spans="1:2" x14ac:dyDescent="0.45">
      <c r="A2191" s="55"/>
      <c r="B2191"/>
    </row>
    <row r="2192" spans="1:2" x14ac:dyDescent="0.45">
      <c r="A2192" s="55"/>
      <c r="B2192"/>
    </row>
    <row r="2193" spans="1:2" x14ac:dyDescent="0.45">
      <c r="A2193" s="55"/>
      <c r="B2193"/>
    </row>
    <row r="2194" spans="1:2" x14ac:dyDescent="0.45">
      <c r="A2194" s="55"/>
      <c r="B2194"/>
    </row>
    <row r="2195" spans="1:2" x14ac:dyDescent="0.45">
      <c r="A2195" s="55"/>
      <c r="B2195"/>
    </row>
    <row r="2196" spans="1:2" x14ac:dyDescent="0.45">
      <c r="A2196" s="55"/>
      <c r="B2196"/>
    </row>
    <row r="2197" spans="1:2" x14ac:dyDescent="0.45">
      <c r="A2197" s="55"/>
      <c r="B2197"/>
    </row>
    <row r="2198" spans="1:2" x14ac:dyDescent="0.45">
      <c r="A2198" s="55"/>
      <c r="B2198"/>
    </row>
    <row r="2199" spans="1:2" x14ac:dyDescent="0.45">
      <c r="A2199" s="55"/>
      <c r="B2199"/>
    </row>
    <row r="2200" spans="1:2" x14ac:dyDescent="0.45">
      <c r="A2200" s="55"/>
      <c r="B2200"/>
    </row>
    <row r="2201" spans="1:2" x14ac:dyDescent="0.45">
      <c r="A2201" s="55"/>
      <c r="B2201"/>
    </row>
    <row r="2202" spans="1:2" x14ac:dyDescent="0.45">
      <c r="A2202" s="55"/>
      <c r="B2202"/>
    </row>
    <row r="2203" spans="1:2" x14ac:dyDescent="0.45">
      <c r="A2203" s="55"/>
      <c r="B2203"/>
    </row>
    <row r="2204" spans="1:2" x14ac:dyDescent="0.45">
      <c r="A2204" s="55"/>
      <c r="B2204"/>
    </row>
    <row r="2205" spans="1:2" x14ac:dyDescent="0.45">
      <c r="A2205" s="55"/>
      <c r="B2205"/>
    </row>
    <row r="2206" spans="1:2" x14ac:dyDescent="0.45">
      <c r="A2206" s="55"/>
      <c r="B2206"/>
    </row>
    <row r="2207" spans="1:2" x14ac:dyDescent="0.45">
      <c r="A2207" s="55"/>
      <c r="B2207"/>
    </row>
    <row r="2208" spans="1:2" x14ac:dyDescent="0.45">
      <c r="A2208" s="55"/>
      <c r="B2208"/>
    </row>
    <row r="2209" spans="1:2" x14ac:dyDescent="0.45">
      <c r="A2209" s="55"/>
      <c r="B2209"/>
    </row>
    <row r="2210" spans="1:2" x14ac:dyDescent="0.45">
      <c r="A2210" s="55"/>
      <c r="B2210"/>
    </row>
    <row r="2211" spans="1:2" x14ac:dyDescent="0.45">
      <c r="A2211" s="55"/>
      <c r="B2211"/>
    </row>
    <row r="2212" spans="1:2" x14ac:dyDescent="0.45">
      <c r="A2212" s="55"/>
      <c r="B2212"/>
    </row>
    <row r="2213" spans="1:2" x14ac:dyDescent="0.45">
      <c r="A2213" s="55"/>
      <c r="B2213"/>
    </row>
    <row r="2214" spans="1:2" x14ac:dyDescent="0.45">
      <c r="A2214" s="55"/>
      <c r="B2214"/>
    </row>
    <row r="2215" spans="1:2" x14ac:dyDescent="0.45">
      <c r="A2215" s="55"/>
      <c r="B2215"/>
    </row>
    <row r="2216" spans="1:2" x14ac:dyDescent="0.45">
      <c r="A2216" s="55"/>
      <c r="B2216"/>
    </row>
    <row r="2217" spans="1:2" x14ac:dyDescent="0.45">
      <c r="A2217" s="55"/>
      <c r="B2217"/>
    </row>
    <row r="2218" spans="1:2" x14ac:dyDescent="0.45">
      <c r="A2218" s="55"/>
      <c r="B2218"/>
    </row>
    <row r="2219" spans="1:2" x14ac:dyDescent="0.45">
      <c r="A2219" s="55"/>
      <c r="B2219"/>
    </row>
    <row r="2220" spans="1:2" x14ac:dyDescent="0.45">
      <c r="A2220" s="55"/>
      <c r="B2220"/>
    </row>
    <row r="2221" spans="1:2" x14ac:dyDescent="0.45">
      <c r="A2221" s="55"/>
      <c r="B2221"/>
    </row>
    <row r="2222" spans="1:2" x14ac:dyDescent="0.45">
      <c r="A2222" s="55"/>
      <c r="B2222"/>
    </row>
    <row r="2223" spans="1:2" x14ac:dyDescent="0.45">
      <c r="A2223" s="55"/>
      <c r="B2223"/>
    </row>
    <row r="2224" spans="1:2" x14ac:dyDescent="0.45">
      <c r="A2224" s="55"/>
      <c r="B2224"/>
    </row>
    <row r="2225" spans="1:2" x14ac:dyDescent="0.45">
      <c r="A2225" s="55"/>
      <c r="B2225"/>
    </row>
    <row r="2226" spans="1:2" x14ac:dyDescent="0.45">
      <c r="A2226" s="55"/>
      <c r="B2226"/>
    </row>
    <row r="2227" spans="1:2" x14ac:dyDescent="0.45">
      <c r="A2227" s="55"/>
      <c r="B2227"/>
    </row>
    <row r="2228" spans="1:2" x14ac:dyDescent="0.45">
      <c r="A2228" s="55"/>
      <c r="B2228"/>
    </row>
    <row r="2229" spans="1:2" x14ac:dyDescent="0.45">
      <c r="A2229" s="55"/>
      <c r="B2229"/>
    </row>
    <row r="2230" spans="1:2" x14ac:dyDescent="0.45">
      <c r="A2230" s="55"/>
      <c r="B2230"/>
    </row>
    <row r="2231" spans="1:2" x14ac:dyDescent="0.45">
      <c r="A2231" s="55"/>
      <c r="B2231"/>
    </row>
    <row r="2232" spans="1:2" x14ac:dyDescent="0.45">
      <c r="A2232" s="55"/>
      <c r="B2232"/>
    </row>
    <row r="2233" spans="1:2" x14ac:dyDescent="0.45">
      <c r="A2233" s="55"/>
      <c r="B2233"/>
    </row>
    <row r="2234" spans="1:2" x14ac:dyDescent="0.45">
      <c r="A2234" s="55"/>
      <c r="B2234"/>
    </row>
    <row r="2235" spans="1:2" x14ac:dyDescent="0.45">
      <c r="A2235" s="55"/>
      <c r="B2235"/>
    </row>
    <row r="2236" spans="1:2" x14ac:dyDescent="0.45">
      <c r="A2236" s="55"/>
      <c r="B2236"/>
    </row>
    <row r="2237" spans="1:2" x14ac:dyDescent="0.45">
      <c r="A2237" s="55"/>
      <c r="B2237"/>
    </row>
    <row r="2238" spans="1:2" x14ac:dyDescent="0.45">
      <c r="A2238" s="55"/>
      <c r="B2238"/>
    </row>
    <row r="2239" spans="1:2" x14ac:dyDescent="0.45">
      <c r="A2239" s="55"/>
      <c r="B2239"/>
    </row>
    <row r="2240" spans="1:2" x14ac:dyDescent="0.45">
      <c r="A2240" s="55"/>
      <c r="B2240"/>
    </row>
    <row r="2241" spans="1:2" x14ac:dyDescent="0.45">
      <c r="A2241" s="55"/>
      <c r="B2241"/>
    </row>
    <row r="2242" spans="1:2" x14ac:dyDescent="0.45">
      <c r="A2242" s="55"/>
      <c r="B2242"/>
    </row>
    <row r="2243" spans="1:2" x14ac:dyDescent="0.45">
      <c r="A2243" s="55"/>
      <c r="B2243"/>
    </row>
    <row r="2244" spans="1:2" x14ac:dyDescent="0.45">
      <c r="A2244" s="55"/>
      <c r="B2244"/>
    </row>
    <row r="2245" spans="1:2" x14ac:dyDescent="0.45">
      <c r="A2245" s="55"/>
      <c r="B2245"/>
    </row>
    <row r="2246" spans="1:2" x14ac:dyDescent="0.45">
      <c r="A2246" s="55"/>
      <c r="B2246"/>
    </row>
    <row r="2247" spans="1:2" x14ac:dyDescent="0.45">
      <c r="A2247" s="55"/>
      <c r="B2247"/>
    </row>
    <row r="2248" spans="1:2" x14ac:dyDescent="0.45">
      <c r="A2248" s="55"/>
      <c r="B2248"/>
    </row>
    <row r="2249" spans="1:2" x14ac:dyDescent="0.45">
      <c r="A2249" s="55"/>
      <c r="B2249"/>
    </row>
    <row r="2250" spans="1:2" x14ac:dyDescent="0.45">
      <c r="A2250" s="55"/>
      <c r="B2250"/>
    </row>
    <row r="2251" spans="1:2" x14ac:dyDescent="0.45">
      <c r="A2251" s="55"/>
      <c r="B2251"/>
    </row>
    <row r="2252" spans="1:2" x14ac:dyDescent="0.45">
      <c r="A2252" s="55"/>
      <c r="B2252"/>
    </row>
    <row r="2253" spans="1:2" x14ac:dyDescent="0.45">
      <c r="A2253" s="55"/>
      <c r="B2253"/>
    </row>
    <row r="2254" spans="1:2" x14ac:dyDescent="0.45">
      <c r="A2254" s="55"/>
      <c r="B2254"/>
    </row>
    <row r="2255" spans="1:2" x14ac:dyDescent="0.45">
      <c r="A2255" s="55"/>
      <c r="B2255"/>
    </row>
    <row r="2256" spans="1:2" x14ac:dyDescent="0.45">
      <c r="A2256" s="55"/>
      <c r="B2256"/>
    </row>
    <row r="2257" spans="1:2" x14ac:dyDescent="0.45">
      <c r="A2257" s="55"/>
      <c r="B2257"/>
    </row>
    <row r="2258" spans="1:2" x14ac:dyDescent="0.45">
      <c r="A2258" s="55"/>
      <c r="B2258"/>
    </row>
    <row r="2259" spans="1:2" x14ac:dyDescent="0.45">
      <c r="A2259" s="55"/>
      <c r="B2259"/>
    </row>
    <row r="2260" spans="1:2" x14ac:dyDescent="0.45">
      <c r="A2260" s="55"/>
      <c r="B2260"/>
    </row>
    <row r="2261" spans="1:2" x14ac:dyDescent="0.45">
      <c r="A2261" s="55"/>
      <c r="B2261"/>
    </row>
    <row r="2262" spans="1:2" x14ac:dyDescent="0.45">
      <c r="A2262" s="55"/>
      <c r="B2262"/>
    </row>
    <row r="2263" spans="1:2" x14ac:dyDescent="0.45">
      <c r="A2263" s="55"/>
      <c r="B2263"/>
    </row>
    <row r="2264" spans="1:2" x14ac:dyDescent="0.45">
      <c r="A2264" s="55"/>
      <c r="B2264"/>
    </row>
    <row r="2265" spans="1:2" x14ac:dyDescent="0.45">
      <c r="A2265" s="55"/>
      <c r="B2265"/>
    </row>
    <row r="2266" spans="1:2" x14ac:dyDescent="0.45">
      <c r="A2266" s="55"/>
      <c r="B2266"/>
    </row>
    <row r="2267" spans="1:2" x14ac:dyDescent="0.45">
      <c r="A2267" s="55"/>
      <c r="B2267"/>
    </row>
    <row r="2268" spans="1:2" x14ac:dyDescent="0.45">
      <c r="A2268" s="55"/>
      <c r="B2268"/>
    </row>
    <row r="2269" spans="1:2" x14ac:dyDescent="0.45">
      <c r="A2269" s="55"/>
      <c r="B2269"/>
    </row>
    <row r="2270" spans="1:2" x14ac:dyDescent="0.45">
      <c r="A2270" s="55"/>
      <c r="B2270"/>
    </row>
    <row r="2271" spans="1:2" x14ac:dyDescent="0.45">
      <c r="A2271" s="55"/>
      <c r="B2271"/>
    </row>
    <row r="2272" spans="1:2" x14ac:dyDescent="0.45">
      <c r="A2272" s="55"/>
      <c r="B2272"/>
    </row>
    <row r="2273" spans="1:2" x14ac:dyDescent="0.45">
      <c r="A2273" s="55"/>
      <c r="B2273"/>
    </row>
    <row r="2274" spans="1:2" x14ac:dyDescent="0.45">
      <c r="A2274" s="55"/>
      <c r="B2274"/>
    </row>
    <row r="2275" spans="1:2" x14ac:dyDescent="0.45">
      <c r="A2275" s="55"/>
      <c r="B2275"/>
    </row>
    <row r="2276" spans="1:2" x14ac:dyDescent="0.45">
      <c r="A2276" s="55"/>
      <c r="B2276"/>
    </row>
    <row r="2277" spans="1:2" x14ac:dyDescent="0.45">
      <c r="A2277" s="55"/>
      <c r="B2277"/>
    </row>
    <row r="2278" spans="1:2" x14ac:dyDescent="0.45">
      <c r="A2278" s="55"/>
      <c r="B2278"/>
    </row>
    <row r="2279" spans="1:2" x14ac:dyDescent="0.45">
      <c r="A2279" s="55"/>
      <c r="B2279"/>
    </row>
    <row r="2280" spans="1:2" x14ac:dyDescent="0.45">
      <c r="A2280" s="55"/>
      <c r="B2280"/>
    </row>
    <row r="2281" spans="1:2" x14ac:dyDescent="0.45">
      <c r="A2281" s="55"/>
      <c r="B2281"/>
    </row>
    <row r="2282" spans="1:2" x14ac:dyDescent="0.45">
      <c r="A2282" s="55"/>
      <c r="B2282"/>
    </row>
    <row r="2283" spans="1:2" x14ac:dyDescent="0.45">
      <c r="A2283" s="55"/>
      <c r="B2283"/>
    </row>
    <row r="2284" spans="1:2" x14ac:dyDescent="0.45">
      <c r="A2284" s="55"/>
      <c r="B2284"/>
    </row>
    <row r="2285" spans="1:2" x14ac:dyDescent="0.45">
      <c r="A2285" s="55"/>
      <c r="B2285"/>
    </row>
    <row r="2286" spans="1:2" x14ac:dyDescent="0.45">
      <c r="A2286" s="55"/>
      <c r="B2286"/>
    </row>
    <row r="2287" spans="1:2" x14ac:dyDescent="0.45">
      <c r="A2287" s="55"/>
      <c r="B2287"/>
    </row>
    <row r="2288" spans="1:2" x14ac:dyDescent="0.45">
      <c r="A2288" s="55"/>
      <c r="B2288"/>
    </row>
    <row r="2289" spans="1:2" x14ac:dyDescent="0.45">
      <c r="A2289" s="55"/>
      <c r="B2289"/>
    </row>
    <row r="2290" spans="1:2" x14ac:dyDescent="0.45">
      <c r="A2290" s="55"/>
      <c r="B2290"/>
    </row>
    <row r="2291" spans="1:2" x14ac:dyDescent="0.45">
      <c r="A2291" s="55"/>
      <c r="B2291"/>
    </row>
    <row r="2292" spans="1:2" x14ac:dyDescent="0.45">
      <c r="A2292" s="55"/>
      <c r="B2292"/>
    </row>
    <row r="2293" spans="1:2" x14ac:dyDescent="0.45">
      <c r="A2293" s="55"/>
      <c r="B2293"/>
    </row>
    <row r="2294" spans="1:2" x14ac:dyDescent="0.45">
      <c r="A2294" s="55"/>
      <c r="B2294"/>
    </row>
    <row r="2295" spans="1:2" x14ac:dyDescent="0.45">
      <c r="A2295" s="55"/>
      <c r="B2295"/>
    </row>
    <row r="2296" spans="1:2" x14ac:dyDescent="0.45">
      <c r="A2296" s="55"/>
      <c r="B2296"/>
    </row>
    <row r="2297" spans="1:2" x14ac:dyDescent="0.45">
      <c r="A2297" s="55"/>
      <c r="B2297"/>
    </row>
    <row r="2298" spans="1:2" x14ac:dyDescent="0.45">
      <c r="A2298" s="55"/>
      <c r="B2298"/>
    </row>
    <row r="2299" spans="1:2" x14ac:dyDescent="0.45">
      <c r="A2299" s="55"/>
      <c r="B2299"/>
    </row>
    <row r="2300" spans="1:2" x14ac:dyDescent="0.45">
      <c r="A2300" s="55"/>
      <c r="B2300"/>
    </row>
    <row r="2301" spans="1:2" x14ac:dyDescent="0.45">
      <c r="A2301" s="55"/>
      <c r="B2301"/>
    </row>
    <row r="2302" spans="1:2" x14ac:dyDescent="0.45">
      <c r="A2302" s="55"/>
      <c r="B2302"/>
    </row>
    <row r="2303" spans="1:2" x14ac:dyDescent="0.45">
      <c r="A2303" s="55"/>
      <c r="B2303"/>
    </row>
    <row r="2304" spans="1:2" x14ac:dyDescent="0.45">
      <c r="A2304" s="55"/>
      <c r="B2304"/>
    </row>
    <row r="2305" spans="1:2" x14ac:dyDescent="0.45">
      <c r="A2305" s="55"/>
      <c r="B2305"/>
    </row>
    <row r="2306" spans="1:2" x14ac:dyDescent="0.45">
      <c r="A2306" s="55"/>
      <c r="B2306"/>
    </row>
    <row r="2307" spans="1:2" x14ac:dyDescent="0.45">
      <c r="A2307" s="55"/>
      <c r="B2307"/>
    </row>
    <row r="2308" spans="1:2" x14ac:dyDescent="0.45">
      <c r="A2308" s="55"/>
      <c r="B2308"/>
    </row>
    <row r="2309" spans="1:2" x14ac:dyDescent="0.45">
      <c r="A2309" s="55"/>
      <c r="B2309"/>
    </row>
    <row r="2310" spans="1:2" x14ac:dyDescent="0.45">
      <c r="A2310" s="55"/>
      <c r="B2310"/>
    </row>
    <row r="2311" spans="1:2" x14ac:dyDescent="0.45">
      <c r="A2311" s="55"/>
      <c r="B2311"/>
    </row>
    <row r="2312" spans="1:2" x14ac:dyDescent="0.45">
      <c r="A2312" s="55"/>
      <c r="B2312"/>
    </row>
    <row r="2313" spans="1:2" x14ac:dyDescent="0.45">
      <c r="A2313" s="55"/>
      <c r="B2313"/>
    </row>
    <row r="2314" spans="1:2" x14ac:dyDescent="0.45">
      <c r="A2314" s="55"/>
      <c r="B2314"/>
    </row>
    <row r="2315" spans="1:2" x14ac:dyDescent="0.45">
      <c r="A2315" s="55"/>
      <c r="B2315"/>
    </row>
    <row r="2316" spans="1:2" x14ac:dyDescent="0.45">
      <c r="A2316" s="55"/>
      <c r="B2316"/>
    </row>
    <row r="2317" spans="1:2" x14ac:dyDescent="0.45">
      <c r="A2317" s="55"/>
      <c r="B2317"/>
    </row>
    <row r="2318" spans="1:2" x14ac:dyDescent="0.45">
      <c r="A2318" s="55"/>
      <c r="B2318"/>
    </row>
    <row r="2319" spans="1:2" x14ac:dyDescent="0.45">
      <c r="A2319" s="55"/>
      <c r="B2319"/>
    </row>
    <row r="2320" spans="1:2" x14ac:dyDescent="0.45">
      <c r="A2320" s="55"/>
      <c r="B2320"/>
    </row>
    <row r="2321" spans="1:2" x14ac:dyDescent="0.45">
      <c r="A2321" s="55"/>
      <c r="B2321"/>
    </row>
    <row r="2322" spans="1:2" x14ac:dyDescent="0.45">
      <c r="A2322" s="55"/>
      <c r="B2322"/>
    </row>
    <row r="2323" spans="1:2" x14ac:dyDescent="0.45">
      <c r="A2323" s="55"/>
      <c r="B2323"/>
    </row>
    <row r="2324" spans="1:2" x14ac:dyDescent="0.45">
      <c r="A2324" s="55"/>
      <c r="B2324"/>
    </row>
    <row r="2325" spans="1:2" x14ac:dyDescent="0.45">
      <c r="A2325" s="55"/>
      <c r="B2325"/>
    </row>
    <row r="2326" spans="1:2" x14ac:dyDescent="0.45">
      <c r="A2326" s="55"/>
      <c r="B2326"/>
    </row>
    <row r="2327" spans="1:2" x14ac:dyDescent="0.45">
      <c r="A2327" s="55"/>
      <c r="B2327"/>
    </row>
    <row r="2328" spans="1:2" x14ac:dyDescent="0.45">
      <c r="A2328" s="55"/>
      <c r="B2328"/>
    </row>
    <row r="2329" spans="1:2" x14ac:dyDescent="0.45">
      <c r="A2329" s="55"/>
      <c r="B2329"/>
    </row>
    <row r="2330" spans="1:2" x14ac:dyDescent="0.45">
      <c r="A2330" s="55"/>
      <c r="B2330"/>
    </row>
    <row r="2331" spans="1:2" x14ac:dyDescent="0.45">
      <c r="A2331" s="55"/>
      <c r="B2331"/>
    </row>
    <row r="2332" spans="1:2" x14ac:dyDescent="0.45">
      <c r="A2332" s="55"/>
      <c r="B2332"/>
    </row>
    <row r="2333" spans="1:2" x14ac:dyDescent="0.45">
      <c r="A2333" s="55"/>
      <c r="B2333"/>
    </row>
    <row r="2334" spans="1:2" x14ac:dyDescent="0.45">
      <c r="A2334" s="55"/>
      <c r="B2334"/>
    </row>
    <row r="2335" spans="1:2" x14ac:dyDescent="0.45">
      <c r="A2335" s="55"/>
      <c r="B2335"/>
    </row>
    <row r="2336" spans="1:2" x14ac:dyDescent="0.45">
      <c r="A2336" s="55"/>
      <c r="B2336"/>
    </row>
    <row r="2337" spans="1:2" x14ac:dyDescent="0.45">
      <c r="A2337" s="55"/>
      <c r="B2337"/>
    </row>
    <row r="2338" spans="1:2" x14ac:dyDescent="0.45">
      <c r="A2338" s="55"/>
      <c r="B2338"/>
    </row>
    <row r="2339" spans="1:2" x14ac:dyDescent="0.45">
      <c r="A2339" s="55"/>
      <c r="B2339"/>
    </row>
    <row r="2340" spans="1:2" x14ac:dyDescent="0.45">
      <c r="A2340" s="55"/>
      <c r="B2340"/>
    </row>
    <row r="2341" spans="1:2" x14ac:dyDescent="0.45">
      <c r="A2341" s="55"/>
      <c r="B2341"/>
    </row>
    <row r="2342" spans="1:2" x14ac:dyDescent="0.45">
      <c r="A2342" s="55"/>
      <c r="B2342"/>
    </row>
    <row r="2343" spans="1:2" x14ac:dyDescent="0.45">
      <c r="A2343" s="55"/>
      <c r="B2343"/>
    </row>
    <row r="2344" spans="1:2" x14ac:dyDescent="0.45">
      <c r="A2344" s="55"/>
      <c r="B2344"/>
    </row>
    <row r="2345" spans="1:2" x14ac:dyDescent="0.45">
      <c r="A2345" s="55"/>
      <c r="B2345"/>
    </row>
    <row r="2346" spans="1:2" x14ac:dyDescent="0.45">
      <c r="A2346" s="55"/>
      <c r="B2346"/>
    </row>
    <row r="2347" spans="1:2" x14ac:dyDescent="0.45">
      <c r="A2347" s="55"/>
      <c r="B2347"/>
    </row>
    <row r="2348" spans="1:2" x14ac:dyDescent="0.45">
      <c r="A2348" s="55"/>
      <c r="B2348"/>
    </row>
    <row r="2349" spans="1:2" x14ac:dyDescent="0.45">
      <c r="A2349" s="55"/>
      <c r="B2349"/>
    </row>
    <row r="2350" spans="1:2" x14ac:dyDescent="0.45">
      <c r="A2350" s="55"/>
      <c r="B2350"/>
    </row>
    <row r="2351" spans="1:2" x14ac:dyDescent="0.45">
      <c r="A2351" s="55"/>
      <c r="B2351"/>
    </row>
    <row r="2352" spans="1:2" x14ac:dyDescent="0.45">
      <c r="A2352" s="55"/>
      <c r="B2352"/>
    </row>
    <row r="2353" spans="1:2" x14ac:dyDescent="0.45">
      <c r="A2353" s="55"/>
      <c r="B2353"/>
    </row>
    <row r="2354" spans="1:2" x14ac:dyDescent="0.45">
      <c r="A2354" s="55"/>
      <c r="B2354"/>
    </row>
    <row r="2355" spans="1:2" x14ac:dyDescent="0.45">
      <c r="A2355" s="55"/>
      <c r="B2355"/>
    </row>
    <row r="2356" spans="1:2" x14ac:dyDescent="0.45">
      <c r="A2356" s="55"/>
      <c r="B2356"/>
    </row>
    <row r="2357" spans="1:2" x14ac:dyDescent="0.45">
      <c r="A2357" s="55"/>
      <c r="B2357"/>
    </row>
    <row r="2358" spans="1:2" x14ac:dyDescent="0.45">
      <c r="A2358" s="55"/>
      <c r="B2358"/>
    </row>
    <row r="2359" spans="1:2" x14ac:dyDescent="0.45">
      <c r="A2359" s="55"/>
      <c r="B2359"/>
    </row>
    <row r="2360" spans="1:2" x14ac:dyDescent="0.45">
      <c r="A2360" s="55"/>
      <c r="B2360"/>
    </row>
    <row r="2361" spans="1:2" x14ac:dyDescent="0.45">
      <c r="A2361" s="55"/>
      <c r="B2361"/>
    </row>
    <row r="2362" spans="1:2" x14ac:dyDescent="0.45">
      <c r="A2362" s="55"/>
      <c r="B2362"/>
    </row>
    <row r="2363" spans="1:2" x14ac:dyDescent="0.45">
      <c r="A2363" s="55"/>
      <c r="B2363"/>
    </row>
    <row r="2364" spans="1:2" x14ac:dyDescent="0.45">
      <c r="A2364" s="55"/>
      <c r="B2364"/>
    </row>
    <row r="2365" spans="1:2" x14ac:dyDescent="0.45">
      <c r="A2365" s="55"/>
      <c r="B2365"/>
    </row>
    <row r="2366" spans="1:2" x14ac:dyDescent="0.45">
      <c r="A2366" s="55"/>
      <c r="B2366"/>
    </row>
    <row r="2367" spans="1:2" x14ac:dyDescent="0.45">
      <c r="A2367" s="55"/>
      <c r="B2367"/>
    </row>
    <row r="2368" spans="1:2" x14ac:dyDescent="0.45">
      <c r="A2368" s="55"/>
      <c r="B2368"/>
    </row>
    <row r="2369" spans="1:2" x14ac:dyDescent="0.45">
      <c r="A2369" s="55"/>
      <c r="B2369"/>
    </row>
    <row r="2370" spans="1:2" x14ac:dyDescent="0.45">
      <c r="A2370" s="55"/>
      <c r="B2370"/>
    </row>
    <row r="2371" spans="1:2" x14ac:dyDescent="0.45">
      <c r="A2371" s="55"/>
      <c r="B2371"/>
    </row>
    <row r="2372" spans="1:2" x14ac:dyDescent="0.45">
      <c r="A2372" s="55"/>
      <c r="B2372"/>
    </row>
    <row r="2373" spans="1:2" x14ac:dyDescent="0.45">
      <c r="A2373" s="55"/>
      <c r="B2373"/>
    </row>
    <row r="2374" spans="1:2" x14ac:dyDescent="0.45">
      <c r="A2374" s="55"/>
      <c r="B2374"/>
    </row>
    <row r="2375" spans="1:2" x14ac:dyDescent="0.45">
      <c r="A2375" s="55"/>
      <c r="B2375"/>
    </row>
    <row r="2376" spans="1:2" x14ac:dyDescent="0.45">
      <c r="A2376" s="55"/>
      <c r="B2376"/>
    </row>
    <row r="2377" spans="1:2" x14ac:dyDescent="0.45">
      <c r="A2377" s="55"/>
      <c r="B2377"/>
    </row>
    <row r="2378" spans="1:2" x14ac:dyDescent="0.45">
      <c r="A2378" s="55"/>
      <c r="B2378"/>
    </row>
    <row r="2379" spans="1:2" x14ac:dyDescent="0.45">
      <c r="A2379" s="55"/>
      <c r="B2379"/>
    </row>
    <row r="2380" spans="1:2" x14ac:dyDescent="0.45">
      <c r="A2380" s="55"/>
      <c r="B2380"/>
    </row>
    <row r="2381" spans="1:2" x14ac:dyDescent="0.45">
      <c r="A2381" s="55"/>
      <c r="B2381"/>
    </row>
    <row r="2382" spans="1:2" x14ac:dyDescent="0.45">
      <c r="A2382" s="55"/>
      <c r="B2382"/>
    </row>
    <row r="2383" spans="1:2" x14ac:dyDescent="0.45">
      <c r="A2383" s="55"/>
      <c r="B2383"/>
    </row>
    <row r="2384" spans="1:2" x14ac:dyDescent="0.45">
      <c r="A2384" s="55"/>
      <c r="B2384"/>
    </row>
    <row r="2385" spans="1:2" x14ac:dyDescent="0.45">
      <c r="A2385" s="55"/>
      <c r="B2385"/>
    </row>
    <row r="2386" spans="1:2" x14ac:dyDescent="0.45">
      <c r="A2386" s="55"/>
      <c r="B2386"/>
    </row>
    <row r="2387" spans="1:2" x14ac:dyDescent="0.45">
      <c r="A2387" s="55"/>
      <c r="B2387"/>
    </row>
    <row r="2388" spans="1:2" x14ac:dyDescent="0.45">
      <c r="A2388" s="55"/>
      <c r="B2388"/>
    </row>
    <row r="2389" spans="1:2" x14ac:dyDescent="0.45">
      <c r="A2389" s="55"/>
      <c r="B2389"/>
    </row>
    <row r="2390" spans="1:2" x14ac:dyDescent="0.45">
      <c r="A2390" s="55"/>
      <c r="B2390"/>
    </row>
    <row r="2391" spans="1:2" x14ac:dyDescent="0.45">
      <c r="A2391" s="55"/>
      <c r="B2391"/>
    </row>
    <row r="2392" spans="1:2" x14ac:dyDescent="0.45">
      <c r="A2392" s="55"/>
      <c r="B2392"/>
    </row>
    <row r="2393" spans="1:2" x14ac:dyDescent="0.45">
      <c r="A2393" s="55"/>
      <c r="B2393"/>
    </row>
    <row r="2394" spans="1:2" x14ac:dyDescent="0.45">
      <c r="A2394" s="55"/>
      <c r="B2394"/>
    </row>
    <row r="2395" spans="1:2" x14ac:dyDescent="0.45">
      <c r="A2395" s="55"/>
      <c r="B2395"/>
    </row>
    <row r="2396" spans="1:2" x14ac:dyDescent="0.45">
      <c r="A2396" s="55"/>
      <c r="B2396"/>
    </row>
    <row r="2397" spans="1:2" x14ac:dyDescent="0.45">
      <c r="A2397" s="55"/>
      <c r="B2397"/>
    </row>
    <row r="2398" spans="1:2" x14ac:dyDescent="0.45">
      <c r="A2398" s="55"/>
      <c r="B2398"/>
    </row>
    <row r="2399" spans="1:2" x14ac:dyDescent="0.45">
      <c r="A2399" s="55"/>
      <c r="B2399"/>
    </row>
    <row r="2400" spans="1:2" x14ac:dyDescent="0.45">
      <c r="A2400" s="55"/>
      <c r="B2400"/>
    </row>
    <row r="2401" spans="1:2" x14ac:dyDescent="0.45">
      <c r="A2401" s="55"/>
      <c r="B2401"/>
    </row>
    <row r="2402" spans="1:2" x14ac:dyDescent="0.45">
      <c r="A2402" s="55"/>
      <c r="B2402"/>
    </row>
    <row r="2403" spans="1:2" x14ac:dyDescent="0.45">
      <c r="A2403" s="55"/>
      <c r="B2403"/>
    </row>
    <row r="2404" spans="1:2" x14ac:dyDescent="0.45">
      <c r="A2404" s="55"/>
      <c r="B2404"/>
    </row>
    <row r="2405" spans="1:2" x14ac:dyDescent="0.45">
      <c r="A2405" s="55"/>
      <c r="B2405"/>
    </row>
    <row r="2406" spans="1:2" x14ac:dyDescent="0.45">
      <c r="A2406" s="55"/>
      <c r="B2406"/>
    </row>
    <row r="2407" spans="1:2" x14ac:dyDescent="0.45">
      <c r="A2407" s="55"/>
      <c r="B2407"/>
    </row>
    <row r="2408" spans="1:2" x14ac:dyDescent="0.45">
      <c r="A2408" s="55"/>
      <c r="B2408"/>
    </row>
    <row r="2409" spans="1:2" x14ac:dyDescent="0.45">
      <c r="A2409" s="55"/>
      <c r="B2409"/>
    </row>
    <row r="2410" spans="1:2" x14ac:dyDescent="0.45">
      <c r="A2410" s="55"/>
      <c r="B2410"/>
    </row>
    <row r="2411" spans="1:2" x14ac:dyDescent="0.45">
      <c r="A2411" s="55"/>
      <c r="B2411"/>
    </row>
    <row r="2412" spans="1:2" x14ac:dyDescent="0.45">
      <c r="A2412" s="55"/>
      <c r="B2412"/>
    </row>
    <row r="2413" spans="1:2" x14ac:dyDescent="0.45">
      <c r="A2413" s="55"/>
      <c r="B2413"/>
    </row>
    <row r="2414" spans="1:2" x14ac:dyDescent="0.45">
      <c r="A2414" s="55"/>
      <c r="B2414"/>
    </row>
    <row r="2415" spans="1:2" x14ac:dyDescent="0.45">
      <c r="A2415" s="55"/>
      <c r="B2415"/>
    </row>
    <row r="2416" spans="1:2" x14ac:dyDescent="0.45">
      <c r="A2416" s="55"/>
      <c r="B2416"/>
    </row>
    <row r="2417" spans="1:2" x14ac:dyDescent="0.45">
      <c r="A2417" s="55"/>
      <c r="B2417"/>
    </row>
    <row r="2418" spans="1:2" x14ac:dyDescent="0.45">
      <c r="A2418" s="55"/>
      <c r="B2418"/>
    </row>
    <row r="2419" spans="1:2" x14ac:dyDescent="0.45">
      <c r="A2419" s="55"/>
      <c r="B2419"/>
    </row>
    <row r="2420" spans="1:2" x14ac:dyDescent="0.45">
      <c r="A2420" s="55"/>
      <c r="B2420"/>
    </row>
    <row r="2421" spans="1:2" x14ac:dyDescent="0.45">
      <c r="A2421" s="55"/>
      <c r="B2421"/>
    </row>
    <row r="2422" spans="1:2" x14ac:dyDescent="0.45">
      <c r="A2422" s="55"/>
      <c r="B2422"/>
    </row>
    <row r="2423" spans="1:2" x14ac:dyDescent="0.45">
      <c r="A2423" s="55"/>
      <c r="B2423"/>
    </row>
    <row r="2424" spans="1:2" x14ac:dyDescent="0.45">
      <c r="A2424" s="55"/>
      <c r="B2424"/>
    </row>
    <row r="2425" spans="1:2" x14ac:dyDescent="0.45">
      <c r="A2425" s="55"/>
      <c r="B2425"/>
    </row>
    <row r="2426" spans="1:2" x14ac:dyDescent="0.45">
      <c r="A2426" s="55"/>
      <c r="B2426"/>
    </row>
    <row r="2427" spans="1:2" x14ac:dyDescent="0.45">
      <c r="A2427" s="55"/>
      <c r="B2427"/>
    </row>
    <row r="2428" spans="1:2" x14ac:dyDescent="0.45">
      <c r="A2428" s="55"/>
      <c r="B2428"/>
    </row>
    <row r="2429" spans="1:2" x14ac:dyDescent="0.45">
      <c r="A2429" s="55"/>
      <c r="B2429"/>
    </row>
    <row r="2430" spans="1:2" x14ac:dyDescent="0.45">
      <c r="A2430" s="55"/>
      <c r="B2430"/>
    </row>
    <row r="2431" spans="1:2" x14ac:dyDescent="0.45">
      <c r="A2431" s="55"/>
      <c r="B2431"/>
    </row>
    <row r="2432" spans="1:2" x14ac:dyDescent="0.45">
      <c r="A2432" s="55"/>
      <c r="B2432"/>
    </row>
    <row r="2433" spans="1:2" x14ac:dyDescent="0.45">
      <c r="A2433" s="55"/>
      <c r="B2433"/>
    </row>
    <row r="2434" spans="1:2" x14ac:dyDescent="0.45">
      <c r="A2434" s="55"/>
      <c r="B2434"/>
    </row>
    <row r="2435" spans="1:2" x14ac:dyDescent="0.45">
      <c r="A2435" s="55"/>
      <c r="B2435"/>
    </row>
    <row r="2436" spans="1:2" x14ac:dyDescent="0.45">
      <c r="A2436" s="55"/>
      <c r="B2436"/>
    </row>
    <row r="2437" spans="1:2" x14ac:dyDescent="0.45">
      <c r="A2437" s="55"/>
      <c r="B2437"/>
    </row>
    <row r="2438" spans="1:2" x14ac:dyDescent="0.45">
      <c r="A2438" s="55"/>
      <c r="B2438"/>
    </row>
    <row r="2439" spans="1:2" x14ac:dyDescent="0.45">
      <c r="A2439" s="55"/>
      <c r="B2439"/>
    </row>
    <row r="2440" spans="1:2" x14ac:dyDescent="0.45">
      <c r="A2440" s="55"/>
      <c r="B2440"/>
    </row>
    <row r="2441" spans="1:2" x14ac:dyDescent="0.45">
      <c r="A2441" s="55"/>
      <c r="B2441"/>
    </row>
    <row r="2442" spans="1:2" x14ac:dyDescent="0.45">
      <c r="A2442" s="55"/>
      <c r="B2442"/>
    </row>
    <row r="2443" spans="1:2" x14ac:dyDescent="0.45">
      <c r="A2443" s="55"/>
      <c r="B2443"/>
    </row>
    <row r="2444" spans="1:2" x14ac:dyDescent="0.45">
      <c r="A2444" s="55"/>
      <c r="B2444"/>
    </row>
    <row r="2445" spans="1:2" x14ac:dyDescent="0.45">
      <c r="A2445" s="55"/>
      <c r="B2445"/>
    </row>
    <row r="2446" spans="1:2" x14ac:dyDescent="0.45">
      <c r="A2446" s="55"/>
      <c r="B2446"/>
    </row>
    <row r="2447" spans="1:2" x14ac:dyDescent="0.45">
      <c r="A2447" s="55"/>
      <c r="B2447"/>
    </row>
    <row r="2448" spans="1:2" x14ac:dyDescent="0.45">
      <c r="A2448" s="55"/>
      <c r="B2448"/>
    </row>
    <row r="2449" spans="1:2" x14ac:dyDescent="0.45">
      <c r="A2449" s="55"/>
      <c r="B2449"/>
    </row>
    <row r="2450" spans="1:2" x14ac:dyDescent="0.45">
      <c r="A2450" s="55"/>
      <c r="B2450"/>
    </row>
    <row r="2451" spans="1:2" x14ac:dyDescent="0.45">
      <c r="A2451" s="55"/>
      <c r="B2451"/>
    </row>
    <row r="2452" spans="1:2" x14ac:dyDescent="0.45">
      <c r="A2452" s="55"/>
      <c r="B2452"/>
    </row>
    <row r="2453" spans="1:2" x14ac:dyDescent="0.45">
      <c r="A2453" s="55"/>
      <c r="B2453"/>
    </row>
    <row r="2454" spans="1:2" x14ac:dyDescent="0.45">
      <c r="A2454" s="55"/>
      <c r="B2454"/>
    </row>
    <row r="2455" spans="1:2" x14ac:dyDescent="0.45">
      <c r="A2455" s="55"/>
      <c r="B2455"/>
    </row>
    <row r="2456" spans="1:2" x14ac:dyDescent="0.45">
      <c r="A2456" s="55"/>
      <c r="B2456"/>
    </row>
    <row r="2457" spans="1:2" x14ac:dyDescent="0.45">
      <c r="A2457" s="55"/>
      <c r="B2457"/>
    </row>
    <row r="2458" spans="1:2" x14ac:dyDescent="0.45">
      <c r="A2458" s="55"/>
      <c r="B2458"/>
    </row>
    <row r="2459" spans="1:2" x14ac:dyDescent="0.45">
      <c r="A2459" s="55"/>
      <c r="B2459"/>
    </row>
    <row r="2460" spans="1:2" x14ac:dyDescent="0.45">
      <c r="A2460" s="55"/>
      <c r="B2460"/>
    </row>
    <row r="2461" spans="1:2" x14ac:dyDescent="0.45">
      <c r="A2461" s="55"/>
      <c r="B2461"/>
    </row>
    <row r="2462" spans="1:2" x14ac:dyDescent="0.45">
      <c r="A2462" s="55"/>
      <c r="B2462"/>
    </row>
    <row r="2463" spans="1:2" x14ac:dyDescent="0.45">
      <c r="A2463" s="55"/>
      <c r="B2463"/>
    </row>
    <row r="2464" spans="1:2" x14ac:dyDescent="0.45">
      <c r="A2464" s="55"/>
      <c r="B2464"/>
    </row>
    <row r="2465" spans="1:2" x14ac:dyDescent="0.45">
      <c r="A2465" s="55"/>
      <c r="B2465"/>
    </row>
    <row r="2466" spans="1:2" x14ac:dyDescent="0.45">
      <c r="A2466" s="55"/>
      <c r="B2466"/>
    </row>
    <row r="2467" spans="1:2" x14ac:dyDescent="0.45">
      <c r="A2467" s="55"/>
      <c r="B2467"/>
    </row>
    <row r="2468" spans="1:2" x14ac:dyDescent="0.45">
      <c r="A2468" s="55"/>
      <c r="B2468"/>
    </row>
    <row r="2469" spans="1:2" x14ac:dyDescent="0.45">
      <c r="A2469" s="55"/>
      <c r="B2469"/>
    </row>
    <row r="2470" spans="1:2" x14ac:dyDescent="0.45">
      <c r="A2470" s="55"/>
      <c r="B2470"/>
    </row>
    <row r="2471" spans="1:2" x14ac:dyDescent="0.45">
      <c r="A2471" s="55"/>
      <c r="B2471"/>
    </row>
    <row r="2472" spans="1:2" x14ac:dyDescent="0.45">
      <c r="A2472" s="55"/>
      <c r="B2472"/>
    </row>
    <row r="2473" spans="1:2" x14ac:dyDescent="0.45">
      <c r="A2473" s="55"/>
      <c r="B2473"/>
    </row>
    <row r="2474" spans="1:2" x14ac:dyDescent="0.45">
      <c r="A2474" s="55"/>
      <c r="B2474"/>
    </row>
    <row r="2475" spans="1:2" x14ac:dyDescent="0.45">
      <c r="A2475" s="55"/>
      <c r="B2475"/>
    </row>
    <row r="2476" spans="1:2" x14ac:dyDescent="0.45">
      <c r="A2476" s="55"/>
      <c r="B2476"/>
    </row>
    <row r="2477" spans="1:2" x14ac:dyDescent="0.45">
      <c r="A2477" s="55"/>
      <c r="B2477"/>
    </row>
    <row r="2478" spans="1:2" x14ac:dyDescent="0.45">
      <c r="A2478" s="55"/>
      <c r="B2478"/>
    </row>
    <row r="2479" spans="1:2" x14ac:dyDescent="0.45">
      <c r="A2479" s="55"/>
      <c r="B2479"/>
    </row>
    <row r="2480" spans="1:2" x14ac:dyDescent="0.45">
      <c r="A2480" s="55"/>
      <c r="B2480"/>
    </row>
    <row r="2481" spans="1:2" x14ac:dyDescent="0.45">
      <c r="A2481" s="55"/>
      <c r="B2481"/>
    </row>
    <row r="2482" spans="1:2" x14ac:dyDescent="0.45">
      <c r="A2482" s="55"/>
      <c r="B2482"/>
    </row>
    <row r="2483" spans="1:2" x14ac:dyDescent="0.45">
      <c r="A2483" s="55"/>
      <c r="B2483"/>
    </row>
    <row r="2484" spans="1:2" x14ac:dyDescent="0.45">
      <c r="A2484" s="55"/>
      <c r="B2484"/>
    </row>
    <row r="2485" spans="1:2" x14ac:dyDescent="0.45">
      <c r="A2485" s="55"/>
      <c r="B2485"/>
    </row>
    <row r="2486" spans="1:2" x14ac:dyDescent="0.45">
      <c r="A2486" s="55"/>
      <c r="B2486"/>
    </row>
    <row r="2487" spans="1:2" x14ac:dyDescent="0.45">
      <c r="A2487" s="55"/>
      <c r="B2487"/>
    </row>
    <row r="2488" spans="1:2" x14ac:dyDescent="0.45">
      <c r="A2488" s="55"/>
      <c r="B2488"/>
    </row>
    <row r="2489" spans="1:2" x14ac:dyDescent="0.45">
      <c r="A2489" s="55"/>
      <c r="B2489"/>
    </row>
    <row r="2490" spans="1:2" x14ac:dyDescent="0.45">
      <c r="A2490" s="55"/>
      <c r="B2490"/>
    </row>
    <row r="2491" spans="1:2" x14ac:dyDescent="0.45">
      <c r="A2491" s="55"/>
      <c r="B2491"/>
    </row>
    <row r="2492" spans="1:2" x14ac:dyDescent="0.45">
      <c r="A2492" s="55"/>
      <c r="B2492"/>
    </row>
    <row r="2493" spans="1:2" x14ac:dyDescent="0.45">
      <c r="A2493" s="55"/>
      <c r="B2493"/>
    </row>
    <row r="2494" spans="1:2" x14ac:dyDescent="0.45">
      <c r="A2494" s="55"/>
      <c r="B2494"/>
    </row>
    <row r="2495" spans="1:2" x14ac:dyDescent="0.45">
      <c r="A2495" s="55"/>
      <c r="B2495"/>
    </row>
    <row r="2496" spans="1:2" x14ac:dyDescent="0.45">
      <c r="A2496" s="55"/>
      <c r="B2496"/>
    </row>
    <row r="2497" spans="1:2" x14ac:dyDescent="0.45">
      <c r="A2497" s="55"/>
      <c r="B2497"/>
    </row>
    <row r="2498" spans="1:2" x14ac:dyDescent="0.45">
      <c r="A2498" s="55"/>
      <c r="B2498"/>
    </row>
    <row r="2499" spans="1:2" x14ac:dyDescent="0.45">
      <c r="A2499" s="55"/>
      <c r="B2499"/>
    </row>
    <row r="2500" spans="1:2" x14ac:dyDescent="0.45">
      <c r="A2500" s="55"/>
      <c r="B2500"/>
    </row>
    <row r="2501" spans="1:2" x14ac:dyDescent="0.45">
      <c r="A2501" s="55"/>
      <c r="B2501"/>
    </row>
    <row r="2502" spans="1:2" x14ac:dyDescent="0.45">
      <c r="A2502" s="55"/>
      <c r="B2502"/>
    </row>
    <row r="2503" spans="1:2" x14ac:dyDescent="0.45">
      <c r="A2503" s="55"/>
      <c r="B2503"/>
    </row>
    <row r="2504" spans="1:2" x14ac:dyDescent="0.45">
      <c r="A2504" s="55"/>
      <c r="B2504"/>
    </row>
    <row r="2505" spans="1:2" x14ac:dyDescent="0.45">
      <c r="A2505" s="55"/>
      <c r="B2505"/>
    </row>
    <row r="2506" spans="1:2" x14ac:dyDescent="0.45">
      <c r="A2506" s="55"/>
      <c r="B2506"/>
    </row>
    <row r="2507" spans="1:2" x14ac:dyDescent="0.45">
      <c r="A2507" s="55"/>
      <c r="B2507"/>
    </row>
    <row r="2508" spans="1:2" x14ac:dyDescent="0.45">
      <c r="A2508" s="55"/>
      <c r="B2508"/>
    </row>
    <row r="2509" spans="1:2" x14ac:dyDescent="0.45">
      <c r="A2509" s="55"/>
      <c r="B2509"/>
    </row>
    <row r="2510" spans="1:2" x14ac:dyDescent="0.45">
      <c r="A2510" s="55"/>
      <c r="B2510"/>
    </row>
    <row r="2511" spans="1:2" x14ac:dyDescent="0.45">
      <c r="A2511" s="55"/>
      <c r="B2511"/>
    </row>
    <row r="2512" spans="1:2" x14ac:dyDescent="0.45">
      <c r="A2512" s="55"/>
      <c r="B2512"/>
    </row>
    <row r="2513" spans="1:2" x14ac:dyDescent="0.45">
      <c r="A2513" s="55"/>
      <c r="B2513"/>
    </row>
    <row r="2514" spans="1:2" x14ac:dyDescent="0.45">
      <c r="A2514" s="55"/>
      <c r="B2514"/>
    </row>
    <row r="2515" spans="1:2" x14ac:dyDescent="0.45">
      <c r="A2515" s="55"/>
      <c r="B2515"/>
    </row>
    <row r="2516" spans="1:2" x14ac:dyDescent="0.45">
      <c r="A2516" s="55"/>
      <c r="B2516"/>
    </row>
  </sheetData>
  <sortState xmlns:xlrd2="http://schemas.microsoft.com/office/spreadsheetml/2017/richdata2" ref="A7:B99">
    <sortCondition descending="1" ref="B8"/>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A77BC-0AFC-4A0F-AF57-4CBA7725439A}">
  <dimension ref="A1:CS49"/>
  <sheetViews>
    <sheetView topLeftCell="E1" zoomScale="55" zoomScaleNormal="55" workbookViewId="0">
      <selection activeCell="E10" sqref="E10"/>
    </sheetView>
  </sheetViews>
  <sheetFormatPr defaultColWidth="20.54296875" defaultRowHeight="14.5" x14ac:dyDescent="0.35"/>
  <cols>
    <col min="1" max="1" width="31.1796875" style="48" bestFit="1" customWidth="1"/>
    <col min="2" max="2" width="21.26953125" style="48" bestFit="1" customWidth="1"/>
    <col min="3" max="3" width="16.08984375" style="48" bestFit="1" customWidth="1"/>
    <col min="4" max="4" width="21.453125" style="48" bestFit="1" customWidth="1"/>
    <col min="5" max="5" width="35.7265625" style="48" bestFit="1" customWidth="1"/>
    <col min="6" max="6" width="22.36328125" style="48" bestFit="1" customWidth="1"/>
    <col min="7" max="7" width="19" style="48" bestFit="1" customWidth="1"/>
    <col min="8" max="8" width="19.36328125" style="48" bestFit="1" customWidth="1"/>
    <col min="9" max="9" width="17.36328125" style="48" bestFit="1" customWidth="1"/>
    <col min="10" max="10" width="18.54296875" style="48" bestFit="1" customWidth="1"/>
    <col min="11" max="11" width="19.6328125" style="48" bestFit="1" customWidth="1"/>
    <col min="12" max="12" width="17.453125" style="48" bestFit="1" customWidth="1"/>
    <col min="13" max="13" width="23.7265625" style="48" bestFit="1" customWidth="1"/>
    <col min="14" max="14" width="17.7265625" style="48" bestFit="1" customWidth="1"/>
    <col min="15" max="15" width="51.1796875" style="48" bestFit="1" customWidth="1"/>
    <col min="16" max="16" width="18.1796875" style="48" bestFit="1" customWidth="1"/>
    <col min="17" max="17" width="19.08984375" style="48" bestFit="1" customWidth="1"/>
    <col min="18" max="18" width="30.36328125" style="48" bestFit="1" customWidth="1"/>
    <col min="19" max="19" width="25.81640625" style="48" bestFit="1" customWidth="1"/>
    <col min="20" max="20" width="18.26953125" style="48" bestFit="1" customWidth="1"/>
    <col min="21" max="21" width="73.36328125" style="48" bestFit="1" customWidth="1"/>
    <col min="22" max="22" width="24.90625" style="48" bestFit="1" customWidth="1"/>
    <col min="23" max="23" width="47.7265625" style="48" bestFit="1" customWidth="1"/>
    <col min="24" max="24" width="61.1796875" style="48" bestFit="1" customWidth="1"/>
    <col min="25" max="25" width="33.36328125" style="48" bestFit="1" customWidth="1"/>
    <col min="26" max="26" width="28.453125" style="48" bestFit="1" customWidth="1"/>
    <col min="27" max="27" width="26.81640625" style="48" bestFit="1" customWidth="1"/>
    <col min="28" max="28" width="28.08984375" style="48" bestFit="1" customWidth="1"/>
    <col min="29" max="29" width="39.453125" style="48" bestFit="1" customWidth="1"/>
    <col min="30" max="30" width="32.26953125" style="48" bestFit="1" customWidth="1"/>
    <col min="31" max="31" width="29.7265625" style="48" bestFit="1" customWidth="1"/>
    <col min="32" max="32" width="41.90625" style="48" bestFit="1" customWidth="1"/>
    <col min="33" max="33" width="40.453125" style="48" bestFit="1" customWidth="1"/>
    <col min="34" max="34" width="56.90625" style="48" bestFit="1" customWidth="1"/>
    <col min="35" max="35" width="59" style="48" bestFit="1" customWidth="1"/>
    <col min="36" max="36" width="50.26953125" style="48" bestFit="1" customWidth="1"/>
    <col min="37" max="37" width="26.36328125" style="48" bestFit="1" customWidth="1"/>
    <col min="38" max="38" width="41.7265625" style="48" bestFit="1" customWidth="1"/>
    <col min="39" max="39" width="53.36328125" style="48" bestFit="1" customWidth="1"/>
    <col min="40" max="40" width="43.90625" style="48" bestFit="1" customWidth="1"/>
    <col min="41" max="41" width="54.54296875" style="48" bestFit="1" customWidth="1"/>
    <col min="42" max="42" width="49.08984375" style="48" bestFit="1" customWidth="1"/>
    <col min="43" max="43" width="40.81640625" style="48" bestFit="1" customWidth="1"/>
    <col min="44" max="44" width="65.08984375" style="48" bestFit="1" customWidth="1"/>
    <col min="45" max="45" width="51.81640625" style="48" bestFit="1" customWidth="1"/>
    <col min="46" max="46" width="59.26953125" style="48" bestFit="1" customWidth="1"/>
    <col min="47" max="47" width="57.453125" style="48" bestFit="1" customWidth="1"/>
    <col min="48" max="48" width="52.81640625" style="48" bestFit="1" customWidth="1"/>
    <col min="49" max="49" width="45.90625" style="48" bestFit="1" customWidth="1"/>
    <col min="50" max="50" width="43.26953125" style="48" bestFit="1" customWidth="1"/>
    <col min="51" max="51" width="51.36328125" style="48" bestFit="1" customWidth="1"/>
    <col min="52" max="52" width="23.81640625" style="48" bestFit="1" customWidth="1"/>
    <col min="53" max="53" width="21.81640625" style="48" bestFit="1" customWidth="1"/>
    <col min="54" max="54" width="30.54296875" style="48" bestFit="1" customWidth="1"/>
    <col min="55" max="55" width="26.08984375" style="48" bestFit="1" customWidth="1"/>
    <col min="56" max="56" width="18.36328125" style="48" bestFit="1" customWidth="1"/>
    <col min="57" max="57" width="38.6328125" style="48" bestFit="1" customWidth="1"/>
    <col min="58" max="58" width="97.26953125" style="48" bestFit="1" customWidth="1"/>
    <col min="59" max="59" width="78.6328125" style="48" bestFit="1" customWidth="1"/>
    <col min="60" max="60" width="63.54296875" style="48" bestFit="1" customWidth="1"/>
    <col min="61" max="61" width="139.453125" style="48" bestFit="1" customWidth="1"/>
    <col min="62" max="62" width="73.453125" style="48" bestFit="1" customWidth="1"/>
    <col min="63" max="63" width="72.81640625" style="48" bestFit="1" customWidth="1"/>
    <col min="64" max="64" width="137.36328125" style="48" bestFit="1" customWidth="1"/>
    <col min="65" max="65" width="46.54296875" style="48" bestFit="1" customWidth="1"/>
    <col min="66" max="66" width="61.08984375" style="48" bestFit="1" customWidth="1"/>
    <col min="67" max="67" width="81.453125" style="48" bestFit="1" customWidth="1"/>
    <col min="68" max="68" width="81.81640625" style="48" bestFit="1" customWidth="1"/>
    <col min="69" max="69" width="47.453125" style="48" bestFit="1" customWidth="1"/>
    <col min="70" max="70" width="66.1796875" style="48" bestFit="1" customWidth="1"/>
    <col min="71" max="71" width="65.08984375" style="48" bestFit="1" customWidth="1"/>
    <col min="72" max="72" width="225" style="48" bestFit="1" customWidth="1"/>
    <col min="73" max="73" width="25" style="48" bestFit="1" customWidth="1"/>
    <col min="74" max="74" width="68.6328125" style="48" bestFit="1" customWidth="1"/>
    <col min="75" max="75" width="46.26953125" style="48" bestFit="1" customWidth="1"/>
    <col min="76" max="76" width="123.36328125" style="48" bestFit="1" customWidth="1"/>
    <col min="77" max="77" width="49.1796875" style="48" bestFit="1" customWidth="1"/>
    <col min="78" max="78" width="88.453125" style="48" bestFit="1" customWidth="1"/>
    <col min="79" max="79" width="80.81640625" style="48" bestFit="1" customWidth="1"/>
    <col min="80" max="80" width="255.6328125" style="48" bestFit="1" customWidth="1"/>
    <col min="81" max="81" width="148.81640625" style="48" bestFit="1" customWidth="1"/>
    <col min="82" max="82" width="88.1796875" style="48" bestFit="1" customWidth="1"/>
    <col min="83" max="83" width="113.26953125" style="48" bestFit="1" customWidth="1"/>
    <col min="84" max="84" width="47.7265625" style="48" bestFit="1" customWidth="1"/>
    <col min="85" max="85" width="50.453125" style="48" bestFit="1" customWidth="1"/>
    <col min="86" max="86" width="108.36328125" style="48" bestFit="1" customWidth="1"/>
    <col min="87" max="87" width="62.26953125" style="48" bestFit="1" customWidth="1"/>
    <col min="88" max="88" width="107.54296875" style="48" bestFit="1" customWidth="1"/>
    <col min="89" max="89" width="55.08984375" style="48" bestFit="1" customWidth="1"/>
    <col min="90" max="90" width="33.26953125" style="48" bestFit="1" customWidth="1"/>
    <col min="91" max="91" width="87" style="48" bestFit="1" customWidth="1"/>
    <col min="92" max="92" width="87.1796875" style="48" bestFit="1" customWidth="1"/>
    <col min="93" max="93" width="86.6328125" style="48" bestFit="1" customWidth="1"/>
    <col min="94" max="94" width="146.7265625" style="48" bestFit="1" customWidth="1"/>
    <col min="95" max="95" width="89.54296875" style="48" bestFit="1" customWidth="1"/>
    <col min="96" max="96" width="61.26953125" style="48" bestFit="1" customWidth="1"/>
    <col min="97" max="97" width="212" style="48" bestFit="1" customWidth="1"/>
    <col min="98" max="16384" width="20.54296875" style="48"/>
  </cols>
  <sheetData>
    <row r="1" spans="1:97" x14ac:dyDescent="0.35">
      <c r="A1"/>
      <c r="B1"/>
    </row>
    <row r="2" spans="1:97" x14ac:dyDescent="0.35">
      <c r="A2" s="102" t="s">
        <v>2068</v>
      </c>
      <c r="B2" s="48" t="s">
        <v>2067</v>
      </c>
    </row>
    <row r="4" spans="1:97" s="101" customFormat="1" ht="67.5" customHeight="1" x14ac:dyDescent="0.35">
      <c r="A4" s="100" t="s">
        <v>2083</v>
      </c>
      <c r="B4" s="101" t="s">
        <v>2284</v>
      </c>
      <c r="C4" s="101" t="s">
        <v>2285</v>
      </c>
      <c r="D4" s="101" t="s">
        <v>2286</v>
      </c>
      <c r="E4" s="101" t="s">
        <v>2287</v>
      </c>
      <c r="F4" s="101" t="s">
        <v>2288</v>
      </c>
      <c r="G4" s="101" t="s">
        <v>2289</v>
      </c>
      <c r="H4" s="101" t="s">
        <v>2290</v>
      </c>
      <c r="I4" s="101" t="s">
        <v>2291</v>
      </c>
      <c r="J4" s="101" t="s">
        <v>2292</v>
      </c>
      <c r="K4" s="101" t="s">
        <v>2293</v>
      </c>
      <c r="L4" s="101" t="s">
        <v>2294</v>
      </c>
      <c r="M4" s="101" t="s">
        <v>2295</v>
      </c>
      <c r="N4" s="101" t="s">
        <v>2296</v>
      </c>
      <c r="O4" s="101" t="s">
        <v>2297</v>
      </c>
      <c r="P4" s="101" t="s">
        <v>2298</v>
      </c>
      <c r="Q4" s="101" t="s">
        <v>2299</v>
      </c>
      <c r="R4" s="101" t="s">
        <v>2300</v>
      </c>
      <c r="S4" s="101" t="s">
        <v>2301</v>
      </c>
      <c r="T4" s="101" t="s">
        <v>2302</v>
      </c>
      <c r="U4" s="48" t="s">
        <v>2465</v>
      </c>
      <c r="V4" s="48" t="s">
        <v>2466</v>
      </c>
      <c r="W4" s="48" t="s">
        <v>2467</v>
      </c>
      <c r="X4" s="48" t="s">
        <v>2468</v>
      </c>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row>
    <row r="5" spans="1:97" x14ac:dyDescent="0.35">
      <c r="A5" s="48" t="s">
        <v>447</v>
      </c>
      <c r="B5" s="48">
        <v>0</v>
      </c>
      <c r="C5" s="48">
        <v>0</v>
      </c>
      <c r="D5" s="48">
        <v>0</v>
      </c>
      <c r="E5" s="48">
        <v>0</v>
      </c>
      <c r="F5" s="48">
        <v>0</v>
      </c>
      <c r="G5" s="48">
        <v>0</v>
      </c>
      <c r="H5" s="48">
        <v>0</v>
      </c>
      <c r="I5" s="48">
        <v>0</v>
      </c>
      <c r="J5" s="48">
        <v>0</v>
      </c>
      <c r="K5" s="48">
        <v>0</v>
      </c>
      <c r="L5" s="48">
        <v>0</v>
      </c>
      <c r="M5" s="48">
        <v>0</v>
      </c>
      <c r="N5" s="48">
        <v>0</v>
      </c>
      <c r="O5" s="48">
        <v>0</v>
      </c>
      <c r="P5" s="48">
        <v>0</v>
      </c>
      <c r="Q5" s="48">
        <v>0</v>
      </c>
      <c r="R5" s="48">
        <v>0</v>
      </c>
      <c r="S5" s="48">
        <v>0</v>
      </c>
      <c r="T5" s="48">
        <v>0</v>
      </c>
      <c r="U5" s="48">
        <v>0</v>
      </c>
      <c r="V5" s="48">
        <v>0</v>
      </c>
      <c r="W5" s="48">
        <v>0</v>
      </c>
      <c r="X5" s="48">
        <v>0</v>
      </c>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row>
    <row r="6" spans="1:97" x14ac:dyDescent="0.35">
      <c r="A6" s="103" t="s">
        <v>964</v>
      </c>
      <c r="B6" s="48">
        <v>0</v>
      </c>
      <c r="C6" s="48">
        <v>0</v>
      </c>
      <c r="D6" s="48">
        <v>0</v>
      </c>
      <c r="E6" s="48">
        <v>0</v>
      </c>
      <c r="F6" s="48">
        <v>0</v>
      </c>
      <c r="G6" s="48">
        <v>0</v>
      </c>
      <c r="H6" s="48">
        <v>0</v>
      </c>
      <c r="I6" s="48">
        <v>0</v>
      </c>
      <c r="J6" s="48">
        <v>0</v>
      </c>
      <c r="K6" s="48">
        <v>0</v>
      </c>
      <c r="L6" s="48">
        <v>0</v>
      </c>
      <c r="M6" s="48">
        <v>0</v>
      </c>
      <c r="N6" s="48">
        <v>0</v>
      </c>
      <c r="O6" s="48">
        <v>0</v>
      </c>
      <c r="P6" s="48">
        <v>0</v>
      </c>
      <c r="Q6" s="48">
        <v>0</v>
      </c>
      <c r="R6" s="48">
        <v>0</v>
      </c>
      <c r="S6" s="48">
        <v>0</v>
      </c>
      <c r="T6" s="48">
        <v>0</v>
      </c>
      <c r="U6" s="48">
        <v>0</v>
      </c>
      <c r="V6" s="48">
        <v>0</v>
      </c>
      <c r="W6" s="48">
        <v>0</v>
      </c>
      <c r="X6" s="48">
        <v>0</v>
      </c>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row>
    <row r="7" spans="1:97" x14ac:dyDescent="0.35">
      <c r="A7" s="103" t="s">
        <v>958</v>
      </c>
      <c r="B7" s="48">
        <v>0</v>
      </c>
      <c r="C7" s="48">
        <v>0</v>
      </c>
      <c r="D7" s="48">
        <v>0</v>
      </c>
      <c r="E7" s="48">
        <v>0</v>
      </c>
      <c r="F7" s="48">
        <v>0</v>
      </c>
      <c r="G7" s="48">
        <v>0</v>
      </c>
      <c r="H7" s="48">
        <v>0</v>
      </c>
      <c r="I7" s="48">
        <v>0</v>
      </c>
      <c r="J7" s="48">
        <v>0</v>
      </c>
      <c r="K7" s="48">
        <v>0</v>
      </c>
      <c r="L7" s="48">
        <v>0</v>
      </c>
      <c r="M7" s="48">
        <v>0</v>
      </c>
      <c r="N7" s="48">
        <v>0</v>
      </c>
      <c r="O7" s="48">
        <v>0</v>
      </c>
      <c r="P7" s="48">
        <v>0</v>
      </c>
      <c r="Q7" s="48">
        <v>0</v>
      </c>
      <c r="R7" s="48">
        <v>0</v>
      </c>
      <c r="S7" s="48">
        <v>0</v>
      </c>
      <c r="T7" s="48">
        <v>0</v>
      </c>
      <c r="U7" s="48">
        <v>0</v>
      </c>
      <c r="V7" s="48">
        <v>0</v>
      </c>
      <c r="W7" s="48">
        <v>0</v>
      </c>
      <c r="X7" s="48">
        <v>0</v>
      </c>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row>
    <row r="8" spans="1:97" x14ac:dyDescent="0.35">
      <c r="A8" s="103" t="s">
        <v>994</v>
      </c>
      <c r="B8" s="48">
        <v>0</v>
      </c>
      <c r="C8" s="48">
        <v>0</v>
      </c>
      <c r="D8" s="48">
        <v>0</v>
      </c>
      <c r="E8" s="48">
        <v>0</v>
      </c>
      <c r="F8" s="48">
        <v>0</v>
      </c>
      <c r="G8" s="48">
        <v>0</v>
      </c>
      <c r="H8" s="48">
        <v>0</v>
      </c>
      <c r="I8" s="48">
        <v>0</v>
      </c>
      <c r="J8" s="48">
        <v>0</v>
      </c>
      <c r="K8" s="48">
        <v>0</v>
      </c>
      <c r="L8" s="48">
        <v>0</v>
      </c>
      <c r="M8" s="48">
        <v>0</v>
      </c>
      <c r="N8" s="48">
        <v>0</v>
      </c>
      <c r="O8" s="48">
        <v>0</v>
      </c>
      <c r="P8" s="48">
        <v>0</v>
      </c>
      <c r="Q8" s="48">
        <v>0</v>
      </c>
      <c r="R8" s="48">
        <v>0</v>
      </c>
      <c r="S8" s="48">
        <v>0</v>
      </c>
      <c r="T8" s="48">
        <v>0</v>
      </c>
      <c r="U8" s="48">
        <v>0</v>
      </c>
      <c r="V8" s="48">
        <v>0</v>
      </c>
      <c r="W8" s="48">
        <v>0</v>
      </c>
      <c r="X8" s="48">
        <v>0</v>
      </c>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row>
    <row r="9" spans="1:97" x14ac:dyDescent="0.35">
      <c r="A9" s="103" t="s">
        <v>979</v>
      </c>
      <c r="B9" s="48">
        <v>0</v>
      </c>
      <c r="C9" s="48">
        <v>0</v>
      </c>
      <c r="D9" s="48">
        <v>0</v>
      </c>
      <c r="E9" s="48">
        <v>0</v>
      </c>
      <c r="F9" s="48">
        <v>0</v>
      </c>
      <c r="G9" s="48">
        <v>0</v>
      </c>
      <c r="H9" s="48">
        <v>0</v>
      </c>
      <c r="I9" s="48">
        <v>0</v>
      </c>
      <c r="J9" s="48">
        <v>0</v>
      </c>
      <c r="K9" s="48">
        <v>0</v>
      </c>
      <c r="L9" s="48">
        <v>0</v>
      </c>
      <c r="M9" s="48">
        <v>0</v>
      </c>
      <c r="N9" s="48">
        <v>0</v>
      </c>
      <c r="O9" s="48">
        <v>0</v>
      </c>
      <c r="P9" s="48">
        <v>0</v>
      </c>
      <c r="Q9" s="48">
        <v>0</v>
      </c>
      <c r="R9" s="48">
        <v>0</v>
      </c>
      <c r="S9" s="48">
        <v>0</v>
      </c>
      <c r="T9" s="48">
        <v>0</v>
      </c>
      <c r="U9" s="48">
        <v>0</v>
      </c>
      <c r="V9" s="48">
        <v>0</v>
      </c>
      <c r="W9" s="48">
        <v>0</v>
      </c>
      <c r="X9" s="48">
        <v>0</v>
      </c>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row>
    <row r="10" spans="1:97" x14ac:dyDescent="0.35">
      <c r="A10" s="48" t="s">
        <v>1489</v>
      </c>
      <c r="B10" s="48">
        <v>0</v>
      </c>
      <c r="C10" s="48">
        <v>0</v>
      </c>
      <c r="D10" s="48">
        <v>0</v>
      </c>
      <c r="E10" s="48">
        <v>0</v>
      </c>
      <c r="F10" s="48">
        <v>0</v>
      </c>
      <c r="G10" s="48">
        <v>0</v>
      </c>
      <c r="H10" s="48">
        <v>0</v>
      </c>
      <c r="I10" s="48">
        <v>0</v>
      </c>
      <c r="J10" s="48">
        <v>0</v>
      </c>
      <c r="K10" s="48">
        <v>0</v>
      </c>
      <c r="L10" s="48">
        <v>0</v>
      </c>
      <c r="M10" s="48">
        <v>0</v>
      </c>
      <c r="N10" s="48">
        <v>0</v>
      </c>
      <c r="O10" s="48">
        <v>0</v>
      </c>
      <c r="P10" s="48">
        <v>0</v>
      </c>
      <c r="Q10" s="48">
        <v>0</v>
      </c>
      <c r="R10" s="48">
        <v>0</v>
      </c>
      <c r="S10" s="48">
        <v>0</v>
      </c>
      <c r="T10" s="48">
        <v>0</v>
      </c>
      <c r="U10" s="48">
        <v>0</v>
      </c>
      <c r="V10" s="48">
        <v>0</v>
      </c>
      <c r="W10" s="48">
        <v>0</v>
      </c>
      <c r="X10" s="48">
        <v>0</v>
      </c>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row>
    <row r="11" spans="1:97" x14ac:dyDescent="0.35">
      <c r="A11" s="103" t="s">
        <v>1909</v>
      </c>
      <c r="B11" s="48">
        <v>0</v>
      </c>
      <c r="C11" s="48">
        <v>0</v>
      </c>
      <c r="D11" s="48">
        <v>0</v>
      </c>
      <c r="E11" s="48">
        <v>0</v>
      </c>
      <c r="F11" s="48">
        <v>0</v>
      </c>
      <c r="G11" s="48">
        <v>0</v>
      </c>
      <c r="H11" s="48">
        <v>0</v>
      </c>
      <c r="I11" s="48">
        <v>0</v>
      </c>
      <c r="J11" s="48">
        <v>0</v>
      </c>
      <c r="K11" s="48">
        <v>0</v>
      </c>
      <c r="L11" s="48">
        <v>0</v>
      </c>
      <c r="M11" s="48">
        <v>0</v>
      </c>
      <c r="N11" s="48">
        <v>0</v>
      </c>
      <c r="O11" s="48">
        <v>0</v>
      </c>
      <c r="P11" s="48">
        <v>0</v>
      </c>
      <c r="Q11" s="48">
        <v>0</v>
      </c>
      <c r="R11" s="48">
        <v>0</v>
      </c>
      <c r="S11" s="48">
        <v>0</v>
      </c>
      <c r="T11" s="48">
        <v>0</v>
      </c>
      <c r="U11" s="48">
        <v>0</v>
      </c>
      <c r="V11" s="48">
        <v>0</v>
      </c>
      <c r="W11" s="48">
        <v>0</v>
      </c>
      <c r="X11" s="48">
        <v>0</v>
      </c>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row>
    <row r="12" spans="1:97" x14ac:dyDescent="0.35">
      <c r="A12" s="103" t="s">
        <v>1930</v>
      </c>
      <c r="B12" s="48">
        <v>0</v>
      </c>
      <c r="C12" s="48">
        <v>0</v>
      </c>
      <c r="D12" s="48">
        <v>0</v>
      </c>
      <c r="E12" s="48">
        <v>0</v>
      </c>
      <c r="F12" s="48">
        <v>0</v>
      </c>
      <c r="G12" s="48">
        <v>0</v>
      </c>
      <c r="H12" s="48">
        <v>0</v>
      </c>
      <c r="I12" s="48">
        <v>0</v>
      </c>
      <c r="J12" s="48">
        <v>0</v>
      </c>
      <c r="K12" s="48">
        <v>0</v>
      </c>
      <c r="L12" s="48">
        <v>0</v>
      </c>
      <c r="M12" s="48">
        <v>0</v>
      </c>
      <c r="N12" s="48">
        <v>0</v>
      </c>
      <c r="O12" s="48">
        <v>0</v>
      </c>
      <c r="P12" s="48">
        <v>0</v>
      </c>
      <c r="Q12" s="48">
        <v>0</v>
      </c>
      <c r="R12" s="48">
        <v>0</v>
      </c>
      <c r="S12" s="48">
        <v>0</v>
      </c>
      <c r="T12" s="48">
        <v>0</v>
      </c>
      <c r="U12" s="48">
        <v>0</v>
      </c>
      <c r="V12" s="48">
        <v>0</v>
      </c>
      <c r="W12" s="48">
        <v>0</v>
      </c>
      <c r="X12" s="48">
        <v>0</v>
      </c>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row>
    <row r="13" spans="1:97" x14ac:dyDescent="0.35">
      <c r="A13" s="103" t="s">
        <v>1951</v>
      </c>
      <c r="B13" s="48">
        <v>0</v>
      </c>
      <c r="C13" s="48">
        <v>0</v>
      </c>
      <c r="D13" s="48">
        <v>0</v>
      </c>
      <c r="E13" s="48">
        <v>0</v>
      </c>
      <c r="F13" s="48">
        <v>0</v>
      </c>
      <c r="G13" s="48">
        <v>0</v>
      </c>
      <c r="H13" s="48">
        <v>0</v>
      </c>
      <c r="I13" s="48">
        <v>0</v>
      </c>
      <c r="J13" s="48">
        <v>0</v>
      </c>
      <c r="K13" s="48">
        <v>0</v>
      </c>
      <c r="L13" s="48">
        <v>0</v>
      </c>
      <c r="M13" s="48">
        <v>0</v>
      </c>
      <c r="N13" s="48">
        <v>0</v>
      </c>
      <c r="O13" s="48">
        <v>0</v>
      </c>
      <c r="P13" s="48">
        <v>0</v>
      </c>
      <c r="Q13" s="48">
        <v>0</v>
      </c>
      <c r="R13" s="48">
        <v>0</v>
      </c>
      <c r="S13" s="48">
        <v>0</v>
      </c>
      <c r="T13" s="48">
        <v>0</v>
      </c>
      <c r="U13" s="48">
        <v>0</v>
      </c>
      <c r="V13" s="48">
        <v>0</v>
      </c>
      <c r="W13" s="48">
        <v>0</v>
      </c>
      <c r="X13" s="48">
        <v>0</v>
      </c>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row>
    <row r="14" spans="1:97" x14ac:dyDescent="0.35">
      <c r="A14" s="103" t="s">
        <v>1942</v>
      </c>
      <c r="B14" s="48">
        <v>0</v>
      </c>
      <c r="C14" s="48">
        <v>0</v>
      </c>
      <c r="D14" s="48">
        <v>0</v>
      </c>
      <c r="E14" s="48">
        <v>0</v>
      </c>
      <c r="F14" s="48">
        <v>0</v>
      </c>
      <c r="G14" s="48">
        <v>0</v>
      </c>
      <c r="H14" s="48">
        <v>0</v>
      </c>
      <c r="I14" s="48">
        <v>0</v>
      </c>
      <c r="J14" s="48">
        <v>0</v>
      </c>
      <c r="K14" s="48">
        <v>0</v>
      </c>
      <c r="L14" s="48">
        <v>0</v>
      </c>
      <c r="M14" s="48">
        <v>0</v>
      </c>
      <c r="N14" s="48">
        <v>0</v>
      </c>
      <c r="O14" s="48">
        <v>0</v>
      </c>
      <c r="P14" s="48">
        <v>0</v>
      </c>
      <c r="Q14" s="48">
        <v>0</v>
      </c>
      <c r="R14" s="48">
        <v>0</v>
      </c>
      <c r="S14" s="48">
        <v>0</v>
      </c>
      <c r="T14" s="48">
        <v>0</v>
      </c>
      <c r="U14" s="48">
        <v>0</v>
      </c>
      <c r="V14" s="48">
        <v>0</v>
      </c>
      <c r="W14" s="48">
        <v>0</v>
      </c>
      <c r="X14" s="48">
        <v>0</v>
      </c>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row>
    <row r="15" spans="1:97" x14ac:dyDescent="0.35">
      <c r="A15" s="103" t="s">
        <v>1912</v>
      </c>
      <c r="B15" s="48">
        <v>0</v>
      </c>
      <c r="C15" s="48">
        <v>0</v>
      </c>
      <c r="D15" s="48">
        <v>0</v>
      </c>
      <c r="E15" s="48">
        <v>0</v>
      </c>
      <c r="F15" s="48">
        <v>0</v>
      </c>
      <c r="G15" s="48">
        <v>0</v>
      </c>
      <c r="H15" s="48">
        <v>0</v>
      </c>
      <c r="I15" s="48">
        <v>0</v>
      </c>
      <c r="J15" s="48">
        <v>0</v>
      </c>
      <c r="K15" s="48">
        <v>0</v>
      </c>
      <c r="L15" s="48">
        <v>0</v>
      </c>
      <c r="M15" s="48">
        <v>0</v>
      </c>
      <c r="N15" s="48">
        <v>0</v>
      </c>
      <c r="O15" s="48">
        <v>0</v>
      </c>
      <c r="P15" s="48">
        <v>0</v>
      </c>
      <c r="Q15" s="48">
        <v>0</v>
      </c>
      <c r="R15" s="48">
        <v>0</v>
      </c>
      <c r="S15" s="48">
        <v>0</v>
      </c>
      <c r="T15" s="48">
        <v>0</v>
      </c>
      <c r="U15" s="48">
        <v>0</v>
      </c>
      <c r="V15" s="48">
        <v>0</v>
      </c>
      <c r="W15" s="48">
        <v>0</v>
      </c>
      <c r="X15" s="48">
        <v>0</v>
      </c>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row>
    <row r="16" spans="1:97" x14ac:dyDescent="0.35">
      <c r="A16" s="103" t="s">
        <v>1939</v>
      </c>
      <c r="B16" s="48">
        <v>0</v>
      </c>
      <c r="C16" s="48">
        <v>0</v>
      </c>
      <c r="D16" s="48">
        <v>0</v>
      </c>
      <c r="E16" s="48">
        <v>0</v>
      </c>
      <c r="F16" s="48">
        <v>0</v>
      </c>
      <c r="G16" s="48">
        <v>0</v>
      </c>
      <c r="H16" s="48">
        <v>0</v>
      </c>
      <c r="I16" s="48">
        <v>0</v>
      </c>
      <c r="J16" s="48">
        <v>0</v>
      </c>
      <c r="K16" s="48">
        <v>0</v>
      </c>
      <c r="L16" s="48">
        <v>0</v>
      </c>
      <c r="M16" s="48">
        <v>0</v>
      </c>
      <c r="N16" s="48">
        <v>0</v>
      </c>
      <c r="O16" s="48">
        <v>0</v>
      </c>
      <c r="P16" s="48">
        <v>0</v>
      </c>
      <c r="Q16" s="48">
        <v>0</v>
      </c>
      <c r="R16" s="48">
        <v>0</v>
      </c>
      <c r="S16" s="48">
        <v>0</v>
      </c>
      <c r="T16" s="48">
        <v>0</v>
      </c>
      <c r="U16" s="48">
        <v>0</v>
      </c>
      <c r="V16" s="48">
        <v>0</v>
      </c>
      <c r="W16" s="48">
        <v>0</v>
      </c>
      <c r="X16" s="48">
        <v>0</v>
      </c>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row>
    <row r="17" spans="1:97" x14ac:dyDescent="0.35">
      <c r="A17" s="48" t="s">
        <v>1430</v>
      </c>
      <c r="B17" s="48">
        <v>0</v>
      </c>
      <c r="C17" s="48">
        <v>0</v>
      </c>
      <c r="D17" s="48">
        <v>0</v>
      </c>
      <c r="E17" s="48">
        <v>0</v>
      </c>
      <c r="F17" s="48">
        <v>0</v>
      </c>
      <c r="G17" s="48">
        <v>0</v>
      </c>
      <c r="H17" s="48">
        <v>0</v>
      </c>
      <c r="I17" s="48">
        <v>0</v>
      </c>
      <c r="J17" s="48">
        <v>0</v>
      </c>
      <c r="K17" s="48">
        <v>0</v>
      </c>
      <c r="L17" s="48">
        <v>0</v>
      </c>
      <c r="M17" s="48">
        <v>0</v>
      </c>
      <c r="N17" s="48">
        <v>0</v>
      </c>
      <c r="O17" s="48">
        <v>0</v>
      </c>
      <c r="P17" s="48">
        <v>0</v>
      </c>
      <c r="Q17" s="48">
        <v>0</v>
      </c>
      <c r="R17" s="48">
        <v>0</v>
      </c>
      <c r="S17" s="48">
        <v>0</v>
      </c>
      <c r="T17" s="48">
        <v>0</v>
      </c>
      <c r="U17" s="48">
        <v>0</v>
      </c>
      <c r="V17" s="48">
        <v>0</v>
      </c>
      <c r="W17" s="48">
        <v>0</v>
      </c>
      <c r="X17" s="48">
        <v>0</v>
      </c>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row>
    <row r="18" spans="1:97" x14ac:dyDescent="0.35">
      <c r="A18" s="103" t="s">
        <v>1891</v>
      </c>
      <c r="B18" s="48">
        <v>0</v>
      </c>
      <c r="C18" s="48">
        <v>0</v>
      </c>
      <c r="D18" s="48">
        <v>0</v>
      </c>
      <c r="E18" s="48">
        <v>0</v>
      </c>
      <c r="F18" s="48">
        <v>0</v>
      </c>
      <c r="G18" s="48">
        <v>0</v>
      </c>
      <c r="H18" s="48">
        <v>0</v>
      </c>
      <c r="I18" s="48">
        <v>0</v>
      </c>
      <c r="J18" s="48">
        <v>0</v>
      </c>
      <c r="K18" s="48">
        <v>0</v>
      </c>
      <c r="L18" s="48">
        <v>0</v>
      </c>
      <c r="M18" s="48">
        <v>0</v>
      </c>
      <c r="N18" s="48">
        <v>0</v>
      </c>
      <c r="O18" s="48">
        <v>0</v>
      </c>
      <c r="P18" s="48">
        <v>0</v>
      </c>
      <c r="Q18" s="48">
        <v>0</v>
      </c>
      <c r="R18" s="48">
        <v>0</v>
      </c>
      <c r="S18" s="48">
        <v>0</v>
      </c>
      <c r="T18" s="48">
        <v>0</v>
      </c>
      <c r="U18" s="48">
        <v>0</v>
      </c>
      <c r="V18" s="48">
        <v>0</v>
      </c>
      <c r="W18" s="48">
        <v>0</v>
      </c>
      <c r="X18" s="48">
        <v>0</v>
      </c>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row>
    <row r="19" spans="1:97" x14ac:dyDescent="0.35">
      <c r="A19" s="103" t="s">
        <v>1873</v>
      </c>
      <c r="B19" s="48">
        <v>0</v>
      </c>
      <c r="C19" s="48">
        <v>0</v>
      </c>
      <c r="D19" s="48">
        <v>0</v>
      </c>
      <c r="E19" s="48">
        <v>0</v>
      </c>
      <c r="F19" s="48">
        <v>0</v>
      </c>
      <c r="G19" s="48">
        <v>0</v>
      </c>
      <c r="H19" s="48">
        <v>0</v>
      </c>
      <c r="I19" s="48">
        <v>0</v>
      </c>
      <c r="J19" s="48">
        <v>0</v>
      </c>
      <c r="K19" s="48">
        <v>0</v>
      </c>
      <c r="L19" s="48">
        <v>0</v>
      </c>
      <c r="M19" s="48">
        <v>0</v>
      </c>
      <c r="N19" s="48">
        <v>0</v>
      </c>
      <c r="O19" s="48">
        <v>0</v>
      </c>
      <c r="P19" s="48">
        <v>0</v>
      </c>
      <c r="Q19" s="48">
        <v>0</v>
      </c>
      <c r="R19" s="48">
        <v>0</v>
      </c>
      <c r="S19" s="48">
        <v>0</v>
      </c>
      <c r="T19" s="48">
        <v>0</v>
      </c>
      <c r="U19" s="48">
        <v>0</v>
      </c>
      <c r="V19" s="48">
        <v>0</v>
      </c>
      <c r="W19" s="48">
        <v>0</v>
      </c>
      <c r="X19" s="48">
        <v>0</v>
      </c>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row>
    <row r="20" spans="1:97" x14ac:dyDescent="0.35">
      <c r="A20" s="48" t="s">
        <v>1532</v>
      </c>
      <c r="B20" s="48">
        <v>0</v>
      </c>
      <c r="C20" s="48">
        <v>0</v>
      </c>
      <c r="D20" s="48">
        <v>3</v>
      </c>
      <c r="E20" s="48">
        <v>2</v>
      </c>
      <c r="F20" s="48">
        <v>1</v>
      </c>
      <c r="G20" s="48">
        <v>0</v>
      </c>
      <c r="H20" s="48">
        <v>0</v>
      </c>
      <c r="I20" s="48">
        <v>0</v>
      </c>
      <c r="J20" s="48">
        <v>0</v>
      </c>
      <c r="K20" s="48">
        <v>5</v>
      </c>
      <c r="L20" s="48">
        <v>2</v>
      </c>
      <c r="M20" s="48">
        <v>0</v>
      </c>
      <c r="N20" s="48">
        <v>1</v>
      </c>
      <c r="O20" s="48">
        <v>0</v>
      </c>
      <c r="P20" s="48">
        <v>0</v>
      </c>
      <c r="Q20" s="48">
        <v>0</v>
      </c>
      <c r="R20" s="48">
        <v>3</v>
      </c>
      <c r="S20" s="48">
        <v>0</v>
      </c>
      <c r="T20" s="48">
        <v>0</v>
      </c>
      <c r="U20" s="48">
        <v>0</v>
      </c>
      <c r="V20" s="48">
        <v>0</v>
      </c>
      <c r="W20" s="48">
        <v>0</v>
      </c>
      <c r="X20" s="48">
        <v>0</v>
      </c>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row>
    <row r="21" spans="1:97" x14ac:dyDescent="0.35">
      <c r="A21" s="103" t="s">
        <v>2005</v>
      </c>
      <c r="B21" s="48">
        <v>0</v>
      </c>
      <c r="C21" s="48">
        <v>0</v>
      </c>
      <c r="D21" s="48">
        <v>0</v>
      </c>
      <c r="E21" s="48">
        <v>0</v>
      </c>
      <c r="F21" s="48">
        <v>0</v>
      </c>
      <c r="G21" s="48">
        <v>0</v>
      </c>
      <c r="H21" s="48">
        <v>0</v>
      </c>
      <c r="I21" s="48">
        <v>0</v>
      </c>
      <c r="J21" s="48">
        <v>0</v>
      </c>
      <c r="K21" s="48">
        <v>0</v>
      </c>
      <c r="L21" s="48">
        <v>0</v>
      </c>
      <c r="M21" s="48">
        <v>0</v>
      </c>
      <c r="N21" s="48">
        <v>0</v>
      </c>
      <c r="O21" s="48">
        <v>0</v>
      </c>
      <c r="P21" s="48">
        <v>0</v>
      </c>
      <c r="Q21" s="48">
        <v>0</v>
      </c>
      <c r="R21" s="48">
        <v>0</v>
      </c>
      <c r="S21" s="48">
        <v>0</v>
      </c>
      <c r="T21" s="48">
        <v>0</v>
      </c>
      <c r="U21" s="48">
        <v>0</v>
      </c>
      <c r="V21" s="48">
        <v>0</v>
      </c>
      <c r="W21" s="48">
        <v>0</v>
      </c>
      <c r="X21" s="48">
        <v>0</v>
      </c>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row>
    <row r="22" spans="1:97" x14ac:dyDescent="0.35">
      <c r="A22" s="103" t="s">
        <v>1575</v>
      </c>
      <c r="B22" s="48">
        <v>0</v>
      </c>
      <c r="C22" s="48">
        <v>0</v>
      </c>
      <c r="D22" s="48">
        <v>0</v>
      </c>
      <c r="E22" s="48">
        <v>0</v>
      </c>
      <c r="F22" s="48">
        <v>0</v>
      </c>
      <c r="G22" s="48">
        <v>0</v>
      </c>
      <c r="H22" s="48">
        <v>0</v>
      </c>
      <c r="I22" s="48">
        <v>0</v>
      </c>
      <c r="J22" s="48">
        <v>0</v>
      </c>
      <c r="K22" s="48">
        <v>0</v>
      </c>
      <c r="L22" s="48">
        <v>0</v>
      </c>
      <c r="M22" s="48">
        <v>0</v>
      </c>
      <c r="N22" s="48">
        <v>0</v>
      </c>
      <c r="O22" s="48">
        <v>0</v>
      </c>
      <c r="P22" s="48">
        <v>0</v>
      </c>
      <c r="Q22" s="48">
        <v>0</v>
      </c>
      <c r="R22" s="48">
        <v>0</v>
      </c>
      <c r="S22" s="48">
        <v>0</v>
      </c>
      <c r="T22" s="48">
        <v>0</v>
      </c>
      <c r="U22" s="48">
        <v>0</v>
      </c>
      <c r="V22" s="48">
        <v>0</v>
      </c>
      <c r="W22" s="48">
        <v>0</v>
      </c>
      <c r="X22" s="48">
        <v>0</v>
      </c>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row>
    <row r="23" spans="1:97" x14ac:dyDescent="0.35">
      <c r="A23" s="103" t="s">
        <v>2044</v>
      </c>
      <c r="B23" s="48">
        <v>0</v>
      </c>
      <c r="C23" s="48">
        <v>0</v>
      </c>
      <c r="D23" s="48">
        <v>0</v>
      </c>
      <c r="E23" s="48">
        <v>0</v>
      </c>
      <c r="F23" s="48">
        <v>0</v>
      </c>
      <c r="G23" s="48">
        <v>0</v>
      </c>
      <c r="H23" s="48">
        <v>0</v>
      </c>
      <c r="I23" s="48">
        <v>0</v>
      </c>
      <c r="J23" s="48">
        <v>0</v>
      </c>
      <c r="K23" s="48">
        <v>0</v>
      </c>
      <c r="L23" s="48">
        <v>0</v>
      </c>
      <c r="M23" s="48">
        <v>0</v>
      </c>
      <c r="N23" s="48">
        <v>0</v>
      </c>
      <c r="O23" s="48">
        <v>0</v>
      </c>
      <c r="P23" s="48">
        <v>0</v>
      </c>
      <c r="Q23" s="48">
        <v>0</v>
      </c>
      <c r="R23" s="48">
        <v>0</v>
      </c>
      <c r="S23" s="48">
        <v>0</v>
      </c>
      <c r="T23" s="48">
        <v>0</v>
      </c>
      <c r="U23" s="48">
        <v>0</v>
      </c>
      <c r="V23" s="48">
        <v>0</v>
      </c>
      <c r="W23" s="48">
        <v>0</v>
      </c>
      <c r="X23" s="48">
        <v>0</v>
      </c>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row>
    <row r="24" spans="1:97" x14ac:dyDescent="0.35">
      <c r="A24" s="103" t="s">
        <v>2038</v>
      </c>
      <c r="B24" s="48">
        <v>0</v>
      </c>
      <c r="C24" s="48">
        <v>0</v>
      </c>
      <c r="D24" s="48">
        <v>0</v>
      </c>
      <c r="E24" s="48">
        <v>0</v>
      </c>
      <c r="F24" s="48">
        <v>0</v>
      </c>
      <c r="G24" s="48">
        <v>0</v>
      </c>
      <c r="H24" s="48">
        <v>0</v>
      </c>
      <c r="I24" s="48">
        <v>0</v>
      </c>
      <c r="J24" s="48">
        <v>0</v>
      </c>
      <c r="K24" s="48">
        <v>0</v>
      </c>
      <c r="L24" s="48">
        <v>0</v>
      </c>
      <c r="M24" s="48">
        <v>0</v>
      </c>
      <c r="N24" s="48">
        <v>0</v>
      </c>
      <c r="O24" s="48">
        <v>0</v>
      </c>
      <c r="P24" s="48">
        <v>0</v>
      </c>
      <c r="Q24" s="48">
        <v>0</v>
      </c>
      <c r="R24" s="48">
        <v>0</v>
      </c>
      <c r="S24" s="48">
        <v>0</v>
      </c>
      <c r="T24" s="48">
        <v>0</v>
      </c>
      <c r="U24" s="48">
        <v>0</v>
      </c>
      <c r="V24" s="48">
        <v>0</v>
      </c>
      <c r="W24" s="48">
        <v>0</v>
      </c>
      <c r="X24" s="48">
        <v>0</v>
      </c>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row>
    <row r="25" spans="1:97" x14ac:dyDescent="0.35">
      <c r="A25" s="103" t="s">
        <v>2014</v>
      </c>
      <c r="B25" s="48">
        <v>0</v>
      </c>
      <c r="C25" s="48">
        <v>0</v>
      </c>
      <c r="D25" s="48">
        <v>0</v>
      </c>
      <c r="E25" s="48">
        <v>0</v>
      </c>
      <c r="F25" s="48">
        <v>0</v>
      </c>
      <c r="G25" s="48">
        <v>0</v>
      </c>
      <c r="H25" s="48">
        <v>0</v>
      </c>
      <c r="I25" s="48">
        <v>0</v>
      </c>
      <c r="J25" s="48">
        <v>0</v>
      </c>
      <c r="K25" s="48">
        <v>2</v>
      </c>
      <c r="L25" s="48">
        <v>0</v>
      </c>
      <c r="M25" s="48">
        <v>0</v>
      </c>
      <c r="N25" s="48">
        <v>0</v>
      </c>
      <c r="O25" s="48">
        <v>0</v>
      </c>
      <c r="P25" s="48">
        <v>0</v>
      </c>
      <c r="Q25" s="48">
        <v>0</v>
      </c>
      <c r="R25" s="48">
        <v>0</v>
      </c>
      <c r="S25" s="48">
        <v>0</v>
      </c>
      <c r="T25" s="48">
        <v>0</v>
      </c>
      <c r="U25" s="48">
        <v>0</v>
      </c>
      <c r="V25" s="48">
        <v>0</v>
      </c>
      <c r="W25" s="48">
        <v>0</v>
      </c>
      <c r="X25" s="48">
        <v>0</v>
      </c>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row>
    <row r="26" spans="1:97" x14ac:dyDescent="0.35">
      <c r="A26" s="103" t="s">
        <v>2008</v>
      </c>
      <c r="B26" s="48">
        <v>0</v>
      </c>
      <c r="C26" s="48">
        <v>0</v>
      </c>
      <c r="D26" s="48">
        <v>0</v>
      </c>
      <c r="E26" s="48">
        <v>0</v>
      </c>
      <c r="F26" s="48">
        <v>0</v>
      </c>
      <c r="G26" s="48">
        <v>0</v>
      </c>
      <c r="H26" s="48">
        <v>0</v>
      </c>
      <c r="I26" s="48">
        <v>0</v>
      </c>
      <c r="J26" s="48">
        <v>0</v>
      </c>
      <c r="K26" s="48">
        <v>0</v>
      </c>
      <c r="L26" s="48">
        <v>1</v>
      </c>
      <c r="M26" s="48">
        <v>0</v>
      </c>
      <c r="N26" s="48">
        <v>0</v>
      </c>
      <c r="O26" s="48">
        <v>0</v>
      </c>
      <c r="P26" s="48">
        <v>0</v>
      </c>
      <c r="Q26" s="48">
        <v>0</v>
      </c>
      <c r="R26" s="48">
        <v>0</v>
      </c>
      <c r="S26" s="48">
        <v>0</v>
      </c>
      <c r="T26" s="48">
        <v>0</v>
      </c>
      <c r="U26" s="48">
        <v>0</v>
      </c>
      <c r="V26" s="48">
        <v>0</v>
      </c>
      <c r="W26" s="48">
        <v>0</v>
      </c>
      <c r="X26" s="48">
        <v>0</v>
      </c>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row>
    <row r="27" spans="1:97" x14ac:dyDescent="0.35">
      <c r="A27" s="103" t="s">
        <v>1993</v>
      </c>
      <c r="B27" s="48">
        <v>0</v>
      </c>
      <c r="C27" s="48">
        <v>0</v>
      </c>
      <c r="D27" s="48">
        <v>0</v>
      </c>
      <c r="E27" s="48">
        <v>0</v>
      </c>
      <c r="F27" s="48">
        <v>0</v>
      </c>
      <c r="G27" s="48">
        <v>0</v>
      </c>
      <c r="H27" s="48">
        <v>0</v>
      </c>
      <c r="I27" s="48">
        <v>0</v>
      </c>
      <c r="J27" s="48">
        <v>0</v>
      </c>
      <c r="K27" s="48">
        <v>1</v>
      </c>
      <c r="L27" s="48">
        <v>1</v>
      </c>
      <c r="M27" s="48">
        <v>0</v>
      </c>
      <c r="N27" s="48">
        <v>0</v>
      </c>
      <c r="O27" s="48">
        <v>0</v>
      </c>
      <c r="P27" s="48">
        <v>0</v>
      </c>
      <c r="Q27" s="48">
        <v>0</v>
      </c>
      <c r="R27" s="48">
        <v>1</v>
      </c>
      <c r="S27" s="48">
        <v>0</v>
      </c>
      <c r="T27" s="48">
        <v>0</v>
      </c>
      <c r="U27" s="48">
        <v>0</v>
      </c>
      <c r="V27" s="48">
        <v>0</v>
      </c>
      <c r="W27" s="48">
        <v>0</v>
      </c>
      <c r="X27" s="48">
        <v>0</v>
      </c>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row>
    <row r="28" spans="1:97" x14ac:dyDescent="0.35">
      <c r="A28" s="103" t="s">
        <v>1987</v>
      </c>
      <c r="B28" s="48">
        <v>0</v>
      </c>
      <c r="C28" s="48">
        <v>0</v>
      </c>
      <c r="D28" s="48">
        <v>0</v>
      </c>
      <c r="E28" s="48">
        <v>0</v>
      </c>
      <c r="F28" s="48">
        <v>0</v>
      </c>
      <c r="G28" s="48">
        <v>0</v>
      </c>
      <c r="H28" s="48">
        <v>0</v>
      </c>
      <c r="I28" s="48">
        <v>0</v>
      </c>
      <c r="J28" s="48">
        <v>0</v>
      </c>
      <c r="K28" s="48">
        <v>0</v>
      </c>
      <c r="L28" s="48">
        <v>0</v>
      </c>
      <c r="M28" s="48">
        <v>0</v>
      </c>
      <c r="N28" s="48">
        <v>0</v>
      </c>
      <c r="O28" s="48">
        <v>0</v>
      </c>
      <c r="P28" s="48">
        <v>0</v>
      </c>
      <c r="Q28" s="48">
        <v>0</v>
      </c>
      <c r="R28" s="48">
        <v>0</v>
      </c>
      <c r="S28" s="48">
        <v>0</v>
      </c>
      <c r="T28" s="48">
        <v>0</v>
      </c>
      <c r="U28" s="48">
        <v>0</v>
      </c>
      <c r="V28" s="48">
        <v>0</v>
      </c>
      <c r="W28" s="48">
        <v>0</v>
      </c>
      <c r="X28" s="48">
        <v>0</v>
      </c>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row>
    <row r="29" spans="1:97" x14ac:dyDescent="0.35">
      <c r="A29" s="103" t="s">
        <v>2032</v>
      </c>
      <c r="B29" s="48">
        <v>0</v>
      </c>
      <c r="C29" s="48">
        <v>0</v>
      </c>
      <c r="D29" s="48">
        <v>0</v>
      </c>
      <c r="E29" s="48">
        <v>0</v>
      </c>
      <c r="F29" s="48">
        <v>0</v>
      </c>
      <c r="G29" s="48">
        <v>0</v>
      </c>
      <c r="H29" s="48">
        <v>0</v>
      </c>
      <c r="I29" s="48">
        <v>0</v>
      </c>
      <c r="J29" s="48">
        <v>0</v>
      </c>
      <c r="K29" s="48">
        <v>1</v>
      </c>
      <c r="L29" s="48">
        <v>0</v>
      </c>
      <c r="M29" s="48">
        <v>0</v>
      </c>
      <c r="N29" s="48">
        <v>0</v>
      </c>
      <c r="O29" s="48">
        <v>0</v>
      </c>
      <c r="P29" s="48">
        <v>0</v>
      </c>
      <c r="Q29" s="48">
        <v>0</v>
      </c>
      <c r="R29" s="48">
        <v>0</v>
      </c>
      <c r="S29" s="48">
        <v>0</v>
      </c>
      <c r="T29" s="48">
        <v>0</v>
      </c>
      <c r="U29" s="48">
        <v>0</v>
      </c>
      <c r="V29" s="48">
        <v>0</v>
      </c>
      <c r="W29" s="48">
        <v>0</v>
      </c>
      <c r="X29" s="48">
        <v>0</v>
      </c>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row>
    <row r="30" spans="1:97" x14ac:dyDescent="0.35">
      <c r="A30" s="103" t="s">
        <v>1954</v>
      </c>
      <c r="B30" s="48">
        <v>0</v>
      </c>
      <c r="C30" s="48">
        <v>0</v>
      </c>
      <c r="D30" s="48">
        <v>0</v>
      </c>
      <c r="E30" s="48">
        <v>0</v>
      </c>
      <c r="F30" s="48">
        <v>0</v>
      </c>
      <c r="G30" s="48">
        <v>0</v>
      </c>
      <c r="H30" s="48">
        <v>0</v>
      </c>
      <c r="I30" s="48">
        <v>0</v>
      </c>
      <c r="J30" s="48">
        <v>0</v>
      </c>
      <c r="K30" s="48">
        <v>0</v>
      </c>
      <c r="L30" s="48">
        <v>0</v>
      </c>
      <c r="M30" s="48">
        <v>0</v>
      </c>
      <c r="N30" s="48">
        <v>0</v>
      </c>
      <c r="O30" s="48">
        <v>0</v>
      </c>
      <c r="P30" s="48">
        <v>0</v>
      </c>
      <c r="Q30" s="48">
        <v>0</v>
      </c>
      <c r="R30" s="48">
        <v>0</v>
      </c>
      <c r="S30" s="48">
        <v>0</v>
      </c>
      <c r="T30" s="48">
        <v>0</v>
      </c>
      <c r="U30" s="48">
        <v>0</v>
      </c>
      <c r="V30" s="48">
        <v>0</v>
      </c>
      <c r="W30" s="48">
        <v>0</v>
      </c>
      <c r="X30" s="48">
        <v>0</v>
      </c>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row>
    <row r="31" spans="1:97" x14ac:dyDescent="0.35">
      <c r="A31" s="103" t="s">
        <v>1966</v>
      </c>
      <c r="B31" s="48">
        <v>0</v>
      </c>
      <c r="C31" s="48">
        <v>0</v>
      </c>
      <c r="D31" s="48">
        <v>0</v>
      </c>
      <c r="E31" s="48">
        <v>0</v>
      </c>
      <c r="F31" s="48">
        <v>0</v>
      </c>
      <c r="G31" s="48">
        <v>0</v>
      </c>
      <c r="H31" s="48">
        <v>0</v>
      </c>
      <c r="I31" s="48">
        <v>0</v>
      </c>
      <c r="J31" s="48">
        <v>0</v>
      </c>
      <c r="K31" s="48">
        <v>0</v>
      </c>
      <c r="L31" s="48">
        <v>0</v>
      </c>
      <c r="M31" s="48">
        <v>0</v>
      </c>
      <c r="N31" s="48">
        <v>0</v>
      </c>
      <c r="O31" s="48">
        <v>0</v>
      </c>
      <c r="P31" s="48">
        <v>0</v>
      </c>
      <c r="Q31" s="48">
        <v>0</v>
      </c>
      <c r="R31" s="48">
        <v>0</v>
      </c>
      <c r="S31" s="48">
        <v>0</v>
      </c>
      <c r="T31" s="48">
        <v>0</v>
      </c>
      <c r="U31" s="48">
        <v>0</v>
      </c>
      <c r="V31" s="48">
        <v>0</v>
      </c>
      <c r="W31" s="48">
        <v>0</v>
      </c>
      <c r="X31" s="48">
        <v>0</v>
      </c>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row>
    <row r="32" spans="1:97" x14ac:dyDescent="0.35">
      <c r="A32" s="103" t="s">
        <v>2047</v>
      </c>
      <c r="B32" s="48">
        <v>0</v>
      </c>
      <c r="C32" s="48">
        <v>0</v>
      </c>
      <c r="D32" s="48">
        <v>1</v>
      </c>
      <c r="E32" s="48">
        <v>0</v>
      </c>
      <c r="F32" s="48">
        <v>0</v>
      </c>
      <c r="G32" s="48">
        <v>0</v>
      </c>
      <c r="H32" s="48">
        <v>0</v>
      </c>
      <c r="I32" s="48">
        <v>0</v>
      </c>
      <c r="J32" s="48">
        <v>0</v>
      </c>
      <c r="K32" s="48">
        <v>1</v>
      </c>
      <c r="L32" s="48">
        <v>0</v>
      </c>
      <c r="M32" s="48">
        <v>0</v>
      </c>
      <c r="N32" s="48">
        <v>0</v>
      </c>
      <c r="O32" s="48">
        <v>0</v>
      </c>
      <c r="P32" s="48">
        <v>0</v>
      </c>
      <c r="Q32" s="48">
        <v>0</v>
      </c>
      <c r="R32" s="48">
        <v>0</v>
      </c>
      <c r="S32" s="48">
        <v>0</v>
      </c>
      <c r="T32" s="48">
        <v>0</v>
      </c>
      <c r="U32" s="48">
        <v>0</v>
      </c>
      <c r="V32" s="48">
        <v>0</v>
      </c>
      <c r="W32" s="48">
        <v>0</v>
      </c>
      <c r="X32" s="48">
        <v>0</v>
      </c>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row>
    <row r="33" spans="1:97" x14ac:dyDescent="0.35">
      <c r="A33" s="103" t="s">
        <v>2020</v>
      </c>
      <c r="B33" s="48">
        <v>0</v>
      </c>
      <c r="C33" s="48">
        <v>0</v>
      </c>
      <c r="D33" s="48">
        <v>1</v>
      </c>
      <c r="E33" s="48">
        <v>0</v>
      </c>
      <c r="F33" s="48">
        <v>0</v>
      </c>
      <c r="G33" s="48">
        <v>0</v>
      </c>
      <c r="H33" s="48">
        <v>0</v>
      </c>
      <c r="I33" s="48">
        <v>0</v>
      </c>
      <c r="J33" s="48">
        <v>0</v>
      </c>
      <c r="K33" s="48">
        <v>0</v>
      </c>
      <c r="L33" s="48">
        <v>0</v>
      </c>
      <c r="M33" s="48">
        <v>0</v>
      </c>
      <c r="N33" s="48">
        <v>0</v>
      </c>
      <c r="O33" s="48">
        <v>0</v>
      </c>
      <c r="P33" s="48">
        <v>0</v>
      </c>
      <c r="Q33" s="48">
        <v>0</v>
      </c>
      <c r="R33" s="48">
        <v>0</v>
      </c>
      <c r="S33" s="48">
        <v>0</v>
      </c>
      <c r="T33" s="48">
        <v>0</v>
      </c>
      <c r="U33" s="48">
        <v>0</v>
      </c>
      <c r="V33" s="48">
        <v>0</v>
      </c>
      <c r="W33" s="48">
        <v>0</v>
      </c>
      <c r="X33" s="48">
        <v>0</v>
      </c>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row>
    <row r="34" spans="1:97" x14ac:dyDescent="0.35">
      <c r="A34" s="103" t="s">
        <v>2035</v>
      </c>
      <c r="B34" s="48">
        <v>0</v>
      </c>
      <c r="C34" s="48">
        <v>0</v>
      </c>
      <c r="D34" s="48">
        <v>0</v>
      </c>
      <c r="E34" s="48">
        <v>0</v>
      </c>
      <c r="F34" s="48">
        <v>0</v>
      </c>
      <c r="G34" s="48">
        <v>0</v>
      </c>
      <c r="H34" s="48">
        <v>0</v>
      </c>
      <c r="I34" s="48">
        <v>0</v>
      </c>
      <c r="J34" s="48">
        <v>0</v>
      </c>
      <c r="K34" s="48">
        <v>0</v>
      </c>
      <c r="L34" s="48">
        <v>0</v>
      </c>
      <c r="M34" s="48">
        <v>0</v>
      </c>
      <c r="N34" s="48">
        <v>0</v>
      </c>
      <c r="O34" s="48">
        <v>0</v>
      </c>
      <c r="P34" s="48">
        <v>0</v>
      </c>
      <c r="Q34" s="48">
        <v>0</v>
      </c>
      <c r="R34" s="48">
        <v>0</v>
      </c>
      <c r="S34" s="48">
        <v>0</v>
      </c>
      <c r="T34" s="48">
        <v>0</v>
      </c>
      <c r="U34" s="48">
        <v>0</v>
      </c>
      <c r="V34" s="48">
        <v>0</v>
      </c>
      <c r="W34" s="48">
        <v>0</v>
      </c>
      <c r="X34" s="48">
        <v>0</v>
      </c>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row>
    <row r="35" spans="1:97" x14ac:dyDescent="0.35">
      <c r="A35" s="103" t="s">
        <v>2011</v>
      </c>
      <c r="B35" s="48">
        <v>0</v>
      </c>
      <c r="C35" s="48">
        <v>0</v>
      </c>
      <c r="D35" s="48">
        <v>0</v>
      </c>
      <c r="E35" s="48">
        <v>0</v>
      </c>
      <c r="F35" s="48">
        <v>1</v>
      </c>
      <c r="G35" s="48">
        <v>0</v>
      </c>
      <c r="H35" s="48">
        <v>0</v>
      </c>
      <c r="I35" s="48">
        <v>0</v>
      </c>
      <c r="J35" s="48">
        <v>0</v>
      </c>
      <c r="K35" s="48">
        <v>0</v>
      </c>
      <c r="L35" s="48">
        <v>0</v>
      </c>
      <c r="M35" s="48">
        <v>0</v>
      </c>
      <c r="N35" s="48">
        <v>1</v>
      </c>
      <c r="O35" s="48">
        <v>0</v>
      </c>
      <c r="P35" s="48">
        <v>0</v>
      </c>
      <c r="Q35" s="48">
        <v>0</v>
      </c>
      <c r="R35" s="48">
        <v>1</v>
      </c>
      <c r="S35" s="48">
        <v>0</v>
      </c>
      <c r="T35" s="48">
        <v>0</v>
      </c>
      <c r="U35" s="48">
        <v>0</v>
      </c>
      <c r="V35" s="48">
        <v>0</v>
      </c>
      <c r="W35" s="48">
        <v>0</v>
      </c>
      <c r="X35" s="48">
        <v>0</v>
      </c>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row>
    <row r="36" spans="1:97" x14ac:dyDescent="0.35">
      <c r="A36" s="103" t="s">
        <v>2029</v>
      </c>
      <c r="B36" s="48">
        <v>0</v>
      </c>
      <c r="C36" s="48">
        <v>0</v>
      </c>
      <c r="D36" s="48">
        <v>1</v>
      </c>
      <c r="E36" s="48">
        <v>1</v>
      </c>
      <c r="F36" s="48">
        <v>0</v>
      </c>
      <c r="G36" s="48">
        <v>0</v>
      </c>
      <c r="H36" s="48">
        <v>0</v>
      </c>
      <c r="I36" s="48">
        <v>0</v>
      </c>
      <c r="J36" s="48">
        <v>0</v>
      </c>
      <c r="K36" s="48">
        <v>0</v>
      </c>
      <c r="L36" s="48">
        <v>0</v>
      </c>
      <c r="M36" s="48">
        <v>0</v>
      </c>
      <c r="N36" s="48">
        <v>0</v>
      </c>
      <c r="O36" s="48">
        <v>0</v>
      </c>
      <c r="P36" s="48">
        <v>0</v>
      </c>
      <c r="Q36" s="48">
        <v>0</v>
      </c>
      <c r="R36" s="48">
        <v>1</v>
      </c>
      <c r="S36" s="48">
        <v>0</v>
      </c>
      <c r="T36" s="48">
        <v>0</v>
      </c>
      <c r="U36" s="48">
        <v>0</v>
      </c>
      <c r="V36" s="48">
        <v>0</v>
      </c>
      <c r="W36" s="48">
        <v>0</v>
      </c>
      <c r="X36" s="48">
        <v>0</v>
      </c>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row>
    <row r="37" spans="1:97" x14ac:dyDescent="0.35">
      <c r="A37" s="103" t="s">
        <v>1990</v>
      </c>
      <c r="B37" s="48">
        <v>0</v>
      </c>
      <c r="C37" s="48">
        <v>0</v>
      </c>
      <c r="D37" s="48">
        <v>0</v>
      </c>
      <c r="E37" s="48">
        <v>0</v>
      </c>
      <c r="F37" s="48">
        <v>0</v>
      </c>
      <c r="G37" s="48">
        <v>0</v>
      </c>
      <c r="H37" s="48">
        <v>0</v>
      </c>
      <c r="I37" s="48">
        <v>0</v>
      </c>
      <c r="J37" s="48">
        <v>0</v>
      </c>
      <c r="K37" s="48">
        <v>0</v>
      </c>
      <c r="L37" s="48">
        <v>0</v>
      </c>
      <c r="M37" s="48">
        <v>0</v>
      </c>
      <c r="N37" s="48">
        <v>0</v>
      </c>
      <c r="O37" s="48">
        <v>0</v>
      </c>
      <c r="P37" s="48">
        <v>0</v>
      </c>
      <c r="Q37" s="48">
        <v>0</v>
      </c>
      <c r="R37" s="48">
        <v>0</v>
      </c>
      <c r="S37" s="48">
        <v>0</v>
      </c>
      <c r="T37" s="48">
        <v>0</v>
      </c>
      <c r="U37" s="48">
        <v>0</v>
      </c>
      <c r="V37" s="48">
        <v>0</v>
      </c>
      <c r="W37" s="48">
        <v>0</v>
      </c>
      <c r="X37" s="48">
        <v>0</v>
      </c>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row>
    <row r="38" spans="1:97" x14ac:dyDescent="0.35">
      <c r="A38" s="103" t="s">
        <v>2023</v>
      </c>
      <c r="B38" s="48">
        <v>0</v>
      </c>
      <c r="C38" s="48">
        <v>0</v>
      </c>
      <c r="D38" s="48">
        <v>0</v>
      </c>
      <c r="E38" s="48">
        <v>1</v>
      </c>
      <c r="F38" s="48">
        <v>0</v>
      </c>
      <c r="G38" s="48">
        <v>0</v>
      </c>
      <c r="H38" s="48">
        <v>0</v>
      </c>
      <c r="I38" s="48">
        <v>0</v>
      </c>
      <c r="J38" s="48">
        <v>0</v>
      </c>
      <c r="K38" s="48">
        <v>0</v>
      </c>
      <c r="L38" s="48">
        <v>0</v>
      </c>
      <c r="M38" s="48">
        <v>0</v>
      </c>
      <c r="N38" s="48">
        <v>0</v>
      </c>
      <c r="O38" s="48">
        <v>0</v>
      </c>
      <c r="P38" s="48">
        <v>0</v>
      </c>
      <c r="Q38" s="48">
        <v>0</v>
      </c>
      <c r="R38" s="48">
        <v>0</v>
      </c>
      <c r="S38" s="48">
        <v>0</v>
      </c>
      <c r="T38" s="48">
        <v>0</v>
      </c>
      <c r="U38" s="48">
        <v>0</v>
      </c>
      <c r="V38" s="48">
        <v>0</v>
      </c>
      <c r="W38" s="48">
        <v>0</v>
      </c>
      <c r="X38" s="48">
        <v>0</v>
      </c>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row>
    <row r="39" spans="1:97" x14ac:dyDescent="0.35">
      <c r="A39" s="48" t="s">
        <v>1476</v>
      </c>
      <c r="B39" s="48">
        <v>0</v>
      </c>
      <c r="C39" s="48">
        <v>0</v>
      </c>
      <c r="D39" s="48">
        <v>0</v>
      </c>
      <c r="E39" s="48">
        <v>0</v>
      </c>
      <c r="F39" s="48">
        <v>0</v>
      </c>
      <c r="G39" s="48">
        <v>0</v>
      </c>
      <c r="H39" s="48">
        <v>1</v>
      </c>
      <c r="I39" s="48">
        <v>0</v>
      </c>
      <c r="J39" s="48">
        <v>0</v>
      </c>
      <c r="K39" s="48">
        <v>0</v>
      </c>
      <c r="L39" s="48">
        <v>1</v>
      </c>
      <c r="M39" s="48">
        <v>0</v>
      </c>
      <c r="N39" s="48">
        <v>0</v>
      </c>
      <c r="O39" s="48">
        <v>1</v>
      </c>
      <c r="P39" s="48">
        <v>0</v>
      </c>
      <c r="Q39" s="48">
        <v>0</v>
      </c>
      <c r="R39" s="48">
        <v>0</v>
      </c>
      <c r="S39" s="48">
        <v>0</v>
      </c>
      <c r="T39" s="48">
        <v>0</v>
      </c>
      <c r="U39" s="48">
        <v>0</v>
      </c>
      <c r="V39" s="48">
        <v>0</v>
      </c>
      <c r="W39" s="48">
        <v>0</v>
      </c>
      <c r="X39" s="48">
        <v>0</v>
      </c>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row>
    <row r="40" spans="1:97" x14ac:dyDescent="0.35">
      <c r="A40" s="103" t="s">
        <v>1969</v>
      </c>
      <c r="B40" s="48">
        <v>0</v>
      </c>
      <c r="C40" s="48">
        <v>0</v>
      </c>
      <c r="D40" s="48">
        <v>0</v>
      </c>
      <c r="E40" s="48">
        <v>0</v>
      </c>
      <c r="F40" s="48">
        <v>0</v>
      </c>
      <c r="G40" s="48">
        <v>0</v>
      </c>
      <c r="H40" s="48">
        <v>0</v>
      </c>
      <c r="I40" s="48">
        <v>0</v>
      </c>
      <c r="J40" s="48">
        <v>0</v>
      </c>
      <c r="K40" s="48">
        <v>0</v>
      </c>
      <c r="L40" s="48">
        <v>0</v>
      </c>
      <c r="M40" s="48">
        <v>0</v>
      </c>
      <c r="N40" s="48">
        <v>0</v>
      </c>
      <c r="O40" s="48">
        <v>0</v>
      </c>
      <c r="P40" s="48">
        <v>0</v>
      </c>
      <c r="Q40" s="48">
        <v>0</v>
      </c>
      <c r="R40" s="48">
        <v>0</v>
      </c>
      <c r="S40" s="48">
        <v>0</v>
      </c>
      <c r="T40" s="48">
        <v>0</v>
      </c>
      <c r="U40" s="48">
        <v>0</v>
      </c>
      <c r="V40" s="48">
        <v>0</v>
      </c>
      <c r="W40" s="48">
        <v>0</v>
      </c>
      <c r="X40" s="48">
        <v>0</v>
      </c>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row>
    <row r="41" spans="1:97" x14ac:dyDescent="0.35">
      <c r="A41" s="103" t="s">
        <v>2053</v>
      </c>
      <c r="B41" s="48">
        <v>0</v>
      </c>
      <c r="C41" s="48">
        <v>0</v>
      </c>
      <c r="D41" s="48">
        <v>0</v>
      </c>
      <c r="E41" s="48">
        <v>0</v>
      </c>
      <c r="F41" s="48">
        <v>0</v>
      </c>
      <c r="G41" s="48">
        <v>0</v>
      </c>
      <c r="H41" s="48">
        <v>0</v>
      </c>
      <c r="I41" s="48">
        <v>0</v>
      </c>
      <c r="J41" s="48">
        <v>0</v>
      </c>
      <c r="K41" s="48">
        <v>0</v>
      </c>
      <c r="L41" s="48">
        <v>1</v>
      </c>
      <c r="M41" s="48">
        <v>0</v>
      </c>
      <c r="N41" s="48">
        <v>0</v>
      </c>
      <c r="O41" s="48">
        <v>0</v>
      </c>
      <c r="P41" s="48">
        <v>0</v>
      </c>
      <c r="Q41" s="48">
        <v>0</v>
      </c>
      <c r="R41" s="48">
        <v>0</v>
      </c>
      <c r="S41" s="48">
        <v>0</v>
      </c>
      <c r="T41" s="48">
        <v>0</v>
      </c>
      <c r="U41" s="48">
        <v>0</v>
      </c>
      <c r="V41" s="48">
        <v>0</v>
      </c>
      <c r="W41" s="48">
        <v>0</v>
      </c>
      <c r="X41" s="48">
        <v>0</v>
      </c>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row>
    <row r="42" spans="1:97" x14ac:dyDescent="0.35">
      <c r="A42" s="103" t="s">
        <v>1984</v>
      </c>
      <c r="B42" s="48">
        <v>0</v>
      </c>
      <c r="C42" s="48">
        <v>0</v>
      </c>
      <c r="D42" s="48">
        <v>0</v>
      </c>
      <c r="E42" s="48">
        <v>0</v>
      </c>
      <c r="F42" s="48">
        <v>0</v>
      </c>
      <c r="G42" s="48">
        <v>0</v>
      </c>
      <c r="H42" s="48">
        <v>0</v>
      </c>
      <c r="I42" s="48">
        <v>0</v>
      </c>
      <c r="J42" s="48">
        <v>0</v>
      </c>
      <c r="K42" s="48">
        <v>0</v>
      </c>
      <c r="L42" s="48">
        <v>0</v>
      </c>
      <c r="M42" s="48">
        <v>0</v>
      </c>
      <c r="N42" s="48">
        <v>0</v>
      </c>
      <c r="O42" s="48">
        <v>0</v>
      </c>
      <c r="P42" s="48">
        <v>0</v>
      </c>
      <c r="Q42" s="48">
        <v>0</v>
      </c>
      <c r="R42" s="48">
        <v>0</v>
      </c>
      <c r="S42" s="48">
        <v>0</v>
      </c>
      <c r="T42" s="48">
        <v>0</v>
      </c>
      <c r="U42" s="48">
        <v>0</v>
      </c>
      <c r="V42" s="48">
        <v>0</v>
      </c>
      <c r="W42" s="48">
        <v>0</v>
      </c>
      <c r="X42" s="48">
        <v>0</v>
      </c>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row>
    <row r="43" spans="1:97" x14ac:dyDescent="0.35">
      <c r="A43" s="103" t="s">
        <v>2017</v>
      </c>
      <c r="B43" s="48">
        <v>0</v>
      </c>
      <c r="C43" s="48">
        <v>0</v>
      </c>
      <c r="D43" s="48">
        <v>0</v>
      </c>
      <c r="E43" s="48">
        <v>0</v>
      </c>
      <c r="F43" s="48">
        <v>0</v>
      </c>
      <c r="G43" s="48">
        <v>0</v>
      </c>
      <c r="H43" s="48">
        <v>0</v>
      </c>
      <c r="I43" s="48">
        <v>0</v>
      </c>
      <c r="J43" s="48">
        <v>0</v>
      </c>
      <c r="K43" s="48">
        <v>0</v>
      </c>
      <c r="L43" s="48">
        <v>0</v>
      </c>
      <c r="M43" s="48">
        <v>0</v>
      </c>
      <c r="N43" s="48">
        <v>0</v>
      </c>
      <c r="O43" s="48">
        <v>0</v>
      </c>
      <c r="P43" s="48">
        <v>0</v>
      </c>
      <c r="Q43" s="48">
        <v>0</v>
      </c>
      <c r="R43" s="48">
        <v>0</v>
      </c>
      <c r="S43" s="48">
        <v>0</v>
      </c>
      <c r="T43" s="48">
        <v>0</v>
      </c>
      <c r="U43" s="48">
        <v>0</v>
      </c>
      <c r="V43" s="48">
        <v>0</v>
      </c>
      <c r="W43" s="48">
        <v>0</v>
      </c>
      <c r="X43" s="48">
        <v>0</v>
      </c>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row>
    <row r="44" spans="1:97" x14ac:dyDescent="0.35">
      <c r="A44" s="103" t="s">
        <v>1753</v>
      </c>
      <c r="B44" s="48">
        <v>0</v>
      </c>
      <c r="C44" s="48">
        <v>0</v>
      </c>
      <c r="D44" s="48">
        <v>0</v>
      </c>
      <c r="E44" s="48">
        <v>0</v>
      </c>
      <c r="F44" s="48">
        <v>0</v>
      </c>
      <c r="G44" s="48">
        <v>0</v>
      </c>
      <c r="H44" s="48">
        <v>0</v>
      </c>
      <c r="I44" s="48">
        <v>0</v>
      </c>
      <c r="J44" s="48">
        <v>0</v>
      </c>
      <c r="K44" s="48">
        <v>0</v>
      </c>
      <c r="L44" s="48">
        <v>0</v>
      </c>
      <c r="M44" s="48">
        <v>0</v>
      </c>
      <c r="N44" s="48">
        <v>0</v>
      </c>
      <c r="O44" s="48">
        <v>0</v>
      </c>
      <c r="P44" s="48">
        <v>0</v>
      </c>
      <c r="Q44" s="48">
        <v>0</v>
      </c>
      <c r="R44" s="48">
        <v>0</v>
      </c>
      <c r="S44" s="48">
        <v>0</v>
      </c>
      <c r="T44" s="48">
        <v>0</v>
      </c>
      <c r="U44" s="48">
        <v>0</v>
      </c>
      <c r="V44" s="48">
        <v>0</v>
      </c>
      <c r="W44" s="48">
        <v>0</v>
      </c>
      <c r="X44" s="48">
        <v>0</v>
      </c>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row>
    <row r="45" spans="1:97" x14ac:dyDescent="0.35">
      <c r="A45" s="103" t="s">
        <v>2026</v>
      </c>
      <c r="B45" s="48">
        <v>0</v>
      </c>
      <c r="C45" s="48">
        <v>0</v>
      </c>
      <c r="D45" s="48">
        <v>0</v>
      </c>
      <c r="E45" s="48">
        <v>0</v>
      </c>
      <c r="F45" s="48">
        <v>0</v>
      </c>
      <c r="G45" s="48">
        <v>0</v>
      </c>
      <c r="H45" s="48">
        <v>0</v>
      </c>
      <c r="I45" s="48">
        <v>0</v>
      </c>
      <c r="J45" s="48">
        <v>0</v>
      </c>
      <c r="K45" s="48">
        <v>0</v>
      </c>
      <c r="L45" s="48">
        <v>0</v>
      </c>
      <c r="M45" s="48">
        <v>0</v>
      </c>
      <c r="N45" s="48">
        <v>0</v>
      </c>
      <c r="O45" s="48">
        <v>1</v>
      </c>
      <c r="P45" s="48">
        <v>0</v>
      </c>
      <c r="Q45" s="48">
        <v>0</v>
      </c>
      <c r="R45" s="48">
        <v>0</v>
      </c>
      <c r="S45" s="48">
        <v>0</v>
      </c>
      <c r="T45" s="48">
        <v>0</v>
      </c>
      <c r="U45" s="48">
        <v>0</v>
      </c>
      <c r="V45" s="48">
        <v>0</v>
      </c>
      <c r="W45" s="48">
        <v>0</v>
      </c>
      <c r="X45" s="48">
        <v>0</v>
      </c>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row>
    <row r="46" spans="1:97" x14ac:dyDescent="0.35">
      <c r="A46" s="103" t="s">
        <v>1957</v>
      </c>
      <c r="B46" s="48">
        <v>0</v>
      </c>
      <c r="C46" s="48">
        <v>0</v>
      </c>
      <c r="D46" s="48">
        <v>0</v>
      </c>
      <c r="E46" s="48">
        <v>0</v>
      </c>
      <c r="F46" s="48">
        <v>0</v>
      </c>
      <c r="G46" s="48">
        <v>0</v>
      </c>
      <c r="H46" s="48">
        <v>0</v>
      </c>
      <c r="I46" s="48">
        <v>0</v>
      </c>
      <c r="J46" s="48">
        <v>0</v>
      </c>
      <c r="K46" s="48">
        <v>0</v>
      </c>
      <c r="L46" s="48">
        <v>0</v>
      </c>
      <c r="M46" s="48">
        <v>0</v>
      </c>
      <c r="N46" s="48">
        <v>0</v>
      </c>
      <c r="O46" s="48">
        <v>0</v>
      </c>
      <c r="P46" s="48">
        <v>0</v>
      </c>
      <c r="Q46" s="48">
        <v>0</v>
      </c>
      <c r="R46" s="48">
        <v>0</v>
      </c>
      <c r="S46" s="48">
        <v>0</v>
      </c>
      <c r="T46" s="48">
        <v>0</v>
      </c>
      <c r="U46" s="48">
        <v>0</v>
      </c>
      <c r="V46" s="48">
        <v>0</v>
      </c>
      <c r="W46" s="48">
        <v>0</v>
      </c>
      <c r="X46" s="48">
        <v>0</v>
      </c>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row>
    <row r="47" spans="1:97" x14ac:dyDescent="0.35">
      <c r="A47" s="103" t="s">
        <v>1475</v>
      </c>
      <c r="B47" s="48">
        <v>0</v>
      </c>
      <c r="C47" s="48">
        <v>0</v>
      </c>
      <c r="D47" s="48">
        <v>0</v>
      </c>
      <c r="E47" s="48">
        <v>0</v>
      </c>
      <c r="F47" s="48">
        <v>0</v>
      </c>
      <c r="G47" s="48">
        <v>0</v>
      </c>
      <c r="H47" s="48">
        <v>0</v>
      </c>
      <c r="I47" s="48">
        <v>0</v>
      </c>
      <c r="J47" s="48">
        <v>0</v>
      </c>
      <c r="K47" s="48">
        <v>0</v>
      </c>
      <c r="L47" s="48">
        <v>0</v>
      </c>
      <c r="M47" s="48">
        <v>0</v>
      </c>
      <c r="N47" s="48">
        <v>0</v>
      </c>
      <c r="O47" s="48">
        <v>0</v>
      </c>
      <c r="P47" s="48">
        <v>0</v>
      </c>
      <c r="Q47" s="48">
        <v>0</v>
      </c>
      <c r="R47" s="48">
        <v>0</v>
      </c>
      <c r="S47" s="48">
        <v>0</v>
      </c>
      <c r="T47" s="48">
        <v>0</v>
      </c>
      <c r="U47" s="48">
        <v>0</v>
      </c>
      <c r="V47" s="48">
        <v>0</v>
      </c>
      <c r="W47" s="48">
        <v>0</v>
      </c>
      <c r="X47" s="48">
        <v>0</v>
      </c>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row>
    <row r="48" spans="1:97" x14ac:dyDescent="0.35">
      <c r="A48" s="103" t="s">
        <v>2002</v>
      </c>
      <c r="B48" s="48">
        <v>0</v>
      </c>
      <c r="C48" s="48">
        <v>0</v>
      </c>
      <c r="D48" s="48">
        <v>0</v>
      </c>
      <c r="E48" s="48">
        <v>0</v>
      </c>
      <c r="F48" s="48">
        <v>0</v>
      </c>
      <c r="G48" s="48">
        <v>0</v>
      </c>
      <c r="H48" s="48">
        <v>1</v>
      </c>
      <c r="I48" s="48">
        <v>0</v>
      </c>
      <c r="J48" s="48">
        <v>0</v>
      </c>
      <c r="K48" s="48">
        <v>0</v>
      </c>
      <c r="L48" s="48">
        <v>0</v>
      </c>
      <c r="M48" s="48">
        <v>0</v>
      </c>
      <c r="N48" s="48">
        <v>0</v>
      </c>
      <c r="O48" s="48">
        <v>0</v>
      </c>
      <c r="P48" s="48">
        <v>0</v>
      </c>
      <c r="Q48" s="48">
        <v>0</v>
      </c>
      <c r="R48" s="48">
        <v>0</v>
      </c>
      <c r="S48" s="48">
        <v>0</v>
      </c>
      <c r="T48" s="48">
        <v>0</v>
      </c>
      <c r="U48" s="48">
        <v>0</v>
      </c>
      <c r="V48" s="48">
        <v>0</v>
      </c>
      <c r="W48" s="48">
        <v>0</v>
      </c>
      <c r="X48" s="48">
        <v>0</v>
      </c>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row>
    <row r="49" spans="1:97" x14ac:dyDescent="0.35">
      <c r="A49" s="48" t="s">
        <v>2082</v>
      </c>
      <c r="B49" s="48">
        <v>0</v>
      </c>
      <c r="C49" s="48">
        <v>0</v>
      </c>
      <c r="D49" s="48">
        <v>3</v>
      </c>
      <c r="E49" s="48">
        <v>2</v>
      </c>
      <c r="F49" s="48">
        <v>1</v>
      </c>
      <c r="G49" s="48">
        <v>0</v>
      </c>
      <c r="H49" s="48">
        <v>1</v>
      </c>
      <c r="I49" s="48">
        <v>0</v>
      </c>
      <c r="J49" s="48">
        <v>0</v>
      </c>
      <c r="K49" s="48">
        <v>5</v>
      </c>
      <c r="L49" s="48">
        <v>3</v>
      </c>
      <c r="M49" s="48">
        <v>0</v>
      </c>
      <c r="N49" s="48">
        <v>1</v>
      </c>
      <c r="O49" s="48">
        <v>1</v>
      </c>
      <c r="P49" s="48">
        <v>0</v>
      </c>
      <c r="Q49" s="48">
        <v>0</v>
      </c>
      <c r="R49" s="48">
        <v>3</v>
      </c>
      <c r="S49" s="48">
        <v>0</v>
      </c>
      <c r="T49" s="48">
        <v>0</v>
      </c>
      <c r="U49" s="48">
        <v>0</v>
      </c>
      <c r="V49" s="48">
        <v>0</v>
      </c>
      <c r="W49" s="48">
        <v>0</v>
      </c>
      <c r="X49" s="48">
        <v>0</v>
      </c>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3BFEE-1F5B-47A4-94DB-0D71978F4910}">
  <dimension ref="A1:Y503"/>
  <sheetViews>
    <sheetView zoomScale="85" zoomScaleNormal="85" workbookViewId="0">
      <selection activeCell="B12" sqref="B12"/>
    </sheetView>
  </sheetViews>
  <sheetFormatPr defaultRowHeight="14.5" x14ac:dyDescent="0.35"/>
  <cols>
    <col min="2" max="2" width="24.453125" bestFit="1" customWidth="1"/>
    <col min="3" max="3" width="38.1796875" customWidth="1"/>
    <col min="4" max="4" width="28" bestFit="1" customWidth="1"/>
    <col min="5" max="5" width="22" bestFit="1" customWidth="1"/>
    <col min="6" max="6" width="13.54296875" customWidth="1"/>
    <col min="8" max="8" width="15.453125" customWidth="1"/>
    <col min="20" max="20" width="9.26953125" customWidth="1"/>
    <col min="22" max="22" width="18.7265625" customWidth="1"/>
    <col min="23" max="23" width="15.453125" customWidth="1"/>
    <col min="24" max="24" width="87.453125" style="55" customWidth="1"/>
  </cols>
  <sheetData>
    <row r="1" spans="1:25" x14ac:dyDescent="0.35">
      <c r="A1" t="s">
        <v>218</v>
      </c>
      <c r="B1" t="s">
        <v>175</v>
      </c>
      <c r="C1" t="s">
        <v>164</v>
      </c>
      <c r="D1" t="s">
        <v>1379</v>
      </c>
      <c r="E1" s="85" t="s">
        <v>159</v>
      </c>
      <c r="F1" s="86">
        <v>45627</v>
      </c>
      <c r="G1" s="87" t="s">
        <v>2069</v>
      </c>
      <c r="H1" t="s">
        <v>209</v>
      </c>
      <c r="I1">
        <v>0</v>
      </c>
      <c r="J1">
        <v>0</v>
      </c>
      <c r="K1">
        <v>0</v>
      </c>
      <c r="L1">
        <v>0</v>
      </c>
      <c r="M1">
        <v>0</v>
      </c>
      <c r="N1">
        <v>0</v>
      </c>
      <c r="O1" t="s">
        <v>218</v>
      </c>
      <c r="P1" s="1" t="s">
        <v>252</v>
      </c>
      <c r="Q1" t="s">
        <v>260</v>
      </c>
      <c r="R1" t="s">
        <v>274</v>
      </c>
      <c r="S1" t="s">
        <v>278</v>
      </c>
      <c r="T1" t="s">
        <v>290</v>
      </c>
      <c r="U1" t="s">
        <v>297</v>
      </c>
      <c r="V1" t="s">
        <v>305</v>
      </c>
      <c r="W1" t="s">
        <v>307</v>
      </c>
      <c r="X1" s="88" t="s">
        <v>2105</v>
      </c>
      <c r="Y1" t="s">
        <v>1</v>
      </c>
    </row>
    <row r="2" spans="1:25" x14ac:dyDescent="0.35">
      <c r="A2" t="s">
        <v>219</v>
      </c>
      <c r="B2" t="s">
        <v>185</v>
      </c>
      <c r="C2" t="s">
        <v>161</v>
      </c>
      <c r="D2" t="s">
        <v>1891</v>
      </c>
      <c r="E2" s="85" t="s">
        <v>156</v>
      </c>
      <c r="F2" s="86">
        <v>45628</v>
      </c>
      <c r="G2" s="87" t="s">
        <v>2069</v>
      </c>
      <c r="H2" t="s">
        <v>210</v>
      </c>
      <c r="I2">
        <v>1</v>
      </c>
      <c r="J2">
        <v>2</v>
      </c>
      <c r="K2">
        <v>3</v>
      </c>
      <c r="L2">
        <v>5</v>
      </c>
      <c r="M2">
        <v>6</v>
      </c>
      <c r="N2">
        <v>10</v>
      </c>
      <c r="O2" t="s">
        <v>225</v>
      </c>
      <c r="P2" s="1" t="s">
        <v>253</v>
      </c>
      <c r="Q2" t="s">
        <v>261</v>
      </c>
      <c r="R2" t="s">
        <v>275</v>
      </c>
      <c r="S2" t="s">
        <v>279</v>
      </c>
      <c r="T2" t="s">
        <v>291</v>
      </c>
      <c r="U2" t="s">
        <v>298</v>
      </c>
      <c r="V2" t="s">
        <v>306</v>
      </c>
      <c r="W2" t="s">
        <v>308</v>
      </c>
      <c r="X2" s="88" t="s">
        <v>2091</v>
      </c>
      <c r="Y2" t="s">
        <v>1</v>
      </c>
    </row>
    <row r="3" spans="1:25" x14ac:dyDescent="0.35">
      <c r="B3" t="s">
        <v>166</v>
      </c>
      <c r="C3" t="s">
        <v>158</v>
      </c>
      <c r="D3" t="s">
        <v>175</v>
      </c>
      <c r="E3" s="85" t="s">
        <v>154</v>
      </c>
      <c r="F3" s="86">
        <v>45629</v>
      </c>
      <c r="G3" s="87" t="s">
        <v>2069</v>
      </c>
      <c r="H3" t="s">
        <v>211</v>
      </c>
      <c r="P3" s="1" t="s">
        <v>254</v>
      </c>
      <c r="Q3" t="s">
        <v>262</v>
      </c>
      <c r="R3" t="s">
        <v>276</v>
      </c>
      <c r="S3" t="s">
        <v>280</v>
      </c>
      <c r="T3" t="s">
        <v>292</v>
      </c>
      <c r="V3" t="s">
        <v>2242</v>
      </c>
      <c r="W3" t="s">
        <v>309</v>
      </c>
      <c r="X3" s="88" t="s">
        <v>2106</v>
      </c>
      <c r="Y3" t="s">
        <v>1</v>
      </c>
    </row>
    <row r="4" spans="1:25" x14ac:dyDescent="0.35">
      <c r="B4" t="s">
        <v>172</v>
      </c>
      <c r="C4" t="s">
        <v>155</v>
      </c>
      <c r="D4" t="s">
        <v>682</v>
      </c>
      <c r="E4" s="85" t="s">
        <v>145</v>
      </c>
      <c r="F4" s="86">
        <v>45630</v>
      </c>
      <c r="G4" s="87" t="s">
        <v>2069</v>
      </c>
      <c r="H4" t="s">
        <v>212</v>
      </c>
      <c r="P4" s="1" t="s">
        <v>255</v>
      </c>
      <c r="Q4" t="s">
        <v>263</v>
      </c>
      <c r="R4" t="s">
        <v>277</v>
      </c>
      <c r="S4" t="s">
        <v>281</v>
      </c>
      <c r="T4" t="s">
        <v>293</v>
      </c>
      <c r="W4" t="s">
        <v>310</v>
      </c>
      <c r="X4" s="88" t="s">
        <v>2109</v>
      </c>
      <c r="Y4" t="s">
        <v>6</v>
      </c>
    </row>
    <row r="5" spans="1:25" x14ac:dyDescent="0.35">
      <c r="B5" t="s">
        <v>165</v>
      </c>
      <c r="C5" t="s">
        <v>151</v>
      </c>
      <c r="D5" t="s">
        <v>838</v>
      </c>
      <c r="E5" s="85" t="s">
        <v>148</v>
      </c>
      <c r="F5" s="86">
        <v>45631</v>
      </c>
      <c r="G5" s="87" t="s">
        <v>2069</v>
      </c>
      <c r="H5" t="s">
        <v>213</v>
      </c>
      <c r="P5" s="1" t="s">
        <v>256</v>
      </c>
      <c r="Q5" t="s">
        <v>264</v>
      </c>
      <c r="S5" t="s">
        <v>282</v>
      </c>
      <c r="T5" t="s">
        <v>294</v>
      </c>
      <c r="X5" s="88" t="s">
        <v>2092</v>
      </c>
      <c r="Y5" t="s">
        <v>6</v>
      </c>
    </row>
    <row r="6" spans="1:25" x14ac:dyDescent="0.35">
      <c r="B6" t="s">
        <v>162</v>
      </c>
      <c r="C6" t="s">
        <v>149</v>
      </c>
      <c r="D6" t="s">
        <v>411</v>
      </c>
      <c r="E6" s="85" t="s">
        <v>139</v>
      </c>
      <c r="F6" s="86">
        <v>45632</v>
      </c>
      <c r="G6" s="87" t="s">
        <v>2069</v>
      </c>
      <c r="P6" s="1" t="s">
        <v>257</v>
      </c>
      <c r="Q6" t="s">
        <v>265</v>
      </c>
      <c r="S6" t="s">
        <v>283</v>
      </c>
      <c r="T6" t="s">
        <v>295</v>
      </c>
      <c r="X6" s="58" t="s">
        <v>2094</v>
      </c>
      <c r="Y6" t="s">
        <v>11</v>
      </c>
    </row>
    <row r="7" spans="1:25" x14ac:dyDescent="0.35">
      <c r="B7" t="s">
        <v>159</v>
      </c>
      <c r="C7" t="s">
        <v>146</v>
      </c>
      <c r="D7" t="s">
        <v>877</v>
      </c>
      <c r="E7" s="85" t="s">
        <v>137</v>
      </c>
      <c r="F7" s="86">
        <v>45633</v>
      </c>
      <c r="G7" s="87" t="s">
        <v>2069</v>
      </c>
      <c r="P7" s="1" t="s">
        <v>258</v>
      </c>
      <c r="Q7" t="s">
        <v>266</v>
      </c>
      <c r="S7" t="s">
        <v>284</v>
      </c>
      <c r="T7" t="s">
        <v>296</v>
      </c>
      <c r="X7" s="88" t="s">
        <v>2108</v>
      </c>
      <c r="Y7" t="s">
        <v>11</v>
      </c>
    </row>
    <row r="8" spans="1:25" x14ac:dyDescent="0.35">
      <c r="B8" t="s">
        <v>156</v>
      </c>
      <c r="C8" t="s">
        <v>144</v>
      </c>
      <c r="D8" t="s">
        <v>919</v>
      </c>
      <c r="E8" s="85" t="s">
        <v>134</v>
      </c>
      <c r="F8" s="86">
        <v>45634</v>
      </c>
      <c r="G8" s="87" t="s">
        <v>2069</v>
      </c>
      <c r="Q8" t="s">
        <v>267</v>
      </c>
      <c r="S8" t="s">
        <v>285</v>
      </c>
      <c r="X8" s="88" t="s">
        <v>2093</v>
      </c>
      <c r="Y8" t="s">
        <v>11</v>
      </c>
    </row>
    <row r="9" spans="1:25" x14ac:dyDescent="0.35">
      <c r="B9" t="s">
        <v>167</v>
      </c>
      <c r="C9" t="s">
        <v>142</v>
      </c>
      <c r="D9" t="s">
        <v>419</v>
      </c>
      <c r="E9" s="85" t="s">
        <v>132</v>
      </c>
      <c r="F9" s="86">
        <v>45635</v>
      </c>
      <c r="G9" s="87" t="s">
        <v>2069</v>
      </c>
      <c r="Q9" t="s">
        <v>268</v>
      </c>
      <c r="S9" t="s">
        <v>286</v>
      </c>
      <c r="X9" s="88" t="s">
        <v>2107</v>
      </c>
      <c r="Y9" t="s">
        <v>11</v>
      </c>
    </row>
    <row r="10" spans="1:25" x14ac:dyDescent="0.35">
      <c r="B10" t="s">
        <v>179</v>
      </c>
      <c r="C10" t="s">
        <v>140</v>
      </c>
      <c r="D10" t="s">
        <v>1885</v>
      </c>
      <c r="E10" s="85" t="s">
        <v>131</v>
      </c>
      <c r="F10" s="86">
        <v>45636</v>
      </c>
      <c r="G10" s="87" t="s">
        <v>2069</v>
      </c>
      <c r="Q10" t="s">
        <v>269</v>
      </c>
      <c r="S10" t="s">
        <v>287</v>
      </c>
      <c r="X10" s="88" t="s">
        <v>2110</v>
      </c>
      <c r="Y10" t="s">
        <v>11</v>
      </c>
    </row>
    <row r="11" spans="1:25" x14ac:dyDescent="0.35">
      <c r="B11" t="s">
        <v>152</v>
      </c>
      <c r="C11" t="s">
        <v>138</v>
      </c>
      <c r="D11" t="s">
        <v>333</v>
      </c>
      <c r="E11" s="85" t="s">
        <v>2234</v>
      </c>
      <c r="F11" s="86">
        <v>45637</v>
      </c>
      <c r="G11" s="87" t="s">
        <v>2069</v>
      </c>
      <c r="Q11" t="s">
        <v>270</v>
      </c>
      <c r="S11" t="s">
        <v>288</v>
      </c>
      <c r="X11" s="88" t="s">
        <v>2095</v>
      </c>
      <c r="Y11" t="s">
        <v>19</v>
      </c>
    </row>
    <row r="12" spans="1:25" x14ac:dyDescent="0.35">
      <c r="B12" t="s">
        <v>174</v>
      </c>
      <c r="C12" t="s">
        <v>136</v>
      </c>
      <c r="D12" t="s">
        <v>2026</v>
      </c>
      <c r="E12" s="85" t="s">
        <v>135</v>
      </c>
      <c r="F12" s="86">
        <v>45638</v>
      </c>
      <c r="G12" s="87" t="s">
        <v>2069</v>
      </c>
      <c r="Q12" t="s">
        <v>271</v>
      </c>
      <c r="R12" t="s">
        <v>2168</v>
      </c>
      <c r="X12" s="88" t="s">
        <v>2096</v>
      </c>
      <c r="Y12" t="s">
        <v>19</v>
      </c>
    </row>
    <row r="13" spans="1:25" x14ac:dyDescent="0.35">
      <c r="B13" t="s">
        <v>150</v>
      </c>
      <c r="C13" t="s">
        <v>133</v>
      </c>
      <c r="D13" t="s">
        <v>988</v>
      </c>
      <c r="E13" s="85" t="s">
        <v>128</v>
      </c>
      <c r="F13" s="86">
        <v>45639</v>
      </c>
      <c r="G13" s="87" t="s">
        <v>2069</v>
      </c>
      <c r="Q13" t="s">
        <v>272</v>
      </c>
      <c r="X13" s="58" t="s">
        <v>2183</v>
      </c>
      <c r="Y13" t="s">
        <v>19</v>
      </c>
    </row>
    <row r="14" spans="1:25" x14ac:dyDescent="0.35">
      <c r="B14" t="s">
        <v>205</v>
      </c>
      <c r="C14" t="s">
        <v>163</v>
      </c>
      <c r="D14" t="s">
        <v>1981</v>
      </c>
      <c r="E14" s="85" t="s">
        <v>123</v>
      </c>
      <c r="F14" s="86">
        <v>45640</v>
      </c>
      <c r="G14" s="87" t="s">
        <v>2069</v>
      </c>
      <c r="Q14" t="s">
        <v>273</v>
      </c>
      <c r="X14" s="88" t="s">
        <v>2097</v>
      </c>
      <c r="Y14" t="s">
        <v>19</v>
      </c>
    </row>
    <row r="15" spans="1:25" x14ac:dyDescent="0.35">
      <c r="B15" t="s">
        <v>147</v>
      </c>
      <c r="C15" t="s">
        <v>160</v>
      </c>
      <c r="D15" t="s">
        <v>713</v>
      </c>
      <c r="E15" s="85" t="s">
        <v>120</v>
      </c>
      <c r="F15" s="86">
        <v>45641</v>
      </c>
      <c r="G15" s="87" t="s">
        <v>2069</v>
      </c>
      <c r="X15" s="58" t="s">
        <v>2098</v>
      </c>
      <c r="Y15" t="s">
        <v>19</v>
      </c>
    </row>
    <row r="16" spans="1:25" x14ac:dyDescent="0.35">
      <c r="B16" t="s">
        <v>145</v>
      </c>
      <c r="C16" t="s">
        <v>157</v>
      </c>
      <c r="D16" t="s">
        <v>2059</v>
      </c>
      <c r="E16" s="85" t="s">
        <v>119</v>
      </c>
      <c r="F16" s="86">
        <v>45642</v>
      </c>
      <c r="G16" s="87" t="s">
        <v>2069</v>
      </c>
      <c r="X16" s="88" t="s">
        <v>2111</v>
      </c>
      <c r="Y16" t="s">
        <v>19</v>
      </c>
    </row>
    <row r="17" spans="2:25" x14ac:dyDescent="0.35">
      <c r="B17" t="s">
        <v>182</v>
      </c>
      <c r="C17" t="s">
        <v>153</v>
      </c>
      <c r="D17" t="s">
        <v>1459</v>
      </c>
      <c r="E17" s="85" t="s">
        <v>118</v>
      </c>
      <c r="F17" s="86">
        <v>45643</v>
      </c>
      <c r="G17" s="87" t="s">
        <v>2069</v>
      </c>
      <c r="X17" s="88" t="s">
        <v>2110</v>
      </c>
      <c r="Y17" t="s">
        <v>19</v>
      </c>
    </row>
    <row r="18" spans="2:25" x14ac:dyDescent="0.35">
      <c r="B18" t="s">
        <v>143</v>
      </c>
      <c r="C18" t="s">
        <v>2414</v>
      </c>
      <c r="D18" t="s">
        <v>1049</v>
      </c>
      <c r="E18" s="85" t="s">
        <v>117</v>
      </c>
      <c r="F18" s="86">
        <v>45644</v>
      </c>
      <c r="G18" s="87" t="s">
        <v>2069</v>
      </c>
      <c r="X18" s="88" t="s">
        <v>2099</v>
      </c>
      <c r="Y18" t="s">
        <v>28</v>
      </c>
    </row>
    <row r="19" spans="2:25" x14ac:dyDescent="0.35">
      <c r="B19" t="s">
        <v>141</v>
      </c>
      <c r="D19" t="s">
        <v>2209</v>
      </c>
      <c r="E19" s="85" t="s">
        <v>114</v>
      </c>
      <c r="F19" s="86">
        <v>45645</v>
      </c>
      <c r="G19" s="87" t="s">
        <v>2069</v>
      </c>
      <c r="X19" s="88" t="s">
        <v>2112</v>
      </c>
      <c r="Y19" t="s">
        <v>28</v>
      </c>
    </row>
    <row r="20" spans="2:25" x14ac:dyDescent="0.35">
      <c r="B20" t="s">
        <v>139</v>
      </c>
      <c r="D20" t="s">
        <v>162</v>
      </c>
      <c r="E20" s="85" t="s">
        <v>2233</v>
      </c>
      <c r="F20" s="86">
        <v>45646</v>
      </c>
      <c r="G20" s="87" t="s">
        <v>2069</v>
      </c>
      <c r="X20" s="88" t="s">
        <v>2113</v>
      </c>
      <c r="Y20" t="s">
        <v>28</v>
      </c>
    </row>
    <row r="21" spans="2:25" x14ac:dyDescent="0.35">
      <c r="B21" t="s">
        <v>137</v>
      </c>
      <c r="D21" t="s">
        <v>1475</v>
      </c>
      <c r="E21" s="85" t="s">
        <v>111</v>
      </c>
      <c r="F21" s="86">
        <v>45647</v>
      </c>
      <c r="G21" s="87" t="s">
        <v>2069</v>
      </c>
      <c r="X21" s="88" t="s">
        <v>2110</v>
      </c>
      <c r="Y21" t="s">
        <v>28</v>
      </c>
    </row>
    <row r="22" spans="2:25" x14ac:dyDescent="0.35">
      <c r="B22" t="s">
        <v>178</v>
      </c>
      <c r="D22" t="s">
        <v>1439</v>
      </c>
      <c r="E22" s="85" t="s">
        <v>124</v>
      </c>
      <c r="F22" s="86">
        <v>45648</v>
      </c>
      <c r="G22" s="87" t="s">
        <v>2069</v>
      </c>
      <c r="X22" s="88" t="s">
        <v>2114</v>
      </c>
      <c r="Y22" t="s">
        <v>32</v>
      </c>
    </row>
    <row r="23" spans="2:25" x14ac:dyDescent="0.35">
      <c r="B23" t="s">
        <v>134</v>
      </c>
      <c r="D23" t="s">
        <v>817</v>
      </c>
      <c r="E23" s="85" t="s">
        <v>122</v>
      </c>
      <c r="F23" s="86">
        <v>45649</v>
      </c>
      <c r="G23" s="87" t="s">
        <v>2069</v>
      </c>
      <c r="X23" s="88" t="s">
        <v>2115</v>
      </c>
      <c r="Y23" t="s">
        <v>32</v>
      </c>
    </row>
    <row r="24" spans="2:25" x14ac:dyDescent="0.35">
      <c r="B24" t="s">
        <v>132</v>
      </c>
      <c r="D24" t="s">
        <v>765</v>
      </c>
      <c r="E24" s="85" t="s">
        <v>110</v>
      </c>
      <c r="F24" s="86">
        <v>45650</v>
      </c>
      <c r="G24" s="87" t="s">
        <v>2069</v>
      </c>
      <c r="X24" s="88" t="s">
        <v>2116</v>
      </c>
      <c r="Y24" t="s">
        <v>35</v>
      </c>
    </row>
    <row r="25" spans="2:25" x14ac:dyDescent="0.35">
      <c r="B25" t="s">
        <v>186</v>
      </c>
      <c r="D25" t="s">
        <v>1513</v>
      </c>
      <c r="F25" s="86">
        <v>45651</v>
      </c>
      <c r="G25" s="87" t="s">
        <v>2069</v>
      </c>
      <c r="X25" s="88" t="s">
        <v>2117</v>
      </c>
      <c r="Y25" t="s">
        <v>35</v>
      </c>
    </row>
    <row r="26" spans="2:25" x14ac:dyDescent="0.35">
      <c r="B26" t="s">
        <v>183</v>
      </c>
      <c r="D26" t="s">
        <v>460</v>
      </c>
      <c r="F26" s="86">
        <v>45652</v>
      </c>
      <c r="G26" s="87" t="s">
        <v>2069</v>
      </c>
      <c r="X26" s="88" t="s">
        <v>2087</v>
      </c>
      <c r="Y26" t="s">
        <v>35</v>
      </c>
    </row>
    <row r="27" spans="2:25" x14ac:dyDescent="0.35">
      <c r="B27" t="s">
        <v>131</v>
      </c>
      <c r="D27" t="s">
        <v>1713</v>
      </c>
      <c r="F27" s="86">
        <v>45653</v>
      </c>
      <c r="G27" s="87" t="s">
        <v>2069</v>
      </c>
      <c r="X27" s="88" t="s">
        <v>2118</v>
      </c>
      <c r="Y27" t="s">
        <v>39</v>
      </c>
    </row>
    <row r="28" spans="2:25" x14ac:dyDescent="0.35">
      <c r="B28" t="s">
        <v>130</v>
      </c>
      <c r="D28" t="s">
        <v>1507</v>
      </c>
      <c r="F28" s="86">
        <v>45654</v>
      </c>
      <c r="G28" s="87" t="s">
        <v>2069</v>
      </c>
      <c r="X28" s="88" t="s">
        <v>2119</v>
      </c>
      <c r="Y28" t="s">
        <v>39</v>
      </c>
    </row>
    <row r="29" spans="2:25" x14ac:dyDescent="0.35">
      <c r="B29" t="s">
        <v>176</v>
      </c>
      <c r="D29" t="s">
        <v>1780</v>
      </c>
      <c r="F29" s="86">
        <v>45655</v>
      </c>
      <c r="G29" s="87" t="s">
        <v>2069</v>
      </c>
      <c r="X29" s="88" t="s">
        <v>2120</v>
      </c>
      <c r="Y29" t="s">
        <v>39</v>
      </c>
    </row>
    <row r="30" spans="2:25" x14ac:dyDescent="0.35">
      <c r="B30" t="s">
        <v>187</v>
      </c>
      <c r="D30" t="s">
        <v>1915</v>
      </c>
      <c r="F30" s="86">
        <v>45656</v>
      </c>
      <c r="G30" s="87" t="s">
        <v>2069</v>
      </c>
      <c r="X30" s="88" t="s">
        <v>2121</v>
      </c>
      <c r="Y30" t="s">
        <v>39</v>
      </c>
    </row>
    <row r="31" spans="2:25" x14ac:dyDescent="0.35">
      <c r="B31" t="s">
        <v>177</v>
      </c>
      <c r="D31" t="s">
        <v>159</v>
      </c>
      <c r="F31" s="86">
        <v>45657</v>
      </c>
      <c r="G31" s="87" t="s">
        <v>2069</v>
      </c>
      <c r="X31" s="88" t="s">
        <v>2122</v>
      </c>
      <c r="Y31" t="s">
        <v>39</v>
      </c>
    </row>
    <row r="32" spans="2:25" x14ac:dyDescent="0.35">
      <c r="B32" t="s">
        <v>188</v>
      </c>
      <c r="D32" t="s">
        <v>2005</v>
      </c>
      <c r="F32" s="86">
        <v>45658</v>
      </c>
      <c r="G32" s="87" t="s">
        <v>2070</v>
      </c>
      <c r="H32" t="s">
        <v>2304</v>
      </c>
      <c r="X32" s="88" t="s">
        <v>2123</v>
      </c>
      <c r="Y32" t="s">
        <v>39</v>
      </c>
    </row>
    <row r="33" spans="2:25" x14ac:dyDescent="0.35">
      <c r="B33" t="s">
        <v>189</v>
      </c>
      <c r="D33" t="s">
        <v>1741</v>
      </c>
      <c r="F33" s="86">
        <v>45659</v>
      </c>
      <c r="G33" s="87" t="s">
        <v>2070</v>
      </c>
      <c r="H33" t="s">
        <v>2304</v>
      </c>
      <c r="X33" s="88" t="s">
        <v>2124</v>
      </c>
      <c r="Y33" t="s">
        <v>39</v>
      </c>
    </row>
    <row r="34" spans="2:25" x14ac:dyDescent="0.35">
      <c r="B34" t="s">
        <v>129</v>
      </c>
      <c r="D34" t="s">
        <v>1022</v>
      </c>
      <c r="F34" s="86">
        <v>45660</v>
      </c>
      <c r="G34" s="87" t="s">
        <v>2070</v>
      </c>
      <c r="H34" t="s">
        <v>2304</v>
      </c>
      <c r="X34" s="88" t="s">
        <v>2125</v>
      </c>
      <c r="Y34" t="s">
        <v>39</v>
      </c>
    </row>
    <row r="35" spans="2:25" x14ac:dyDescent="0.35">
      <c r="B35" t="s">
        <v>180</v>
      </c>
      <c r="D35" t="s">
        <v>615</v>
      </c>
      <c r="F35" s="86">
        <v>45661</v>
      </c>
      <c r="G35" s="87" t="s">
        <v>2070</v>
      </c>
      <c r="H35" t="s">
        <v>2304</v>
      </c>
      <c r="X35" s="88" t="s">
        <v>2126</v>
      </c>
      <c r="Y35" t="s">
        <v>39</v>
      </c>
    </row>
    <row r="36" spans="2:25" x14ac:dyDescent="0.35">
      <c r="B36" t="s">
        <v>181</v>
      </c>
      <c r="D36" t="s">
        <v>1693</v>
      </c>
      <c r="F36" s="86">
        <v>45662</v>
      </c>
      <c r="G36" s="87" t="s">
        <v>2070</v>
      </c>
      <c r="H36" t="s">
        <v>2304</v>
      </c>
      <c r="X36" s="88" t="s">
        <v>2127</v>
      </c>
      <c r="Y36" t="s">
        <v>2086</v>
      </c>
    </row>
    <row r="37" spans="2:25" x14ac:dyDescent="0.35">
      <c r="B37" t="s">
        <v>128</v>
      </c>
      <c r="D37" t="s">
        <v>539</v>
      </c>
      <c r="F37" s="86">
        <v>45663</v>
      </c>
      <c r="G37" s="87" t="s">
        <v>2070</v>
      </c>
      <c r="H37" t="s">
        <v>2304</v>
      </c>
      <c r="X37" s="88" t="s">
        <v>2128</v>
      </c>
      <c r="Y37" t="s">
        <v>2086</v>
      </c>
    </row>
    <row r="38" spans="2:25" x14ac:dyDescent="0.35">
      <c r="B38" t="s">
        <v>190</v>
      </c>
      <c r="D38" t="s">
        <v>847</v>
      </c>
      <c r="F38" s="86">
        <v>45664</v>
      </c>
      <c r="G38" s="87" t="s">
        <v>2070</v>
      </c>
      <c r="H38" t="s">
        <v>2304</v>
      </c>
      <c r="X38" s="88" t="s">
        <v>2237</v>
      </c>
      <c r="Y38" t="s">
        <v>49</v>
      </c>
    </row>
    <row r="39" spans="2:25" x14ac:dyDescent="0.35">
      <c r="B39" t="s">
        <v>206</v>
      </c>
      <c r="D39" t="s">
        <v>883</v>
      </c>
      <c r="F39" s="86">
        <v>45665</v>
      </c>
      <c r="G39" s="87" t="s">
        <v>2070</v>
      </c>
      <c r="H39" t="s">
        <v>2304</v>
      </c>
      <c r="X39" s="88" t="s">
        <v>2129</v>
      </c>
      <c r="Y39" t="s">
        <v>49</v>
      </c>
    </row>
    <row r="40" spans="2:25" x14ac:dyDescent="0.35">
      <c r="B40" t="s">
        <v>168</v>
      </c>
      <c r="D40" t="s">
        <v>156</v>
      </c>
      <c r="F40" s="86">
        <v>45666</v>
      </c>
      <c r="G40" s="87" t="s">
        <v>2070</v>
      </c>
      <c r="H40" t="s">
        <v>2304</v>
      </c>
      <c r="X40" s="88" t="s">
        <v>2130</v>
      </c>
      <c r="Y40" t="s">
        <v>49</v>
      </c>
    </row>
    <row r="41" spans="2:25" x14ac:dyDescent="0.35">
      <c r="B41" t="s">
        <v>127</v>
      </c>
      <c r="D41" t="s">
        <v>437</v>
      </c>
      <c r="F41" s="86">
        <v>45667</v>
      </c>
      <c r="G41" s="87" t="s">
        <v>2070</v>
      </c>
      <c r="H41" t="s">
        <v>2304</v>
      </c>
      <c r="X41" s="88" t="s">
        <v>2169</v>
      </c>
      <c r="Y41" t="s">
        <v>49</v>
      </c>
    </row>
    <row r="42" spans="2:25" x14ac:dyDescent="0.35">
      <c r="B42" t="s">
        <v>126</v>
      </c>
      <c r="D42" t="s">
        <v>735</v>
      </c>
      <c r="F42" s="86">
        <v>45668</v>
      </c>
      <c r="G42" s="87" t="s">
        <v>2070</v>
      </c>
      <c r="H42" t="s">
        <v>2304</v>
      </c>
      <c r="X42" s="88" t="s">
        <v>2131</v>
      </c>
      <c r="Y42" t="s">
        <v>49</v>
      </c>
    </row>
    <row r="43" spans="2:25" x14ac:dyDescent="0.35">
      <c r="B43" t="s">
        <v>125</v>
      </c>
      <c r="D43" t="s">
        <v>1348</v>
      </c>
      <c r="F43" s="86">
        <v>45669</v>
      </c>
      <c r="G43" s="87" t="s">
        <v>2070</v>
      </c>
      <c r="H43" t="s">
        <v>2305</v>
      </c>
      <c r="X43" s="88" t="s">
        <v>2088</v>
      </c>
      <c r="Y43" t="s">
        <v>53</v>
      </c>
    </row>
    <row r="44" spans="2:25" x14ac:dyDescent="0.35">
      <c r="B44" t="s">
        <v>191</v>
      </c>
      <c r="D44" t="s">
        <v>937</v>
      </c>
      <c r="F44" s="86">
        <v>45670</v>
      </c>
      <c r="G44" s="87" t="s">
        <v>2070</v>
      </c>
      <c r="H44" t="s">
        <v>2305</v>
      </c>
      <c r="X44" s="88" t="s">
        <v>2170</v>
      </c>
      <c r="Y44" t="s">
        <v>53</v>
      </c>
    </row>
    <row r="45" spans="2:25" x14ac:dyDescent="0.35">
      <c r="B45" t="s">
        <v>123</v>
      </c>
      <c r="D45" t="s">
        <v>925</v>
      </c>
      <c r="F45" s="86">
        <v>45671</v>
      </c>
      <c r="G45" s="87" t="s">
        <v>2070</v>
      </c>
      <c r="H45" t="s">
        <v>2305</v>
      </c>
      <c r="X45" s="88" t="s">
        <v>2171</v>
      </c>
      <c r="Y45" t="s">
        <v>53</v>
      </c>
    </row>
    <row r="46" spans="2:25" x14ac:dyDescent="0.35">
      <c r="B46" t="s">
        <v>207</v>
      </c>
      <c r="D46" t="s">
        <v>152</v>
      </c>
      <c r="F46" s="86">
        <v>45672</v>
      </c>
      <c r="G46" s="87" t="s">
        <v>2070</v>
      </c>
      <c r="H46" t="s">
        <v>2305</v>
      </c>
      <c r="X46" s="88" t="s">
        <v>2172</v>
      </c>
      <c r="Y46" t="s">
        <v>53</v>
      </c>
    </row>
    <row r="47" spans="2:25" x14ac:dyDescent="0.35">
      <c r="B47" t="s">
        <v>121</v>
      </c>
      <c r="D47" t="s">
        <v>1969</v>
      </c>
      <c r="F47" s="86">
        <v>45673</v>
      </c>
      <c r="G47" s="87" t="s">
        <v>2070</v>
      </c>
      <c r="H47" t="s">
        <v>2305</v>
      </c>
      <c r="X47" s="88" t="s">
        <v>2173</v>
      </c>
      <c r="Y47" t="s">
        <v>54</v>
      </c>
    </row>
    <row r="48" spans="2:25" x14ac:dyDescent="0.35">
      <c r="B48" t="s">
        <v>120</v>
      </c>
      <c r="D48" t="s">
        <v>874</v>
      </c>
      <c r="F48" s="86">
        <v>45674</v>
      </c>
      <c r="G48" s="87" t="s">
        <v>2070</v>
      </c>
      <c r="H48" t="s">
        <v>2305</v>
      </c>
      <c r="X48" s="88" t="s">
        <v>2132</v>
      </c>
      <c r="Y48" t="s">
        <v>55</v>
      </c>
    </row>
    <row r="49" spans="2:25" x14ac:dyDescent="0.35">
      <c r="B49" t="s">
        <v>119</v>
      </c>
      <c r="D49" t="s">
        <v>536</v>
      </c>
      <c r="F49" s="86">
        <v>45675</v>
      </c>
      <c r="G49" s="87" t="s">
        <v>2070</v>
      </c>
      <c r="H49" t="s">
        <v>2305</v>
      </c>
      <c r="X49" s="88" t="s">
        <v>2133</v>
      </c>
      <c r="Y49" t="s">
        <v>55</v>
      </c>
    </row>
    <row r="50" spans="2:25" x14ac:dyDescent="0.35">
      <c r="B50" t="s">
        <v>192</v>
      </c>
      <c r="D50" t="s">
        <v>1996</v>
      </c>
      <c r="F50" s="86">
        <v>45676</v>
      </c>
      <c r="G50" s="87" t="s">
        <v>2070</v>
      </c>
      <c r="H50" t="s">
        <v>2306</v>
      </c>
      <c r="X50" s="88" t="s">
        <v>2134</v>
      </c>
      <c r="Y50" t="s">
        <v>55</v>
      </c>
    </row>
    <row r="51" spans="2:25" x14ac:dyDescent="0.35">
      <c r="B51" t="s">
        <v>118</v>
      </c>
      <c r="D51" t="s">
        <v>1671</v>
      </c>
      <c r="F51" s="86">
        <v>45677</v>
      </c>
      <c r="G51" s="87" t="s">
        <v>2070</v>
      </c>
      <c r="H51" t="s">
        <v>2306</v>
      </c>
      <c r="X51" s="88" t="s">
        <v>2135</v>
      </c>
      <c r="Y51" t="s">
        <v>55</v>
      </c>
    </row>
    <row r="52" spans="2:25" x14ac:dyDescent="0.35">
      <c r="B52" t="s">
        <v>117</v>
      </c>
      <c r="D52" t="s">
        <v>558</v>
      </c>
      <c r="F52" s="86">
        <v>45678</v>
      </c>
      <c r="G52" s="87" t="s">
        <v>2070</v>
      </c>
      <c r="H52" t="s">
        <v>2306</v>
      </c>
      <c r="X52" s="88" t="s">
        <v>2136</v>
      </c>
      <c r="Y52" t="s">
        <v>102</v>
      </c>
    </row>
    <row r="53" spans="2:25" x14ac:dyDescent="0.35">
      <c r="B53" t="s">
        <v>116</v>
      </c>
      <c r="D53" t="s">
        <v>378</v>
      </c>
      <c r="F53" s="86">
        <v>45679</v>
      </c>
      <c r="G53" s="87" t="s">
        <v>2070</v>
      </c>
      <c r="H53" t="s">
        <v>2306</v>
      </c>
      <c r="X53" s="88" t="s">
        <v>2137</v>
      </c>
      <c r="Y53" t="s">
        <v>102</v>
      </c>
    </row>
    <row r="54" spans="2:25" x14ac:dyDescent="0.35">
      <c r="B54" t="s">
        <v>193</v>
      </c>
      <c r="D54" t="s">
        <v>1653</v>
      </c>
      <c r="F54" s="86">
        <v>45680</v>
      </c>
      <c r="G54" s="87" t="s">
        <v>2070</v>
      </c>
      <c r="H54" t="s">
        <v>2306</v>
      </c>
      <c r="X54" s="88" t="s">
        <v>2138</v>
      </c>
      <c r="Y54" t="s">
        <v>102</v>
      </c>
    </row>
    <row r="55" spans="2:25" x14ac:dyDescent="0.35">
      <c r="B55" t="s">
        <v>194</v>
      </c>
      <c r="D55" t="s">
        <v>1963</v>
      </c>
      <c r="F55" s="86">
        <v>45681</v>
      </c>
      <c r="G55" s="87" t="s">
        <v>2070</v>
      </c>
      <c r="H55" t="s">
        <v>2306</v>
      </c>
      <c r="X55" s="88" t="s">
        <v>2139</v>
      </c>
      <c r="Y55" t="s">
        <v>56</v>
      </c>
    </row>
    <row r="56" spans="2:25" x14ac:dyDescent="0.35">
      <c r="B56" t="s">
        <v>115</v>
      </c>
      <c r="D56" t="s">
        <v>1759</v>
      </c>
      <c r="F56" s="86">
        <v>45682</v>
      </c>
      <c r="G56" s="87" t="s">
        <v>2070</v>
      </c>
      <c r="H56" t="s">
        <v>2306</v>
      </c>
      <c r="X56" s="88" t="s">
        <v>2100</v>
      </c>
      <c r="Y56" t="s">
        <v>56</v>
      </c>
    </row>
    <row r="57" spans="2:25" x14ac:dyDescent="0.35">
      <c r="B57" t="s">
        <v>195</v>
      </c>
      <c r="D57" t="s">
        <v>1750</v>
      </c>
      <c r="F57" s="86">
        <v>45683</v>
      </c>
      <c r="G57" s="87" t="s">
        <v>2070</v>
      </c>
      <c r="H57" t="s">
        <v>2307</v>
      </c>
      <c r="X57" s="88" t="s">
        <v>2140</v>
      </c>
      <c r="Y57" t="s">
        <v>56</v>
      </c>
    </row>
    <row r="58" spans="2:25" x14ac:dyDescent="0.35">
      <c r="B58" t="s">
        <v>196</v>
      </c>
      <c r="D58" t="s">
        <v>1365</v>
      </c>
      <c r="F58" s="86">
        <v>45684</v>
      </c>
      <c r="G58" s="87" t="s">
        <v>2070</v>
      </c>
      <c r="H58" t="s">
        <v>2307</v>
      </c>
      <c r="X58" s="88" t="s">
        <v>2101</v>
      </c>
      <c r="Y58" t="s">
        <v>56</v>
      </c>
    </row>
    <row r="59" spans="2:25" x14ac:dyDescent="0.35">
      <c r="B59" t="s">
        <v>197</v>
      </c>
      <c r="D59" t="s">
        <v>1531</v>
      </c>
      <c r="F59" s="86">
        <v>45685</v>
      </c>
      <c r="G59" s="87" t="s">
        <v>2070</v>
      </c>
      <c r="H59" t="s">
        <v>2307</v>
      </c>
      <c r="X59" s="88" t="s">
        <v>2141</v>
      </c>
      <c r="Y59" t="s">
        <v>61</v>
      </c>
    </row>
    <row r="60" spans="2:25" x14ac:dyDescent="0.35">
      <c r="B60" t="s">
        <v>170</v>
      </c>
      <c r="D60" t="s">
        <v>1554</v>
      </c>
      <c r="F60" s="86">
        <v>45686</v>
      </c>
      <c r="G60" s="87" t="s">
        <v>2070</v>
      </c>
      <c r="H60" t="s">
        <v>2307</v>
      </c>
      <c r="X60" s="88" t="s">
        <v>2142</v>
      </c>
      <c r="Y60" t="s">
        <v>61</v>
      </c>
    </row>
    <row r="61" spans="2:25" x14ac:dyDescent="0.35">
      <c r="B61" t="s">
        <v>198</v>
      </c>
      <c r="D61" t="s">
        <v>150</v>
      </c>
      <c r="F61" s="86">
        <v>45687</v>
      </c>
      <c r="G61" s="87" t="s">
        <v>2070</v>
      </c>
      <c r="H61" t="s">
        <v>2307</v>
      </c>
      <c r="X61" s="88" t="s">
        <v>2143</v>
      </c>
      <c r="Y61" t="s">
        <v>61</v>
      </c>
    </row>
    <row r="62" spans="2:25" x14ac:dyDescent="0.35">
      <c r="B62" t="s">
        <v>114</v>
      </c>
      <c r="D62" t="s">
        <v>2215</v>
      </c>
      <c r="F62" s="86">
        <v>45688</v>
      </c>
      <c r="G62" s="87" t="s">
        <v>2070</v>
      </c>
      <c r="H62" t="s">
        <v>2307</v>
      </c>
      <c r="X62" s="88" t="s">
        <v>2144</v>
      </c>
      <c r="Y62" t="s">
        <v>65</v>
      </c>
    </row>
    <row r="63" spans="2:25" x14ac:dyDescent="0.35">
      <c r="B63" t="s">
        <v>184</v>
      </c>
      <c r="D63" t="s">
        <v>1550</v>
      </c>
      <c r="F63" s="86">
        <v>45689</v>
      </c>
      <c r="G63" s="87" t="s">
        <v>2071</v>
      </c>
      <c r="H63" t="s">
        <v>2309</v>
      </c>
      <c r="X63" s="88" t="s">
        <v>2145</v>
      </c>
      <c r="Y63" t="s">
        <v>65</v>
      </c>
    </row>
    <row r="64" spans="2:25" x14ac:dyDescent="0.35">
      <c r="B64" t="s">
        <v>113</v>
      </c>
      <c r="D64" t="s">
        <v>1563</v>
      </c>
      <c r="F64" s="86">
        <v>45690</v>
      </c>
      <c r="G64" s="87" t="s">
        <v>2071</v>
      </c>
      <c r="H64" t="s">
        <v>2309</v>
      </c>
      <c r="X64" s="88" t="s">
        <v>2102</v>
      </c>
      <c r="Y64" t="s">
        <v>65</v>
      </c>
    </row>
    <row r="65" spans="2:25" x14ac:dyDescent="0.35">
      <c r="B65" t="s">
        <v>199</v>
      </c>
      <c r="D65" t="s">
        <v>546</v>
      </c>
      <c r="F65" s="86">
        <v>45691</v>
      </c>
      <c r="G65" s="87" t="s">
        <v>2071</v>
      </c>
      <c r="H65" t="s">
        <v>2309</v>
      </c>
      <c r="X65" s="88" t="s">
        <v>2103</v>
      </c>
      <c r="Y65" t="s">
        <v>65</v>
      </c>
    </row>
    <row r="66" spans="2:25" x14ac:dyDescent="0.35">
      <c r="B66" t="s">
        <v>200</v>
      </c>
      <c r="D66" t="s">
        <v>1792</v>
      </c>
      <c r="F66" s="86">
        <v>45692</v>
      </c>
      <c r="G66" s="87" t="s">
        <v>2071</v>
      </c>
      <c r="H66" t="s">
        <v>2309</v>
      </c>
      <c r="X66" s="88" t="s">
        <v>2146</v>
      </c>
      <c r="Y66" t="s">
        <v>70</v>
      </c>
    </row>
    <row r="67" spans="2:25" x14ac:dyDescent="0.35">
      <c r="B67" t="s">
        <v>112</v>
      </c>
      <c r="D67" t="s">
        <v>362</v>
      </c>
      <c r="F67" s="86">
        <v>45693</v>
      </c>
      <c r="G67" s="87" t="s">
        <v>2071</v>
      </c>
      <c r="H67" t="s">
        <v>2309</v>
      </c>
      <c r="X67" s="88" t="s">
        <v>2147</v>
      </c>
      <c r="Y67" t="s">
        <v>70</v>
      </c>
    </row>
    <row r="68" spans="2:25" x14ac:dyDescent="0.35">
      <c r="B68" t="s">
        <v>201</v>
      </c>
      <c r="D68" t="s">
        <v>1353</v>
      </c>
      <c r="F68" s="86">
        <v>45694</v>
      </c>
      <c r="G68" s="87" t="s">
        <v>2071</v>
      </c>
      <c r="H68" t="s">
        <v>2309</v>
      </c>
      <c r="X68" s="88" t="s">
        <v>2089</v>
      </c>
      <c r="Y68" t="s">
        <v>70</v>
      </c>
    </row>
    <row r="69" spans="2:25" x14ac:dyDescent="0.35">
      <c r="B69" t="s">
        <v>202</v>
      </c>
      <c r="D69" t="s">
        <v>2217</v>
      </c>
      <c r="F69" s="86">
        <v>45695</v>
      </c>
      <c r="G69" s="87" t="s">
        <v>2071</v>
      </c>
      <c r="H69" t="s">
        <v>2309</v>
      </c>
      <c r="X69" s="88" t="s">
        <v>2148</v>
      </c>
      <c r="Y69" t="s">
        <v>70</v>
      </c>
    </row>
    <row r="70" spans="2:25" x14ac:dyDescent="0.35">
      <c r="B70" t="s">
        <v>203</v>
      </c>
      <c r="D70" t="s">
        <v>1918</v>
      </c>
      <c r="F70" s="86">
        <v>45696</v>
      </c>
      <c r="G70" s="87" t="s">
        <v>2071</v>
      </c>
      <c r="H70" t="s">
        <v>2309</v>
      </c>
      <c r="X70" s="88" t="s">
        <v>2149</v>
      </c>
      <c r="Y70" t="s">
        <v>75</v>
      </c>
    </row>
    <row r="71" spans="2:25" x14ac:dyDescent="0.35">
      <c r="B71" t="s">
        <v>111</v>
      </c>
      <c r="D71" t="s">
        <v>655</v>
      </c>
      <c r="F71" s="86">
        <v>45697</v>
      </c>
      <c r="G71" s="87" t="s">
        <v>2071</v>
      </c>
      <c r="H71" t="s">
        <v>2310</v>
      </c>
      <c r="X71" s="88" t="s">
        <v>2150</v>
      </c>
      <c r="Y71" t="s">
        <v>77</v>
      </c>
    </row>
    <row r="72" spans="2:25" x14ac:dyDescent="0.35">
      <c r="B72" t="s">
        <v>173</v>
      </c>
      <c r="D72" t="s">
        <v>943</v>
      </c>
      <c r="F72" s="86">
        <v>45698</v>
      </c>
      <c r="G72" s="87" t="s">
        <v>2071</v>
      </c>
      <c r="H72" t="s">
        <v>2310</v>
      </c>
      <c r="X72" s="88" t="s">
        <v>2151</v>
      </c>
      <c r="Y72" t="s">
        <v>77</v>
      </c>
    </row>
    <row r="73" spans="2:25" x14ac:dyDescent="0.35">
      <c r="B73" t="s">
        <v>124</v>
      </c>
      <c r="D73" t="s">
        <v>1888</v>
      </c>
      <c r="F73" s="86">
        <v>45699</v>
      </c>
      <c r="G73" s="87" t="s">
        <v>2071</v>
      </c>
      <c r="H73" t="s">
        <v>2310</v>
      </c>
      <c r="X73" s="88" t="s">
        <v>2152</v>
      </c>
      <c r="Y73" t="s">
        <v>77</v>
      </c>
    </row>
    <row r="74" spans="2:25" x14ac:dyDescent="0.35">
      <c r="B74" t="s">
        <v>204</v>
      </c>
      <c r="D74" t="s">
        <v>1472</v>
      </c>
      <c r="F74" s="86">
        <v>45700</v>
      </c>
      <c r="G74" s="87" t="s">
        <v>2071</v>
      </c>
      <c r="H74" t="s">
        <v>2310</v>
      </c>
      <c r="X74" s="88" t="s">
        <v>2090</v>
      </c>
      <c r="Y74" t="s">
        <v>77</v>
      </c>
    </row>
    <row r="75" spans="2:25" x14ac:dyDescent="0.35">
      <c r="B75" t="s">
        <v>169</v>
      </c>
      <c r="D75" t="s">
        <v>205</v>
      </c>
      <c r="F75" s="86">
        <v>45701</v>
      </c>
      <c r="G75" s="87" t="s">
        <v>2071</v>
      </c>
      <c r="H75" t="s">
        <v>2310</v>
      </c>
      <c r="X75" s="88" t="s">
        <v>2153</v>
      </c>
      <c r="Y75" t="s">
        <v>82</v>
      </c>
    </row>
    <row r="76" spans="2:25" x14ac:dyDescent="0.35">
      <c r="B76" t="s">
        <v>110</v>
      </c>
      <c r="D76" t="s">
        <v>1681</v>
      </c>
      <c r="F76" s="86">
        <v>45702</v>
      </c>
      <c r="G76" s="87" t="s">
        <v>2071</v>
      </c>
      <c r="H76" t="s">
        <v>2310</v>
      </c>
      <c r="X76" s="88" t="s">
        <v>2155</v>
      </c>
      <c r="Y76" t="s">
        <v>82</v>
      </c>
    </row>
    <row r="77" spans="2:25" x14ac:dyDescent="0.35">
      <c r="B77" t="s">
        <v>171</v>
      </c>
      <c r="D77" t="s">
        <v>1858</v>
      </c>
      <c r="F77" s="86">
        <v>45703</v>
      </c>
      <c r="G77" s="87" t="s">
        <v>2071</v>
      </c>
      <c r="H77" t="s">
        <v>2310</v>
      </c>
      <c r="X77" s="88" t="s">
        <v>2154</v>
      </c>
      <c r="Y77" t="s">
        <v>82</v>
      </c>
    </row>
    <row r="78" spans="2:25" x14ac:dyDescent="0.35">
      <c r="D78" t="s">
        <v>1616</v>
      </c>
      <c r="F78" s="86">
        <v>45704</v>
      </c>
      <c r="G78" s="87" t="s">
        <v>2071</v>
      </c>
      <c r="H78" t="s">
        <v>2311</v>
      </c>
      <c r="X78" s="88" t="s">
        <v>2156</v>
      </c>
      <c r="Y78" t="s">
        <v>82</v>
      </c>
    </row>
    <row r="79" spans="2:25" x14ac:dyDescent="0.35">
      <c r="D79" t="s">
        <v>1730</v>
      </c>
      <c r="F79" s="86">
        <v>45705</v>
      </c>
      <c r="G79" s="87" t="s">
        <v>2071</v>
      </c>
      <c r="H79" t="s">
        <v>2311</v>
      </c>
      <c r="X79" s="88" t="s">
        <v>2157</v>
      </c>
      <c r="Y79" t="s">
        <v>87</v>
      </c>
    </row>
    <row r="80" spans="2:25" x14ac:dyDescent="0.35">
      <c r="D80" t="s">
        <v>1909</v>
      </c>
      <c r="F80" s="86">
        <v>45706</v>
      </c>
      <c r="G80" s="87" t="s">
        <v>2071</v>
      </c>
      <c r="H80" t="s">
        <v>2311</v>
      </c>
      <c r="X80" s="88" t="s">
        <v>2104</v>
      </c>
      <c r="Y80" t="s">
        <v>89</v>
      </c>
    </row>
    <row r="81" spans="4:25" x14ac:dyDescent="0.35">
      <c r="D81" t="s">
        <v>1720</v>
      </c>
      <c r="F81" s="86">
        <v>45707</v>
      </c>
      <c r="G81" s="87" t="s">
        <v>2071</v>
      </c>
      <c r="H81" t="s">
        <v>2311</v>
      </c>
      <c r="X81" s="88" t="s">
        <v>2158</v>
      </c>
      <c r="Y81" t="s">
        <v>91</v>
      </c>
    </row>
    <row r="82" spans="4:25" x14ac:dyDescent="0.35">
      <c r="D82" t="s">
        <v>1544</v>
      </c>
      <c r="F82" s="86">
        <v>45708</v>
      </c>
      <c r="G82" s="87" t="s">
        <v>2071</v>
      </c>
      <c r="H82" t="s">
        <v>2311</v>
      </c>
      <c r="X82" s="88" t="s">
        <v>2159</v>
      </c>
      <c r="Y82" t="s">
        <v>91</v>
      </c>
    </row>
    <row r="83" spans="4:25" x14ac:dyDescent="0.35">
      <c r="D83" t="s">
        <v>385</v>
      </c>
      <c r="F83" s="86">
        <v>45709</v>
      </c>
      <c r="G83" s="87" t="s">
        <v>2071</v>
      </c>
      <c r="H83" t="s">
        <v>2311</v>
      </c>
      <c r="X83" s="88" t="s">
        <v>2160</v>
      </c>
      <c r="Y83" t="s">
        <v>94</v>
      </c>
    </row>
    <row r="84" spans="4:25" x14ac:dyDescent="0.35">
      <c r="D84" t="s">
        <v>2053</v>
      </c>
      <c r="F84" s="86">
        <v>45710</v>
      </c>
      <c r="G84" s="87" t="s">
        <v>2071</v>
      </c>
      <c r="H84" t="s">
        <v>2311</v>
      </c>
      <c r="X84" s="88" t="s">
        <v>2161</v>
      </c>
      <c r="Y84" t="s">
        <v>94</v>
      </c>
    </row>
    <row r="85" spans="4:25" x14ac:dyDescent="0.35">
      <c r="D85" t="s">
        <v>561</v>
      </c>
      <c r="F85" s="86">
        <v>45711</v>
      </c>
      <c r="G85" s="87" t="s">
        <v>2071</v>
      </c>
      <c r="H85" t="s">
        <v>2308</v>
      </c>
      <c r="X85" s="88" t="s">
        <v>2162</v>
      </c>
      <c r="Y85" t="s">
        <v>94</v>
      </c>
    </row>
    <row r="86" spans="4:25" x14ac:dyDescent="0.35">
      <c r="D86" t="s">
        <v>889</v>
      </c>
      <c r="F86" s="86">
        <v>45712</v>
      </c>
      <c r="G86" s="87" t="s">
        <v>2071</v>
      </c>
      <c r="H86" t="s">
        <v>2308</v>
      </c>
      <c r="X86" s="88" t="s">
        <v>2163</v>
      </c>
      <c r="Y86" t="s">
        <v>94</v>
      </c>
    </row>
    <row r="87" spans="4:25" x14ac:dyDescent="0.35">
      <c r="D87" t="s">
        <v>2227</v>
      </c>
      <c r="F87" s="86">
        <v>45713</v>
      </c>
      <c r="G87" s="87" t="s">
        <v>2071</v>
      </c>
      <c r="H87" t="s">
        <v>2308</v>
      </c>
      <c r="X87" s="88" t="s">
        <v>2164</v>
      </c>
      <c r="Y87" t="s">
        <v>99</v>
      </c>
    </row>
    <row r="88" spans="4:25" x14ac:dyDescent="0.35">
      <c r="D88" t="s">
        <v>710</v>
      </c>
      <c r="F88" s="86">
        <v>45714</v>
      </c>
      <c r="G88" s="87" t="s">
        <v>2071</v>
      </c>
      <c r="H88" t="s">
        <v>2308</v>
      </c>
      <c r="X88" s="58" t="s">
        <v>2181</v>
      </c>
      <c r="Y88" t="s">
        <v>99</v>
      </c>
    </row>
    <row r="89" spans="4:25" x14ac:dyDescent="0.35">
      <c r="D89" t="s">
        <v>1957</v>
      </c>
      <c r="F89" s="86">
        <v>45715</v>
      </c>
      <c r="G89" s="87" t="s">
        <v>2071</v>
      </c>
      <c r="H89" t="s">
        <v>2308</v>
      </c>
      <c r="X89" s="88" t="s">
        <v>2165</v>
      </c>
      <c r="Y89" t="s">
        <v>224</v>
      </c>
    </row>
    <row r="90" spans="4:25" x14ac:dyDescent="0.35">
      <c r="D90" t="s">
        <v>352</v>
      </c>
      <c r="F90" s="86">
        <v>45716</v>
      </c>
      <c r="G90" s="87" t="s">
        <v>2071</v>
      </c>
      <c r="H90" t="s">
        <v>2308</v>
      </c>
      <c r="X90" s="88" t="s">
        <v>2166</v>
      </c>
      <c r="Y90" t="s">
        <v>224</v>
      </c>
    </row>
    <row r="91" spans="4:25" x14ac:dyDescent="0.35">
      <c r="D91" t="s">
        <v>147</v>
      </c>
      <c r="F91" s="86">
        <v>45717</v>
      </c>
      <c r="G91" s="87" t="s">
        <v>2072</v>
      </c>
      <c r="X91" s="88" t="s">
        <v>2167</v>
      </c>
      <c r="Y91" t="s">
        <v>224</v>
      </c>
    </row>
    <row r="92" spans="4:25" x14ac:dyDescent="0.35">
      <c r="D92" t="s">
        <v>1619</v>
      </c>
      <c r="F92" s="86">
        <v>45718</v>
      </c>
      <c r="G92" s="87" t="s">
        <v>2072</v>
      </c>
      <c r="X92" s="88" t="s">
        <v>223</v>
      </c>
      <c r="Y92" t="s">
        <v>224</v>
      </c>
    </row>
    <row r="93" spans="4:25" x14ac:dyDescent="0.35">
      <c r="D93" t="s">
        <v>154</v>
      </c>
      <c r="F93" s="86">
        <v>45719</v>
      </c>
      <c r="G93" s="87" t="s">
        <v>2072</v>
      </c>
    </row>
    <row r="94" spans="4:25" x14ac:dyDescent="0.35">
      <c r="D94" t="s">
        <v>704</v>
      </c>
      <c r="F94" s="86">
        <v>45720</v>
      </c>
      <c r="G94" s="87" t="s">
        <v>2072</v>
      </c>
    </row>
    <row r="95" spans="4:25" x14ac:dyDescent="0.35">
      <c r="D95" t="s">
        <v>585</v>
      </c>
      <c r="F95" s="86">
        <v>45721</v>
      </c>
      <c r="G95" s="87" t="s">
        <v>2072</v>
      </c>
    </row>
    <row r="96" spans="4:25" x14ac:dyDescent="0.35">
      <c r="D96" t="s">
        <v>793</v>
      </c>
      <c r="F96" s="86">
        <v>45722</v>
      </c>
      <c r="G96" s="87" t="s">
        <v>2072</v>
      </c>
    </row>
    <row r="97" spans="4:7" x14ac:dyDescent="0.35">
      <c r="D97" t="s">
        <v>603</v>
      </c>
      <c r="F97" s="86">
        <v>45723</v>
      </c>
      <c r="G97" s="87" t="s">
        <v>2072</v>
      </c>
    </row>
    <row r="98" spans="4:7" x14ac:dyDescent="0.35">
      <c r="D98" t="s">
        <v>865</v>
      </c>
      <c r="F98" s="86">
        <v>45724</v>
      </c>
      <c r="G98" s="87" t="s">
        <v>2072</v>
      </c>
    </row>
    <row r="99" spans="4:7" x14ac:dyDescent="0.35">
      <c r="D99" t="s">
        <v>679</v>
      </c>
      <c r="F99" s="86">
        <v>45725</v>
      </c>
      <c r="G99" s="87" t="s">
        <v>2072</v>
      </c>
    </row>
    <row r="100" spans="4:7" x14ac:dyDescent="0.35">
      <c r="D100" t="s">
        <v>527</v>
      </c>
      <c r="F100" s="86">
        <v>45726</v>
      </c>
      <c r="G100" s="87" t="s">
        <v>2072</v>
      </c>
    </row>
    <row r="101" spans="4:7" x14ac:dyDescent="0.35">
      <c r="D101" t="s">
        <v>431</v>
      </c>
      <c r="F101" s="86">
        <v>45727</v>
      </c>
      <c r="G101" s="87" t="s">
        <v>2072</v>
      </c>
    </row>
    <row r="102" spans="4:7" x14ac:dyDescent="0.35">
      <c r="D102" t="s">
        <v>1025</v>
      </c>
      <c r="F102" s="86">
        <v>45728</v>
      </c>
      <c r="G102" s="87" t="s">
        <v>2072</v>
      </c>
    </row>
    <row r="103" spans="4:7" x14ac:dyDescent="0.35">
      <c r="D103" t="s">
        <v>555</v>
      </c>
      <c r="F103" s="86">
        <v>45729</v>
      </c>
      <c r="G103" s="87" t="s">
        <v>2072</v>
      </c>
    </row>
    <row r="104" spans="4:7" x14ac:dyDescent="0.35">
      <c r="D104" t="s">
        <v>760</v>
      </c>
      <c r="F104" s="86">
        <v>45730</v>
      </c>
      <c r="G104" s="87" t="s">
        <v>2072</v>
      </c>
    </row>
    <row r="105" spans="4:7" x14ac:dyDescent="0.35">
      <c r="D105" t="s">
        <v>1385</v>
      </c>
      <c r="F105" s="86">
        <v>45731</v>
      </c>
      <c r="G105" s="87" t="s">
        <v>2072</v>
      </c>
    </row>
    <row r="106" spans="4:7" x14ac:dyDescent="0.35">
      <c r="D106" t="s">
        <v>468</v>
      </c>
      <c r="F106" s="86">
        <v>45732</v>
      </c>
      <c r="G106" s="87" t="s">
        <v>2072</v>
      </c>
    </row>
    <row r="107" spans="4:7" x14ac:dyDescent="0.35">
      <c r="D107" t="s">
        <v>901</v>
      </c>
      <c r="F107" s="86">
        <v>45733</v>
      </c>
      <c r="G107" s="87" t="s">
        <v>2072</v>
      </c>
    </row>
    <row r="108" spans="4:7" x14ac:dyDescent="0.35">
      <c r="D108" t="s">
        <v>2225</v>
      </c>
      <c r="F108" s="86">
        <v>45734</v>
      </c>
      <c r="G108" s="87" t="s">
        <v>2072</v>
      </c>
    </row>
    <row r="109" spans="4:7" x14ac:dyDescent="0.35">
      <c r="D109" t="s">
        <v>1864</v>
      </c>
      <c r="F109" s="86">
        <v>45735</v>
      </c>
      <c r="G109" s="87" t="s">
        <v>2072</v>
      </c>
    </row>
    <row r="110" spans="4:7" x14ac:dyDescent="0.35">
      <c r="D110" t="s">
        <v>145</v>
      </c>
      <c r="F110" s="86">
        <v>45736</v>
      </c>
      <c r="G110" s="87" t="s">
        <v>2072</v>
      </c>
    </row>
    <row r="111" spans="4:7" x14ac:dyDescent="0.35">
      <c r="D111" t="s">
        <v>1668</v>
      </c>
      <c r="F111" s="86">
        <v>45737</v>
      </c>
      <c r="G111" s="87" t="s">
        <v>2072</v>
      </c>
    </row>
    <row r="112" spans="4:7" x14ac:dyDescent="0.35">
      <c r="D112" t="s">
        <v>964</v>
      </c>
      <c r="F112" s="86">
        <v>45738</v>
      </c>
      <c r="G112" s="87" t="s">
        <v>2072</v>
      </c>
    </row>
    <row r="113" spans="4:7" x14ac:dyDescent="0.35">
      <c r="D113" t="s">
        <v>1630</v>
      </c>
      <c r="F113" s="86">
        <v>45739</v>
      </c>
      <c r="G113" s="87" t="s">
        <v>2072</v>
      </c>
    </row>
    <row r="114" spans="4:7" x14ac:dyDescent="0.35">
      <c r="D114" t="s">
        <v>880</v>
      </c>
      <c r="F114" s="86">
        <v>45740</v>
      </c>
      <c r="G114" s="87" t="s">
        <v>2072</v>
      </c>
    </row>
    <row r="115" spans="4:7" x14ac:dyDescent="0.35">
      <c r="D115" t="s">
        <v>1578</v>
      </c>
      <c r="F115" s="86">
        <v>45741</v>
      </c>
      <c r="G115" s="87" t="s">
        <v>2072</v>
      </c>
    </row>
    <row r="116" spans="4:7" x14ac:dyDescent="0.35">
      <c r="D116" t="s">
        <v>639</v>
      </c>
      <c r="F116" s="86">
        <v>45742</v>
      </c>
      <c r="G116" s="87" t="s">
        <v>2072</v>
      </c>
    </row>
    <row r="117" spans="4:7" x14ac:dyDescent="0.35">
      <c r="D117" t="s">
        <v>1984</v>
      </c>
      <c r="F117" s="86">
        <v>45743</v>
      </c>
      <c r="G117" s="87" t="s">
        <v>2072</v>
      </c>
    </row>
    <row r="118" spans="4:7" x14ac:dyDescent="0.35">
      <c r="D118" t="s">
        <v>664</v>
      </c>
      <c r="F118" s="86">
        <v>45744</v>
      </c>
      <c r="G118" s="87" t="s">
        <v>2072</v>
      </c>
    </row>
    <row r="119" spans="4:7" x14ac:dyDescent="0.35">
      <c r="D119" t="s">
        <v>337</v>
      </c>
      <c r="F119" s="86">
        <v>45745</v>
      </c>
      <c r="G119" s="87" t="s">
        <v>2072</v>
      </c>
    </row>
    <row r="120" spans="4:7" x14ac:dyDescent="0.35">
      <c r="D120" t="s">
        <v>1960</v>
      </c>
      <c r="F120" s="86">
        <v>45746</v>
      </c>
      <c r="G120" s="87" t="s">
        <v>2072</v>
      </c>
    </row>
    <row r="121" spans="4:7" x14ac:dyDescent="0.35">
      <c r="D121" t="s">
        <v>667</v>
      </c>
      <c r="F121" s="86">
        <v>45747</v>
      </c>
      <c r="G121" s="87" t="s">
        <v>2072</v>
      </c>
    </row>
    <row r="122" spans="4:7" x14ac:dyDescent="0.35">
      <c r="D122" t="s">
        <v>1849</v>
      </c>
      <c r="F122" s="86">
        <v>45748</v>
      </c>
      <c r="G122" s="87" t="s">
        <v>2073</v>
      </c>
    </row>
    <row r="123" spans="4:7" x14ac:dyDescent="0.35">
      <c r="D123" t="s">
        <v>564</v>
      </c>
      <c r="F123" s="86">
        <v>45749</v>
      </c>
      <c r="G123" s="87" t="s">
        <v>2073</v>
      </c>
    </row>
    <row r="124" spans="4:7" x14ac:dyDescent="0.35">
      <c r="D124" t="s">
        <v>1906</v>
      </c>
      <c r="F124" s="86">
        <v>45750</v>
      </c>
      <c r="G124" s="87" t="s">
        <v>2073</v>
      </c>
    </row>
    <row r="125" spans="4:7" x14ac:dyDescent="0.35">
      <c r="D125" t="s">
        <v>1584</v>
      </c>
      <c r="F125" s="86">
        <v>45751</v>
      </c>
      <c r="G125" s="87" t="s">
        <v>2073</v>
      </c>
    </row>
    <row r="126" spans="4:7" x14ac:dyDescent="0.35">
      <c r="D126" t="s">
        <v>182</v>
      </c>
      <c r="F126" s="86">
        <v>45752</v>
      </c>
      <c r="G126" s="87" t="s">
        <v>2073</v>
      </c>
    </row>
    <row r="127" spans="4:7" x14ac:dyDescent="0.35">
      <c r="D127" t="s">
        <v>2017</v>
      </c>
      <c r="F127" s="86">
        <v>45753</v>
      </c>
      <c r="G127" s="87" t="s">
        <v>2073</v>
      </c>
    </row>
    <row r="128" spans="4:7" x14ac:dyDescent="0.35">
      <c r="D128" t="s">
        <v>695</v>
      </c>
      <c r="F128" s="86">
        <v>45754</v>
      </c>
      <c r="G128" s="87" t="s">
        <v>2073</v>
      </c>
    </row>
    <row r="129" spans="4:7" x14ac:dyDescent="0.35">
      <c r="D129" t="s">
        <v>1560</v>
      </c>
      <c r="F129" s="86">
        <v>45755</v>
      </c>
      <c r="G129" s="87" t="s">
        <v>2073</v>
      </c>
    </row>
    <row r="130" spans="4:7" x14ac:dyDescent="0.35">
      <c r="D130" t="s">
        <v>1870</v>
      </c>
      <c r="F130" s="86">
        <v>45756</v>
      </c>
      <c r="G130" s="87" t="s">
        <v>2073</v>
      </c>
    </row>
    <row r="131" spans="4:7" x14ac:dyDescent="0.35">
      <c r="D131" t="s">
        <v>1825</v>
      </c>
      <c r="F131" s="86">
        <v>45757</v>
      </c>
      <c r="G131" s="87" t="s">
        <v>2073</v>
      </c>
    </row>
    <row r="132" spans="4:7" x14ac:dyDescent="0.35">
      <c r="D132" t="s">
        <v>1753</v>
      </c>
      <c r="F132" s="86">
        <v>45758</v>
      </c>
      <c r="G132" s="87" t="s">
        <v>2073</v>
      </c>
    </row>
    <row r="133" spans="4:7" x14ac:dyDescent="0.35">
      <c r="D133" t="s">
        <v>1771</v>
      </c>
      <c r="F133" s="86">
        <v>45759</v>
      </c>
      <c r="G133" s="87" t="s">
        <v>2073</v>
      </c>
    </row>
    <row r="134" spans="4:7" x14ac:dyDescent="0.35">
      <c r="D134" t="s">
        <v>453</v>
      </c>
      <c r="F134" s="86">
        <v>45760</v>
      </c>
      <c r="G134" s="87" t="s">
        <v>2073</v>
      </c>
    </row>
    <row r="135" spans="4:7" x14ac:dyDescent="0.35">
      <c r="D135" t="s">
        <v>1627</v>
      </c>
      <c r="F135" s="86">
        <v>45761</v>
      </c>
      <c r="G135" s="87" t="s">
        <v>2073</v>
      </c>
    </row>
    <row r="136" spans="4:7" x14ac:dyDescent="0.35">
      <c r="D136" t="s">
        <v>1933</v>
      </c>
      <c r="F136" s="86">
        <v>45762</v>
      </c>
      <c r="G136" s="87" t="s">
        <v>2073</v>
      </c>
    </row>
    <row r="137" spans="4:7" x14ac:dyDescent="0.35">
      <c r="D137" t="s">
        <v>1855</v>
      </c>
      <c r="F137" s="86">
        <v>45763</v>
      </c>
      <c r="G137" s="87" t="s">
        <v>2073</v>
      </c>
    </row>
    <row r="138" spans="4:7" x14ac:dyDescent="0.35">
      <c r="D138" t="s">
        <v>859</v>
      </c>
      <c r="F138" s="86">
        <v>45764</v>
      </c>
      <c r="G138" s="87" t="s">
        <v>2073</v>
      </c>
    </row>
    <row r="139" spans="4:7" x14ac:dyDescent="0.35">
      <c r="D139" t="s">
        <v>141</v>
      </c>
      <c r="F139" s="86">
        <v>45765</v>
      </c>
      <c r="G139" s="87" t="s">
        <v>2073</v>
      </c>
    </row>
    <row r="140" spans="4:7" x14ac:dyDescent="0.35">
      <c r="D140" t="s">
        <v>670</v>
      </c>
      <c r="F140" s="86">
        <v>45766</v>
      </c>
      <c r="G140" s="87" t="s">
        <v>2073</v>
      </c>
    </row>
    <row r="141" spans="4:7" x14ac:dyDescent="0.35">
      <c r="D141" t="s">
        <v>1034</v>
      </c>
      <c r="F141" s="86">
        <v>45767</v>
      </c>
      <c r="G141" s="87" t="s">
        <v>2073</v>
      </c>
    </row>
    <row r="142" spans="4:7" x14ac:dyDescent="0.35">
      <c r="D142" t="s">
        <v>844</v>
      </c>
      <c r="F142" s="86">
        <v>45768</v>
      </c>
      <c r="G142" s="87" t="s">
        <v>2073</v>
      </c>
    </row>
    <row r="143" spans="4:7" x14ac:dyDescent="0.35">
      <c r="D143" t="s">
        <v>2056</v>
      </c>
      <c r="F143" s="86">
        <v>45769</v>
      </c>
      <c r="G143" s="87" t="s">
        <v>2073</v>
      </c>
    </row>
    <row r="144" spans="4:7" x14ac:dyDescent="0.35">
      <c r="D144" t="s">
        <v>139</v>
      </c>
      <c r="F144" s="86">
        <v>45770</v>
      </c>
      <c r="G144" s="87" t="s">
        <v>2073</v>
      </c>
    </row>
    <row r="145" spans="4:7" x14ac:dyDescent="0.35">
      <c r="D145" t="s">
        <v>636</v>
      </c>
      <c r="F145" s="86">
        <v>45771</v>
      </c>
      <c r="G145" s="87" t="s">
        <v>2073</v>
      </c>
    </row>
    <row r="146" spans="4:7" x14ac:dyDescent="0.35">
      <c r="D146" t="s">
        <v>719</v>
      </c>
      <c r="F146" s="86">
        <v>45772</v>
      </c>
      <c r="G146" s="87" t="s">
        <v>2073</v>
      </c>
    </row>
    <row r="147" spans="4:7" x14ac:dyDescent="0.35">
      <c r="D147" t="s">
        <v>1948</v>
      </c>
      <c r="F147" s="86">
        <v>45773</v>
      </c>
      <c r="G147" s="87" t="s">
        <v>2073</v>
      </c>
    </row>
    <row r="148" spans="4:7" x14ac:dyDescent="0.35">
      <c r="D148" t="s">
        <v>1972</v>
      </c>
      <c r="F148" s="86">
        <v>45774</v>
      </c>
      <c r="G148" s="87" t="s">
        <v>2073</v>
      </c>
    </row>
    <row r="149" spans="4:7" x14ac:dyDescent="0.35">
      <c r="D149" t="s">
        <v>137</v>
      </c>
      <c r="F149" s="86">
        <v>45775</v>
      </c>
      <c r="G149" s="87" t="s">
        <v>2073</v>
      </c>
    </row>
    <row r="150" spans="4:7" x14ac:dyDescent="0.35">
      <c r="D150" t="s">
        <v>976</v>
      </c>
      <c r="F150" s="86">
        <v>45776</v>
      </c>
      <c r="G150" s="87" t="s">
        <v>2073</v>
      </c>
    </row>
    <row r="151" spans="4:7" x14ac:dyDescent="0.35">
      <c r="D151" t="s">
        <v>134</v>
      </c>
      <c r="F151" s="86">
        <v>45777</v>
      </c>
      <c r="G151" s="87" t="s">
        <v>2073</v>
      </c>
    </row>
    <row r="152" spans="4:7" x14ac:dyDescent="0.35">
      <c r="D152" t="s">
        <v>1840</v>
      </c>
      <c r="F152" s="86">
        <v>45778</v>
      </c>
      <c r="G152" s="87" t="s">
        <v>2074</v>
      </c>
    </row>
    <row r="153" spans="4:7" x14ac:dyDescent="0.35">
      <c r="D153" t="s">
        <v>1930</v>
      </c>
      <c r="F153" s="86">
        <v>45779</v>
      </c>
      <c r="G153" s="87" t="s">
        <v>2074</v>
      </c>
    </row>
    <row r="154" spans="4:7" x14ac:dyDescent="0.35">
      <c r="D154" t="s">
        <v>132</v>
      </c>
      <c r="F154" s="86">
        <v>45780</v>
      </c>
      <c r="G154" s="87" t="s">
        <v>2074</v>
      </c>
    </row>
    <row r="155" spans="4:7" x14ac:dyDescent="0.35">
      <c r="D155" t="s">
        <v>463</v>
      </c>
      <c r="F155" s="86">
        <v>45781</v>
      </c>
      <c r="G155" s="87" t="s">
        <v>2074</v>
      </c>
    </row>
    <row r="156" spans="4:7" x14ac:dyDescent="0.35">
      <c r="D156" t="s">
        <v>1978</v>
      </c>
      <c r="F156" s="86">
        <v>45782</v>
      </c>
      <c r="G156" s="87" t="s">
        <v>2074</v>
      </c>
    </row>
    <row r="157" spans="4:7" x14ac:dyDescent="0.35">
      <c r="D157" t="s">
        <v>1007</v>
      </c>
      <c r="F157" s="86">
        <v>45783</v>
      </c>
      <c r="G157" s="87" t="s">
        <v>2074</v>
      </c>
    </row>
    <row r="158" spans="4:7" x14ac:dyDescent="0.35">
      <c r="D158" t="s">
        <v>183</v>
      </c>
      <c r="F158" s="86">
        <v>45784</v>
      </c>
      <c r="G158" s="87" t="s">
        <v>2074</v>
      </c>
    </row>
    <row r="159" spans="4:7" x14ac:dyDescent="0.35">
      <c r="D159" t="s">
        <v>131</v>
      </c>
      <c r="F159" s="86">
        <v>45785</v>
      </c>
      <c r="G159" s="87" t="s">
        <v>2074</v>
      </c>
    </row>
    <row r="160" spans="4:7" x14ac:dyDescent="0.35">
      <c r="D160" t="s">
        <v>1798</v>
      </c>
      <c r="F160" s="86">
        <v>45786</v>
      </c>
      <c r="G160" s="87" t="s">
        <v>2074</v>
      </c>
    </row>
    <row r="161" spans="4:7" x14ac:dyDescent="0.35">
      <c r="D161" t="s">
        <v>130</v>
      </c>
      <c r="F161" s="86">
        <v>45787</v>
      </c>
      <c r="G161" s="87" t="s">
        <v>2074</v>
      </c>
    </row>
    <row r="162" spans="4:7" x14ac:dyDescent="0.35">
      <c r="D162" t="s">
        <v>689</v>
      </c>
      <c r="F162" s="86">
        <v>45788</v>
      </c>
      <c r="G162" s="87" t="s">
        <v>2074</v>
      </c>
    </row>
    <row r="163" spans="4:7" x14ac:dyDescent="0.35">
      <c r="D163" t="s">
        <v>1516</v>
      </c>
      <c r="F163" s="86">
        <v>45789</v>
      </c>
      <c r="G163" s="87" t="s">
        <v>2074</v>
      </c>
    </row>
    <row r="164" spans="4:7" x14ac:dyDescent="0.35">
      <c r="D164" t="s">
        <v>1945</v>
      </c>
      <c r="F164" s="86">
        <v>45790</v>
      </c>
      <c r="G164" s="87" t="s">
        <v>2074</v>
      </c>
    </row>
    <row r="165" spans="4:7" x14ac:dyDescent="0.35">
      <c r="D165" t="s">
        <v>370</v>
      </c>
      <c r="F165" s="86">
        <v>45791</v>
      </c>
      <c r="G165" s="87" t="s">
        <v>2074</v>
      </c>
    </row>
    <row r="166" spans="4:7" x14ac:dyDescent="0.35">
      <c r="D166" t="s">
        <v>1903</v>
      </c>
      <c r="F166" s="86">
        <v>45792</v>
      </c>
      <c r="G166" s="87" t="s">
        <v>2074</v>
      </c>
    </row>
    <row r="167" spans="4:7" x14ac:dyDescent="0.35">
      <c r="D167" t="s">
        <v>2231</v>
      </c>
      <c r="F167" s="86">
        <v>45793</v>
      </c>
      <c r="G167" s="87" t="s">
        <v>2074</v>
      </c>
    </row>
    <row r="168" spans="4:7" x14ac:dyDescent="0.35">
      <c r="D168" t="s">
        <v>187</v>
      </c>
      <c r="F168" s="86">
        <v>45794</v>
      </c>
      <c r="G168" s="87" t="s">
        <v>2074</v>
      </c>
    </row>
    <row r="169" spans="4:7" x14ac:dyDescent="0.35">
      <c r="D169" t="s">
        <v>1547</v>
      </c>
      <c r="F169" s="86">
        <v>45795</v>
      </c>
      <c r="G169" s="87" t="s">
        <v>2074</v>
      </c>
    </row>
    <row r="170" spans="4:7" x14ac:dyDescent="0.35">
      <c r="D170" t="s">
        <v>805</v>
      </c>
      <c r="F170" s="86">
        <v>45796</v>
      </c>
      <c r="G170" s="87" t="s">
        <v>2074</v>
      </c>
    </row>
    <row r="171" spans="4:7" x14ac:dyDescent="0.35">
      <c r="D171" t="s">
        <v>623</v>
      </c>
      <c r="F171" s="86">
        <v>45797</v>
      </c>
      <c r="G171" s="87" t="s">
        <v>2074</v>
      </c>
    </row>
    <row r="172" spans="4:7" x14ac:dyDescent="0.35">
      <c r="D172" t="s">
        <v>982</v>
      </c>
      <c r="F172" s="86">
        <v>45798</v>
      </c>
      <c r="G172" s="87" t="s">
        <v>2074</v>
      </c>
    </row>
    <row r="173" spans="4:7" x14ac:dyDescent="0.35">
      <c r="D173" t="s">
        <v>1485</v>
      </c>
      <c r="F173" s="86">
        <v>45799</v>
      </c>
      <c r="G173" s="87" t="s">
        <v>2074</v>
      </c>
    </row>
    <row r="174" spans="4:7" x14ac:dyDescent="0.35">
      <c r="D174" t="s">
        <v>1528</v>
      </c>
      <c r="F174" s="86">
        <v>45800</v>
      </c>
      <c r="G174" s="87" t="s">
        <v>2074</v>
      </c>
    </row>
    <row r="175" spans="4:7" x14ac:dyDescent="0.35">
      <c r="D175" t="s">
        <v>1521</v>
      </c>
      <c r="F175" s="86">
        <v>45801</v>
      </c>
      <c r="G175" s="87" t="s">
        <v>2074</v>
      </c>
    </row>
    <row r="176" spans="4:7" x14ac:dyDescent="0.35">
      <c r="D176" t="s">
        <v>1810</v>
      </c>
      <c r="F176" s="86">
        <v>45802</v>
      </c>
      <c r="G176" s="87" t="s">
        <v>2074</v>
      </c>
    </row>
    <row r="177" spans="4:7" x14ac:dyDescent="0.35">
      <c r="D177" t="s">
        <v>1804</v>
      </c>
      <c r="F177" s="86">
        <v>45803</v>
      </c>
      <c r="G177" s="87" t="s">
        <v>2074</v>
      </c>
    </row>
    <row r="178" spans="4:7" x14ac:dyDescent="0.35">
      <c r="D178" t="s">
        <v>1465</v>
      </c>
      <c r="F178" s="86">
        <v>45804</v>
      </c>
      <c r="G178" s="87" t="s">
        <v>2074</v>
      </c>
    </row>
    <row r="179" spans="4:7" x14ac:dyDescent="0.35">
      <c r="D179" t="s">
        <v>524</v>
      </c>
      <c r="F179" s="86">
        <v>45805</v>
      </c>
      <c r="G179" s="87" t="s">
        <v>2074</v>
      </c>
    </row>
    <row r="180" spans="4:7" x14ac:dyDescent="0.35">
      <c r="D180" t="s">
        <v>1442</v>
      </c>
      <c r="F180" s="86">
        <v>45806</v>
      </c>
      <c r="G180" s="87" t="s">
        <v>2074</v>
      </c>
    </row>
    <row r="181" spans="4:7" x14ac:dyDescent="0.35">
      <c r="D181" t="s">
        <v>569</v>
      </c>
      <c r="F181" s="86">
        <v>45807</v>
      </c>
      <c r="G181" s="87" t="s">
        <v>2074</v>
      </c>
    </row>
    <row r="182" spans="4:7" x14ac:dyDescent="0.35">
      <c r="D182" t="s">
        <v>597</v>
      </c>
      <c r="F182" s="86">
        <v>45808</v>
      </c>
      <c r="G182" s="87" t="s">
        <v>2074</v>
      </c>
    </row>
    <row r="183" spans="4:7" x14ac:dyDescent="0.35">
      <c r="D183" t="s">
        <v>1016</v>
      </c>
      <c r="F183" s="86">
        <v>45809</v>
      </c>
      <c r="G183" s="87" t="s">
        <v>2075</v>
      </c>
    </row>
    <row r="184" spans="4:7" x14ac:dyDescent="0.35">
      <c r="D184" t="s">
        <v>1495</v>
      </c>
      <c r="F184" s="86">
        <v>45810</v>
      </c>
      <c r="G184" s="87" t="s">
        <v>2075</v>
      </c>
    </row>
    <row r="185" spans="4:7" x14ac:dyDescent="0.35">
      <c r="D185" t="s">
        <v>188</v>
      </c>
      <c r="F185" s="86">
        <v>45811</v>
      </c>
      <c r="G185" s="87" t="s">
        <v>2075</v>
      </c>
    </row>
    <row r="186" spans="4:7" x14ac:dyDescent="0.35">
      <c r="D186" t="s">
        <v>189</v>
      </c>
      <c r="F186" s="86">
        <v>45812</v>
      </c>
      <c r="G186" s="87" t="s">
        <v>2075</v>
      </c>
    </row>
    <row r="187" spans="4:7" x14ac:dyDescent="0.35">
      <c r="D187" t="s">
        <v>1445</v>
      </c>
      <c r="F187" s="86">
        <v>45813</v>
      </c>
      <c r="G187" s="87" t="s">
        <v>2075</v>
      </c>
    </row>
    <row r="188" spans="4:7" x14ac:dyDescent="0.35">
      <c r="D188" t="s">
        <v>1482</v>
      </c>
      <c r="F188" s="86">
        <v>45814</v>
      </c>
      <c r="G188" s="87" t="s">
        <v>2075</v>
      </c>
    </row>
    <row r="189" spans="4:7" x14ac:dyDescent="0.35">
      <c r="D189" t="s">
        <v>1399</v>
      </c>
      <c r="F189" s="86">
        <v>45815</v>
      </c>
      <c r="G189" s="87" t="s">
        <v>2075</v>
      </c>
    </row>
    <row r="190" spans="4:7" x14ac:dyDescent="0.35">
      <c r="D190" t="s">
        <v>1710</v>
      </c>
      <c r="F190" s="86">
        <v>45816</v>
      </c>
      <c r="G190" s="87" t="s">
        <v>2075</v>
      </c>
    </row>
    <row r="191" spans="4:7" x14ac:dyDescent="0.35">
      <c r="D191" t="s">
        <v>518</v>
      </c>
      <c r="F191" s="86">
        <v>45817</v>
      </c>
      <c r="G191" s="87" t="s">
        <v>2075</v>
      </c>
    </row>
    <row r="192" spans="4:7" x14ac:dyDescent="0.35">
      <c r="D192" t="s">
        <v>1448</v>
      </c>
      <c r="F192" s="86">
        <v>45818</v>
      </c>
      <c r="G192" s="87" t="s">
        <v>2075</v>
      </c>
    </row>
    <row r="193" spans="4:7" x14ac:dyDescent="0.35">
      <c r="D193" t="s">
        <v>871</v>
      </c>
      <c r="F193" s="86">
        <v>45819</v>
      </c>
      <c r="G193" s="87" t="s">
        <v>2075</v>
      </c>
    </row>
    <row r="194" spans="4:7" x14ac:dyDescent="0.35">
      <c r="D194" t="s">
        <v>716</v>
      </c>
      <c r="F194" s="86">
        <v>45820</v>
      </c>
      <c r="G194" s="87" t="s">
        <v>2075</v>
      </c>
    </row>
    <row r="195" spans="4:7" x14ac:dyDescent="0.35">
      <c r="D195" t="s">
        <v>495</v>
      </c>
      <c r="F195" s="86">
        <v>45821</v>
      </c>
      <c r="G195" s="87" t="s">
        <v>2075</v>
      </c>
    </row>
    <row r="196" spans="4:7" x14ac:dyDescent="0.35">
      <c r="D196" t="s">
        <v>1900</v>
      </c>
      <c r="F196" s="86">
        <v>45822</v>
      </c>
      <c r="G196" s="87" t="s">
        <v>2075</v>
      </c>
    </row>
    <row r="197" spans="4:7" x14ac:dyDescent="0.35">
      <c r="D197" t="s">
        <v>958</v>
      </c>
      <c r="F197" s="86">
        <v>45823</v>
      </c>
      <c r="G197" s="87" t="s">
        <v>2075</v>
      </c>
    </row>
    <row r="198" spans="4:7" x14ac:dyDescent="0.35">
      <c r="D198" t="s">
        <v>588</v>
      </c>
      <c r="F198" s="86">
        <v>45824</v>
      </c>
      <c r="G198" s="87" t="s">
        <v>2075</v>
      </c>
    </row>
    <row r="199" spans="4:7" x14ac:dyDescent="0.35">
      <c r="D199" t="s">
        <v>1429</v>
      </c>
      <c r="F199" s="86">
        <v>45825</v>
      </c>
      <c r="G199" s="87" t="s">
        <v>2075</v>
      </c>
    </row>
    <row r="200" spans="4:7" x14ac:dyDescent="0.35">
      <c r="D200" t="s">
        <v>348</v>
      </c>
      <c r="F200" s="86">
        <v>45826</v>
      </c>
      <c r="G200" s="87" t="s">
        <v>2075</v>
      </c>
    </row>
    <row r="201" spans="4:7" x14ac:dyDescent="0.35">
      <c r="D201" t="s">
        <v>1659</v>
      </c>
      <c r="F201" s="86">
        <v>45827</v>
      </c>
      <c r="G201" s="87" t="s">
        <v>2075</v>
      </c>
    </row>
    <row r="202" spans="4:7" x14ac:dyDescent="0.35">
      <c r="D202" t="s">
        <v>135</v>
      </c>
      <c r="F202" s="86">
        <v>45828</v>
      </c>
      <c r="G202" s="87" t="s">
        <v>2075</v>
      </c>
    </row>
    <row r="203" spans="4:7" x14ac:dyDescent="0.35">
      <c r="D203" t="s">
        <v>2041</v>
      </c>
      <c r="F203" s="86">
        <v>45829</v>
      </c>
      <c r="G203" s="87" t="s">
        <v>2075</v>
      </c>
    </row>
    <row r="204" spans="4:7" x14ac:dyDescent="0.35">
      <c r="D204" t="s">
        <v>856</v>
      </c>
      <c r="F204" s="86">
        <v>45830</v>
      </c>
      <c r="G204" s="87" t="s">
        <v>2075</v>
      </c>
    </row>
    <row r="205" spans="4:7" x14ac:dyDescent="0.35">
      <c r="D205" t="s">
        <v>1608</v>
      </c>
      <c r="F205" s="86">
        <v>45831</v>
      </c>
      <c r="G205" s="87" t="s">
        <v>2075</v>
      </c>
    </row>
    <row r="206" spans="4:7" x14ac:dyDescent="0.35">
      <c r="D206" t="s">
        <v>1644</v>
      </c>
      <c r="F206" s="86">
        <v>45832</v>
      </c>
      <c r="G206" s="87" t="s">
        <v>2075</v>
      </c>
    </row>
    <row r="207" spans="4:7" x14ac:dyDescent="0.35">
      <c r="D207" t="s">
        <v>808</v>
      </c>
      <c r="F207" s="86">
        <v>45833</v>
      </c>
      <c r="G207" s="87" t="s">
        <v>2075</v>
      </c>
    </row>
    <row r="208" spans="4:7" x14ac:dyDescent="0.35">
      <c r="D208" t="s">
        <v>910</v>
      </c>
      <c r="F208" s="86">
        <v>45834</v>
      </c>
      <c r="G208" s="87" t="s">
        <v>2075</v>
      </c>
    </row>
    <row r="209" spans="4:7" x14ac:dyDescent="0.35">
      <c r="D209" t="s">
        <v>181</v>
      </c>
      <c r="F209" s="86">
        <v>45835</v>
      </c>
      <c r="G209" s="87" t="s">
        <v>2075</v>
      </c>
    </row>
    <row r="210" spans="4:7" x14ac:dyDescent="0.35">
      <c r="D210" t="s">
        <v>128</v>
      </c>
      <c r="F210" s="86">
        <v>45836</v>
      </c>
      <c r="G210" s="87" t="s">
        <v>2075</v>
      </c>
    </row>
    <row r="211" spans="4:7" x14ac:dyDescent="0.35">
      <c r="D211" t="s">
        <v>676</v>
      </c>
      <c r="F211" s="86">
        <v>45837</v>
      </c>
      <c r="G211" s="87" t="s">
        <v>2075</v>
      </c>
    </row>
    <row r="212" spans="4:7" x14ac:dyDescent="0.35">
      <c r="D212" t="s">
        <v>477</v>
      </c>
      <c r="F212" s="86">
        <v>45838</v>
      </c>
      <c r="G212" s="87" t="s">
        <v>2075</v>
      </c>
    </row>
    <row r="213" spans="4:7" x14ac:dyDescent="0.35">
      <c r="D213" t="s">
        <v>650</v>
      </c>
      <c r="F213" s="86">
        <v>45839</v>
      </c>
      <c r="G213" s="87" t="s">
        <v>2076</v>
      </c>
    </row>
    <row r="214" spans="4:7" x14ac:dyDescent="0.35">
      <c r="D214" t="s">
        <v>633</v>
      </c>
      <c r="F214" s="86">
        <v>45840</v>
      </c>
      <c r="G214" s="87" t="s">
        <v>2076</v>
      </c>
    </row>
    <row r="215" spans="4:7" x14ac:dyDescent="0.35">
      <c r="D215" t="s">
        <v>1454</v>
      </c>
      <c r="F215" s="86">
        <v>45841</v>
      </c>
      <c r="G215" s="87" t="s">
        <v>2076</v>
      </c>
    </row>
    <row r="216" spans="4:7" x14ac:dyDescent="0.35">
      <c r="D216" t="s">
        <v>1747</v>
      </c>
      <c r="F216" s="86">
        <v>45842</v>
      </c>
      <c r="G216" s="87" t="s">
        <v>2076</v>
      </c>
    </row>
    <row r="217" spans="4:7" x14ac:dyDescent="0.35">
      <c r="D217" t="s">
        <v>1000</v>
      </c>
      <c r="F217" s="86">
        <v>45843</v>
      </c>
      <c r="G217" s="87" t="s">
        <v>2076</v>
      </c>
    </row>
    <row r="218" spans="4:7" x14ac:dyDescent="0.35">
      <c r="D218" t="s">
        <v>1575</v>
      </c>
      <c r="F218" s="86">
        <v>45844</v>
      </c>
      <c r="G218" s="87" t="s">
        <v>2076</v>
      </c>
    </row>
    <row r="219" spans="4:7" x14ac:dyDescent="0.35">
      <c r="D219" t="s">
        <v>1462</v>
      </c>
      <c r="F219" s="86">
        <v>45845</v>
      </c>
      <c r="G219" s="87" t="s">
        <v>2076</v>
      </c>
    </row>
    <row r="220" spans="4:7" x14ac:dyDescent="0.35">
      <c r="D220" t="s">
        <v>1602</v>
      </c>
      <c r="F220" s="86">
        <v>45846</v>
      </c>
      <c r="G220" s="87" t="s">
        <v>2076</v>
      </c>
    </row>
    <row r="221" spans="4:7" x14ac:dyDescent="0.35">
      <c r="D221" t="s">
        <v>190</v>
      </c>
      <c r="F221" s="86">
        <v>45847</v>
      </c>
      <c r="G221" s="87" t="s">
        <v>2076</v>
      </c>
    </row>
    <row r="222" spans="4:7" x14ac:dyDescent="0.35">
      <c r="D222" t="s">
        <v>1376</v>
      </c>
      <c r="F222" s="86">
        <v>45848</v>
      </c>
      <c r="G222" s="87" t="s">
        <v>2076</v>
      </c>
    </row>
    <row r="223" spans="4:7" x14ac:dyDescent="0.35">
      <c r="D223" t="s">
        <v>1876</v>
      </c>
      <c r="F223" s="86">
        <v>45849</v>
      </c>
      <c r="G223" s="87" t="s">
        <v>2076</v>
      </c>
    </row>
    <row r="224" spans="4:7" x14ac:dyDescent="0.35">
      <c r="D224" t="s">
        <v>1807</v>
      </c>
      <c r="F224" s="86">
        <v>45850</v>
      </c>
      <c r="G224" s="87" t="s">
        <v>2076</v>
      </c>
    </row>
    <row r="225" spans="4:7" x14ac:dyDescent="0.35">
      <c r="D225" t="s">
        <v>644</v>
      </c>
      <c r="F225" s="86">
        <v>45851</v>
      </c>
      <c r="G225" s="87" t="s">
        <v>2076</v>
      </c>
    </row>
    <row r="226" spans="4:7" x14ac:dyDescent="0.35">
      <c r="D226" t="s">
        <v>552</v>
      </c>
      <c r="F226" s="86">
        <v>45852</v>
      </c>
      <c r="G226" s="87" t="s">
        <v>2076</v>
      </c>
    </row>
    <row r="227" spans="4:7" x14ac:dyDescent="0.35">
      <c r="D227" t="s">
        <v>344</v>
      </c>
      <c r="F227" s="86">
        <v>45853</v>
      </c>
      <c r="G227" s="87" t="s">
        <v>2076</v>
      </c>
    </row>
    <row r="228" spans="4:7" x14ac:dyDescent="0.35">
      <c r="D228" t="s">
        <v>1795</v>
      </c>
      <c r="F228" s="86">
        <v>45854</v>
      </c>
      <c r="G228" s="87" t="s">
        <v>2076</v>
      </c>
    </row>
    <row r="229" spans="4:7" x14ac:dyDescent="0.35">
      <c r="D229" t="s">
        <v>886</v>
      </c>
      <c r="F229" s="86">
        <v>45855</v>
      </c>
      <c r="G229" s="87" t="s">
        <v>2076</v>
      </c>
    </row>
    <row r="230" spans="4:7" x14ac:dyDescent="0.35">
      <c r="D230" t="s">
        <v>1831</v>
      </c>
      <c r="F230" s="86">
        <v>45856</v>
      </c>
      <c r="G230" s="87" t="s">
        <v>2076</v>
      </c>
    </row>
    <row r="231" spans="4:7" x14ac:dyDescent="0.35">
      <c r="D231" t="s">
        <v>802</v>
      </c>
      <c r="F231" s="86">
        <v>45857</v>
      </c>
      <c r="G231" s="87" t="s">
        <v>2076</v>
      </c>
    </row>
    <row r="232" spans="4:7" x14ac:dyDescent="0.35">
      <c r="D232" t="s">
        <v>609</v>
      </c>
      <c r="F232" s="86">
        <v>45858</v>
      </c>
      <c r="G232" s="87" t="s">
        <v>2076</v>
      </c>
    </row>
    <row r="233" spans="4:7" x14ac:dyDescent="0.35">
      <c r="D233" t="s">
        <v>2035</v>
      </c>
      <c r="F233" s="86">
        <v>45859</v>
      </c>
      <c r="G233" s="87" t="s">
        <v>2076</v>
      </c>
    </row>
    <row r="234" spans="4:7" x14ac:dyDescent="0.35">
      <c r="D234" t="s">
        <v>768</v>
      </c>
      <c r="F234" s="86">
        <v>45860</v>
      </c>
      <c r="G234" s="87" t="s">
        <v>2076</v>
      </c>
    </row>
    <row r="235" spans="4:7" x14ac:dyDescent="0.35">
      <c r="D235" t="s">
        <v>1013</v>
      </c>
      <c r="F235" s="86">
        <v>45861</v>
      </c>
      <c r="G235" s="87" t="s">
        <v>2076</v>
      </c>
    </row>
    <row r="236" spans="4:7" x14ac:dyDescent="0.35">
      <c r="D236" t="s">
        <v>206</v>
      </c>
      <c r="F236" s="86">
        <v>45862</v>
      </c>
      <c r="G236" s="87" t="s">
        <v>2076</v>
      </c>
    </row>
    <row r="237" spans="4:7" x14ac:dyDescent="0.35">
      <c r="D237" t="s">
        <v>2219</v>
      </c>
      <c r="F237" s="86">
        <v>45863</v>
      </c>
      <c r="G237" s="87" t="s">
        <v>2076</v>
      </c>
    </row>
    <row r="238" spans="4:7" x14ac:dyDescent="0.35">
      <c r="D238" t="s">
        <v>832</v>
      </c>
      <c r="F238" s="86">
        <v>45864</v>
      </c>
      <c r="G238" s="87" t="s">
        <v>2076</v>
      </c>
    </row>
    <row r="239" spans="4:7" x14ac:dyDescent="0.35">
      <c r="D239" t="s">
        <v>1538</v>
      </c>
      <c r="F239" s="86">
        <v>45865</v>
      </c>
      <c r="G239" s="87" t="s">
        <v>2076</v>
      </c>
    </row>
    <row r="240" spans="4:7" x14ac:dyDescent="0.35">
      <c r="D240" t="s">
        <v>530</v>
      </c>
      <c r="F240" s="86">
        <v>45866</v>
      </c>
      <c r="G240" s="87" t="s">
        <v>2076</v>
      </c>
    </row>
    <row r="241" spans="4:7" x14ac:dyDescent="0.35">
      <c r="D241" t="s">
        <v>1004</v>
      </c>
      <c r="F241" s="86">
        <v>45867</v>
      </c>
      <c r="G241" s="87" t="s">
        <v>2076</v>
      </c>
    </row>
    <row r="242" spans="4:7" x14ac:dyDescent="0.35">
      <c r="D242" t="s">
        <v>835</v>
      </c>
      <c r="F242" s="86">
        <v>45868</v>
      </c>
      <c r="G242" s="87" t="s">
        <v>2076</v>
      </c>
    </row>
    <row r="243" spans="4:7" x14ac:dyDescent="0.35">
      <c r="D243" t="s">
        <v>1501</v>
      </c>
      <c r="F243" s="86">
        <v>45869</v>
      </c>
      <c r="G243" s="87" t="s">
        <v>2076</v>
      </c>
    </row>
    <row r="244" spans="4:7" x14ac:dyDescent="0.35">
      <c r="D244" t="s">
        <v>1897</v>
      </c>
      <c r="F244" s="86">
        <v>45870</v>
      </c>
      <c r="G244" s="87" t="s">
        <v>2077</v>
      </c>
    </row>
    <row r="245" spans="4:7" x14ac:dyDescent="0.35">
      <c r="D245" t="s">
        <v>126</v>
      </c>
      <c r="F245" s="86">
        <v>45871</v>
      </c>
      <c r="G245" s="87" t="s">
        <v>2077</v>
      </c>
    </row>
    <row r="246" spans="4:7" x14ac:dyDescent="0.35">
      <c r="D246" t="s">
        <v>1768</v>
      </c>
      <c r="F246" s="86">
        <v>45872</v>
      </c>
      <c r="G246" s="87" t="s">
        <v>2077</v>
      </c>
    </row>
    <row r="247" spans="4:7" x14ac:dyDescent="0.35">
      <c r="D247" t="s">
        <v>1924</v>
      </c>
      <c r="F247" s="86">
        <v>45873</v>
      </c>
      <c r="G247" s="87" t="s">
        <v>2077</v>
      </c>
    </row>
    <row r="248" spans="4:7" x14ac:dyDescent="0.35">
      <c r="D248" t="s">
        <v>1894</v>
      </c>
      <c r="F248" s="86">
        <v>45874</v>
      </c>
      <c r="G248" s="87" t="s">
        <v>2077</v>
      </c>
    </row>
    <row r="249" spans="4:7" x14ac:dyDescent="0.35">
      <c r="D249" t="s">
        <v>1587</v>
      </c>
      <c r="F249" s="86">
        <v>45875</v>
      </c>
      <c r="G249" s="87" t="s">
        <v>2077</v>
      </c>
    </row>
    <row r="250" spans="4:7" x14ac:dyDescent="0.35">
      <c r="D250" t="s">
        <v>191</v>
      </c>
      <c r="F250" s="86">
        <v>45876</v>
      </c>
      <c r="G250" s="87" t="s">
        <v>2077</v>
      </c>
    </row>
    <row r="251" spans="4:7" x14ac:dyDescent="0.35">
      <c r="D251" t="s">
        <v>661</v>
      </c>
      <c r="F251" s="86">
        <v>45877</v>
      </c>
      <c r="G251" s="87" t="s">
        <v>2077</v>
      </c>
    </row>
    <row r="252" spans="4:7" x14ac:dyDescent="0.35">
      <c r="D252" t="s">
        <v>1535</v>
      </c>
      <c r="F252" s="86">
        <v>45878</v>
      </c>
      <c r="G252" s="87" t="s">
        <v>2077</v>
      </c>
    </row>
    <row r="253" spans="4:7" x14ac:dyDescent="0.35">
      <c r="D253" t="s">
        <v>2223</v>
      </c>
      <c r="F253" s="86">
        <v>45879</v>
      </c>
      <c r="G253" s="87" t="s">
        <v>2077</v>
      </c>
    </row>
    <row r="254" spans="4:7" x14ac:dyDescent="0.35">
      <c r="D254" t="s">
        <v>1451</v>
      </c>
      <c r="F254" s="86">
        <v>45880</v>
      </c>
      <c r="G254" s="87" t="s">
        <v>2077</v>
      </c>
    </row>
    <row r="255" spans="4:7" x14ac:dyDescent="0.35">
      <c r="D255" t="s">
        <v>123</v>
      </c>
      <c r="F255" s="86">
        <v>45881</v>
      </c>
      <c r="G255" s="87" t="s">
        <v>2077</v>
      </c>
    </row>
    <row r="256" spans="4:7" x14ac:dyDescent="0.35">
      <c r="D256" t="s">
        <v>440</v>
      </c>
      <c r="F256" s="86">
        <v>45882</v>
      </c>
      <c r="G256" s="87" t="s">
        <v>2077</v>
      </c>
    </row>
    <row r="257" spans="4:7" x14ac:dyDescent="0.35">
      <c r="D257" t="s">
        <v>913</v>
      </c>
      <c r="F257" s="86">
        <v>45883</v>
      </c>
      <c r="G257" s="87" t="s">
        <v>2077</v>
      </c>
    </row>
    <row r="258" spans="4:7" x14ac:dyDescent="0.35">
      <c r="D258" t="s">
        <v>757</v>
      </c>
      <c r="F258" s="86">
        <v>45884</v>
      </c>
      <c r="G258" s="87" t="s">
        <v>2077</v>
      </c>
    </row>
    <row r="259" spans="4:7" x14ac:dyDescent="0.35">
      <c r="D259" t="s">
        <v>1641</v>
      </c>
      <c r="F259" s="86">
        <v>45885</v>
      </c>
      <c r="G259" s="87" t="s">
        <v>2077</v>
      </c>
    </row>
    <row r="260" spans="4:7" x14ac:dyDescent="0.35">
      <c r="D260" t="s">
        <v>207</v>
      </c>
      <c r="F260" s="86">
        <v>45886</v>
      </c>
      <c r="G260" s="87" t="s">
        <v>2077</v>
      </c>
    </row>
    <row r="261" spans="4:7" x14ac:dyDescent="0.35">
      <c r="D261" t="s">
        <v>121</v>
      </c>
      <c r="F261" s="86">
        <v>45887</v>
      </c>
      <c r="G261" s="87" t="s">
        <v>2077</v>
      </c>
    </row>
    <row r="262" spans="4:7" x14ac:dyDescent="0.35">
      <c r="D262" t="s">
        <v>1037</v>
      </c>
      <c r="F262" s="86">
        <v>45888</v>
      </c>
      <c r="G262" s="87" t="s">
        <v>2077</v>
      </c>
    </row>
    <row r="263" spans="4:7" x14ac:dyDescent="0.35">
      <c r="D263" t="s">
        <v>1406</v>
      </c>
      <c r="F263" s="86">
        <v>45889</v>
      </c>
      <c r="G263" s="87" t="s">
        <v>2077</v>
      </c>
    </row>
    <row r="264" spans="4:7" x14ac:dyDescent="0.35">
      <c r="D264" t="s">
        <v>701</v>
      </c>
      <c r="F264" s="86">
        <v>45890</v>
      </c>
      <c r="G264" s="87" t="s">
        <v>2077</v>
      </c>
    </row>
    <row r="265" spans="4:7" x14ac:dyDescent="0.35">
      <c r="D265" t="s">
        <v>1765</v>
      </c>
      <c r="F265" s="86">
        <v>45891</v>
      </c>
      <c r="G265" s="87" t="s">
        <v>2077</v>
      </c>
    </row>
    <row r="266" spans="4:7" x14ac:dyDescent="0.35">
      <c r="D266" t="s">
        <v>434</v>
      </c>
      <c r="F266" s="86">
        <v>45892</v>
      </c>
      <c r="G266" s="87" t="s">
        <v>2077</v>
      </c>
    </row>
    <row r="267" spans="4:7" x14ac:dyDescent="0.35">
      <c r="D267" t="s">
        <v>1638</v>
      </c>
      <c r="F267" s="86">
        <v>45893</v>
      </c>
      <c r="G267" s="87" t="s">
        <v>2077</v>
      </c>
    </row>
    <row r="268" spans="4:7" x14ac:dyDescent="0.35">
      <c r="D268" t="s">
        <v>446</v>
      </c>
      <c r="F268" s="86">
        <v>45894</v>
      </c>
      <c r="G268" s="87" t="s">
        <v>2077</v>
      </c>
    </row>
    <row r="269" spans="4:7" x14ac:dyDescent="0.35">
      <c r="D269" t="s">
        <v>1492</v>
      </c>
      <c r="F269" s="86">
        <v>45895</v>
      </c>
      <c r="G269" s="87" t="s">
        <v>2077</v>
      </c>
    </row>
    <row r="270" spans="4:7" x14ac:dyDescent="0.35">
      <c r="D270" t="s">
        <v>1019</v>
      </c>
      <c r="F270" s="86">
        <v>45896</v>
      </c>
      <c r="G270" s="87" t="s">
        <v>2077</v>
      </c>
    </row>
    <row r="271" spans="4:7" x14ac:dyDescent="0.35">
      <c r="D271" t="s">
        <v>1843</v>
      </c>
      <c r="F271" s="86">
        <v>45897</v>
      </c>
      <c r="G271" s="87" t="s">
        <v>2077</v>
      </c>
    </row>
    <row r="272" spans="4:7" x14ac:dyDescent="0.35">
      <c r="D272" t="s">
        <v>1665</v>
      </c>
      <c r="F272" s="86">
        <v>45898</v>
      </c>
      <c r="G272" s="87" t="s">
        <v>2077</v>
      </c>
    </row>
    <row r="273" spans="4:7" x14ac:dyDescent="0.35">
      <c r="D273" t="s">
        <v>120</v>
      </c>
      <c r="F273" s="86">
        <v>45899</v>
      </c>
      <c r="G273" s="87" t="s">
        <v>2077</v>
      </c>
    </row>
    <row r="274" spans="4:7" x14ac:dyDescent="0.35">
      <c r="D274" t="s">
        <v>119</v>
      </c>
      <c r="F274" s="86">
        <v>45900</v>
      </c>
      <c r="G274" s="87" t="s">
        <v>2077</v>
      </c>
    </row>
    <row r="275" spans="4:7" x14ac:dyDescent="0.35">
      <c r="D275" t="s">
        <v>1436</v>
      </c>
      <c r="F275" s="86">
        <v>45901</v>
      </c>
      <c r="G275" s="87" t="s">
        <v>2078</v>
      </c>
    </row>
    <row r="276" spans="4:7" x14ac:dyDescent="0.35">
      <c r="D276" t="s">
        <v>1783</v>
      </c>
      <c r="F276" s="86">
        <v>45902</v>
      </c>
      <c r="G276" s="87" t="s">
        <v>2078</v>
      </c>
    </row>
    <row r="277" spans="4:7" x14ac:dyDescent="0.35">
      <c r="D277" t="s">
        <v>192</v>
      </c>
      <c r="F277" s="86">
        <v>45903</v>
      </c>
      <c r="G277" s="87" t="s">
        <v>2078</v>
      </c>
    </row>
    <row r="278" spans="4:7" x14ac:dyDescent="0.35">
      <c r="D278" t="s">
        <v>1611</v>
      </c>
      <c r="F278" s="86">
        <v>45904</v>
      </c>
      <c r="G278" s="87" t="s">
        <v>2078</v>
      </c>
    </row>
    <row r="279" spans="4:7" x14ac:dyDescent="0.35">
      <c r="D279" t="s">
        <v>994</v>
      </c>
      <c r="F279" s="86">
        <v>45905</v>
      </c>
      <c r="G279" s="87" t="s">
        <v>2078</v>
      </c>
    </row>
    <row r="280" spans="4:7" x14ac:dyDescent="0.35">
      <c r="D280" t="s">
        <v>1951</v>
      </c>
      <c r="F280" s="86">
        <v>45906</v>
      </c>
      <c r="G280" s="87" t="s">
        <v>2078</v>
      </c>
    </row>
    <row r="281" spans="4:7" x14ac:dyDescent="0.35">
      <c r="D281" t="s">
        <v>1936</v>
      </c>
      <c r="F281" s="86">
        <v>45907</v>
      </c>
      <c r="G281" s="87" t="s">
        <v>2078</v>
      </c>
    </row>
    <row r="282" spans="4:7" x14ac:dyDescent="0.35">
      <c r="D282" t="s">
        <v>1690</v>
      </c>
      <c r="F282" s="86">
        <v>45908</v>
      </c>
      <c r="G282" s="87" t="s">
        <v>2078</v>
      </c>
    </row>
    <row r="283" spans="4:7" x14ac:dyDescent="0.35">
      <c r="D283" t="s">
        <v>400</v>
      </c>
      <c r="F283" s="86">
        <v>45909</v>
      </c>
      <c r="G283" s="87" t="s">
        <v>2078</v>
      </c>
    </row>
    <row r="284" spans="4:7" x14ac:dyDescent="0.35">
      <c r="D284" t="s">
        <v>2213</v>
      </c>
      <c r="F284" s="86">
        <v>45910</v>
      </c>
      <c r="G284" s="87" t="s">
        <v>2078</v>
      </c>
    </row>
    <row r="285" spans="4:7" x14ac:dyDescent="0.35">
      <c r="D285" t="s">
        <v>1656</v>
      </c>
      <c r="F285" s="86">
        <v>45911</v>
      </c>
      <c r="G285" s="87" t="s">
        <v>2078</v>
      </c>
    </row>
    <row r="286" spans="4:7" x14ac:dyDescent="0.35">
      <c r="D286" t="s">
        <v>1510</v>
      </c>
      <c r="F286" s="86">
        <v>45912</v>
      </c>
      <c r="G286" s="87" t="s">
        <v>2078</v>
      </c>
    </row>
    <row r="287" spans="4:7" x14ac:dyDescent="0.35">
      <c r="D287" t="s">
        <v>366</v>
      </c>
      <c r="F287" s="86">
        <v>45913</v>
      </c>
      <c r="G287" s="87" t="s">
        <v>2078</v>
      </c>
    </row>
    <row r="288" spans="4:7" x14ac:dyDescent="0.35">
      <c r="D288" t="s">
        <v>892</v>
      </c>
      <c r="F288" s="86">
        <v>45914</v>
      </c>
      <c r="G288" s="87" t="s">
        <v>2078</v>
      </c>
    </row>
    <row r="289" spans="4:7" x14ac:dyDescent="0.35">
      <c r="D289" t="s">
        <v>533</v>
      </c>
      <c r="F289" s="86">
        <v>45915</v>
      </c>
      <c r="G289" s="87" t="s">
        <v>2078</v>
      </c>
    </row>
    <row r="290" spans="4:7" x14ac:dyDescent="0.35">
      <c r="D290" t="s">
        <v>626</v>
      </c>
      <c r="F290" s="86">
        <v>45916</v>
      </c>
      <c r="G290" s="87" t="s">
        <v>2078</v>
      </c>
    </row>
    <row r="291" spans="4:7" x14ac:dyDescent="0.35">
      <c r="D291" t="s">
        <v>1834</v>
      </c>
      <c r="F291" s="86">
        <v>45917</v>
      </c>
      <c r="G291" s="87" t="s">
        <v>2078</v>
      </c>
    </row>
    <row r="292" spans="4:7" x14ac:dyDescent="0.35">
      <c r="D292" t="s">
        <v>572</v>
      </c>
      <c r="F292" s="86">
        <v>45918</v>
      </c>
      <c r="G292" s="87" t="s">
        <v>2078</v>
      </c>
    </row>
    <row r="293" spans="4:7" x14ac:dyDescent="0.35">
      <c r="D293" t="s">
        <v>820</v>
      </c>
      <c r="F293" s="86">
        <v>45919</v>
      </c>
      <c r="G293" s="87" t="s">
        <v>2078</v>
      </c>
    </row>
    <row r="294" spans="4:7" x14ac:dyDescent="0.35">
      <c r="D294" t="s">
        <v>118</v>
      </c>
      <c r="F294" s="86">
        <v>45920</v>
      </c>
      <c r="G294" s="87" t="s">
        <v>2078</v>
      </c>
    </row>
    <row r="295" spans="4:7" x14ac:dyDescent="0.35">
      <c r="D295" t="s">
        <v>2044</v>
      </c>
      <c r="F295" s="86">
        <v>45921</v>
      </c>
      <c r="G295" s="87" t="s">
        <v>2078</v>
      </c>
    </row>
    <row r="296" spans="4:7" x14ac:dyDescent="0.35">
      <c r="D296" t="s">
        <v>1942</v>
      </c>
      <c r="F296" s="86">
        <v>45922</v>
      </c>
      <c r="G296" s="87" t="s">
        <v>2078</v>
      </c>
    </row>
    <row r="297" spans="4:7" x14ac:dyDescent="0.35">
      <c r="D297" t="s">
        <v>1861</v>
      </c>
      <c r="F297" s="86">
        <v>45923</v>
      </c>
      <c r="G297" s="87" t="s">
        <v>2078</v>
      </c>
    </row>
    <row r="298" spans="4:7" x14ac:dyDescent="0.35">
      <c r="D298" t="s">
        <v>778</v>
      </c>
      <c r="F298" s="86">
        <v>45924</v>
      </c>
      <c r="G298" s="87" t="s">
        <v>2078</v>
      </c>
    </row>
    <row r="299" spans="4:7" x14ac:dyDescent="0.35">
      <c r="D299" t="s">
        <v>117</v>
      </c>
      <c r="F299" s="86">
        <v>45925</v>
      </c>
      <c r="G299" s="87" t="s">
        <v>2078</v>
      </c>
    </row>
    <row r="300" spans="4:7" x14ac:dyDescent="0.35">
      <c r="D300" t="s">
        <v>1566</v>
      </c>
      <c r="F300" s="86">
        <v>45926</v>
      </c>
      <c r="G300" s="87" t="s">
        <v>2078</v>
      </c>
    </row>
    <row r="301" spans="4:7" x14ac:dyDescent="0.35">
      <c r="D301" t="s">
        <v>1433</v>
      </c>
      <c r="F301" s="86">
        <v>45927</v>
      </c>
      <c r="G301" s="87" t="s">
        <v>2078</v>
      </c>
    </row>
    <row r="302" spans="4:7" x14ac:dyDescent="0.35">
      <c r="D302" t="s">
        <v>116</v>
      </c>
      <c r="F302" s="86">
        <v>45928</v>
      </c>
      <c r="G302" s="87" t="s">
        <v>2078</v>
      </c>
    </row>
    <row r="303" spans="4:7" x14ac:dyDescent="0.35">
      <c r="D303" t="s">
        <v>853</v>
      </c>
      <c r="F303" s="86">
        <v>45929</v>
      </c>
      <c r="G303" s="87" t="s">
        <v>2078</v>
      </c>
    </row>
    <row r="304" spans="4:7" x14ac:dyDescent="0.35">
      <c r="D304" t="s">
        <v>1816</v>
      </c>
      <c r="F304" s="86">
        <v>45930</v>
      </c>
      <c r="G304" s="87" t="s">
        <v>2078</v>
      </c>
    </row>
    <row r="305" spans="4:7" x14ac:dyDescent="0.35">
      <c r="D305" t="s">
        <v>1733</v>
      </c>
      <c r="F305" s="86">
        <v>45931</v>
      </c>
      <c r="G305" s="87" t="s">
        <v>2079</v>
      </c>
    </row>
    <row r="306" spans="4:7" x14ac:dyDescent="0.35">
      <c r="D306" t="s">
        <v>1356</v>
      </c>
      <c r="F306" s="86">
        <v>45932</v>
      </c>
      <c r="G306" s="87" t="s">
        <v>2079</v>
      </c>
    </row>
    <row r="307" spans="4:7" x14ac:dyDescent="0.35">
      <c r="D307" t="s">
        <v>1822</v>
      </c>
      <c r="F307" s="86">
        <v>45933</v>
      </c>
      <c r="G307" s="87" t="s">
        <v>2079</v>
      </c>
    </row>
    <row r="308" spans="4:7" x14ac:dyDescent="0.35">
      <c r="D308" t="s">
        <v>754</v>
      </c>
      <c r="F308" s="86">
        <v>45934</v>
      </c>
      <c r="G308" s="87" t="s">
        <v>2079</v>
      </c>
    </row>
    <row r="309" spans="4:7" x14ac:dyDescent="0.35">
      <c r="D309" t="s">
        <v>2211</v>
      </c>
      <c r="F309" s="86">
        <v>45935</v>
      </c>
      <c r="G309" s="87" t="s">
        <v>2079</v>
      </c>
    </row>
    <row r="310" spans="4:7" x14ac:dyDescent="0.35">
      <c r="D310" t="s">
        <v>1852</v>
      </c>
      <c r="F310" s="86">
        <v>45936</v>
      </c>
      <c r="G310" s="87" t="s">
        <v>2079</v>
      </c>
    </row>
    <row r="311" spans="4:7" x14ac:dyDescent="0.35">
      <c r="D311" t="s">
        <v>456</v>
      </c>
      <c r="F311" s="86">
        <v>45937</v>
      </c>
      <c r="G311" s="87" t="s">
        <v>2079</v>
      </c>
    </row>
    <row r="312" spans="4:7" x14ac:dyDescent="0.35">
      <c r="D312" t="s">
        <v>1867</v>
      </c>
      <c r="F312" s="86">
        <v>45938</v>
      </c>
      <c r="G312" s="87" t="s">
        <v>2079</v>
      </c>
    </row>
    <row r="313" spans="4:7" x14ac:dyDescent="0.35">
      <c r="D313" t="s">
        <v>480</v>
      </c>
      <c r="F313" s="86">
        <v>45939</v>
      </c>
      <c r="G313" s="87" t="s">
        <v>2079</v>
      </c>
    </row>
    <row r="314" spans="4:7" x14ac:dyDescent="0.35">
      <c r="D314" t="s">
        <v>967</v>
      </c>
      <c r="F314" s="86">
        <v>45940</v>
      </c>
      <c r="G314" s="87" t="s">
        <v>2079</v>
      </c>
    </row>
    <row r="315" spans="4:7" x14ac:dyDescent="0.35">
      <c r="D315" t="s">
        <v>326</v>
      </c>
      <c r="F315" s="86">
        <v>45941</v>
      </c>
      <c r="G315" s="87" t="s">
        <v>2079</v>
      </c>
    </row>
    <row r="316" spans="4:7" x14ac:dyDescent="0.35">
      <c r="D316" t="s">
        <v>521</v>
      </c>
      <c r="F316" s="86">
        <v>45942</v>
      </c>
      <c r="G316" s="87" t="s">
        <v>2079</v>
      </c>
    </row>
    <row r="317" spans="4:7" x14ac:dyDescent="0.35">
      <c r="D317" t="s">
        <v>970</v>
      </c>
      <c r="F317" s="86">
        <v>45943</v>
      </c>
      <c r="G317" s="87" t="s">
        <v>2079</v>
      </c>
    </row>
    <row r="318" spans="4:7" x14ac:dyDescent="0.35">
      <c r="D318" t="s">
        <v>193</v>
      </c>
      <c r="F318" s="86">
        <v>45944</v>
      </c>
      <c r="G318" s="87" t="s">
        <v>2079</v>
      </c>
    </row>
    <row r="319" spans="4:7" x14ac:dyDescent="0.35">
      <c r="D319" t="s">
        <v>786</v>
      </c>
      <c r="F319" s="86">
        <v>45945</v>
      </c>
      <c r="G319" s="87" t="s">
        <v>2079</v>
      </c>
    </row>
    <row r="320" spans="4:7" x14ac:dyDescent="0.35">
      <c r="D320" t="s">
        <v>1744</v>
      </c>
      <c r="F320" s="86">
        <v>45946</v>
      </c>
      <c r="G320" s="87" t="s">
        <v>2079</v>
      </c>
    </row>
    <row r="321" spans="4:7" x14ac:dyDescent="0.35">
      <c r="D321" t="s">
        <v>1650</v>
      </c>
      <c r="F321" s="86">
        <v>45947</v>
      </c>
      <c r="G321" s="87" t="s">
        <v>2079</v>
      </c>
    </row>
    <row r="322" spans="4:7" x14ac:dyDescent="0.35">
      <c r="D322" t="s">
        <v>1373</v>
      </c>
      <c r="F322" s="86">
        <v>45948</v>
      </c>
      <c r="G322" s="87" t="s">
        <v>2079</v>
      </c>
    </row>
    <row r="323" spans="4:7" x14ac:dyDescent="0.35">
      <c r="D323" t="s">
        <v>1424</v>
      </c>
      <c r="F323" s="86">
        <v>45949</v>
      </c>
      <c r="G323" s="87" t="s">
        <v>2079</v>
      </c>
    </row>
    <row r="324" spans="4:7" x14ac:dyDescent="0.35">
      <c r="D324" t="s">
        <v>922</v>
      </c>
      <c r="F324" s="86">
        <v>45950</v>
      </c>
      <c r="G324" s="87" t="s">
        <v>2079</v>
      </c>
    </row>
    <row r="325" spans="4:7" x14ac:dyDescent="0.35">
      <c r="D325" t="s">
        <v>725</v>
      </c>
      <c r="F325" s="86">
        <v>45951</v>
      </c>
      <c r="G325" s="87" t="s">
        <v>2079</v>
      </c>
    </row>
    <row r="326" spans="4:7" x14ac:dyDescent="0.35">
      <c r="D326" t="s">
        <v>2029</v>
      </c>
      <c r="F326" s="86">
        <v>45952</v>
      </c>
      <c r="G326" s="87" t="s">
        <v>2079</v>
      </c>
    </row>
    <row r="327" spans="4:7" x14ac:dyDescent="0.35">
      <c r="D327" t="s">
        <v>408</v>
      </c>
      <c r="F327" s="86">
        <v>45953</v>
      </c>
      <c r="G327" s="87" t="s">
        <v>2079</v>
      </c>
    </row>
    <row r="328" spans="4:7" x14ac:dyDescent="0.35">
      <c r="D328" t="s">
        <v>862</v>
      </c>
      <c r="F328" s="86">
        <v>45954</v>
      </c>
      <c r="G328" s="87" t="s">
        <v>2079</v>
      </c>
    </row>
    <row r="329" spans="4:7" x14ac:dyDescent="0.35">
      <c r="D329" t="s">
        <v>1774</v>
      </c>
      <c r="F329" s="86">
        <v>45955</v>
      </c>
      <c r="G329" s="87" t="s">
        <v>2079</v>
      </c>
    </row>
    <row r="330" spans="4:7" x14ac:dyDescent="0.35">
      <c r="D330" t="s">
        <v>1488</v>
      </c>
      <c r="F330" s="86">
        <v>45956</v>
      </c>
      <c r="G330" s="87" t="s">
        <v>2079</v>
      </c>
    </row>
    <row r="331" spans="4:7" x14ac:dyDescent="0.35">
      <c r="D331" t="s">
        <v>194</v>
      </c>
      <c r="F331" s="86">
        <v>45957</v>
      </c>
      <c r="G331" s="87" t="s">
        <v>2079</v>
      </c>
    </row>
    <row r="332" spans="4:7" x14ac:dyDescent="0.35">
      <c r="D332" t="s">
        <v>1396</v>
      </c>
      <c r="F332" s="86">
        <v>45958</v>
      </c>
      <c r="G332" s="87" t="s">
        <v>2079</v>
      </c>
    </row>
    <row r="333" spans="4:7" x14ac:dyDescent="0.35">
      <c r="D333" t="s">
        <v>115</v>
      </c>
      <c r="F333" s="86">
        <v>45959</v>
      </c>
      <c r="G333" s="87" t="s">
        <v>2079</v>
      </c>
    </row>
    <row r="334" spans="4:7" x14ac:dyDescent="0.35">
      <c r="D334" t="s">
        <v>673</v>
      </c>
      <c r="F334" s="86">
        <v>45960</v>
      </c>
      <c r="G334" s="87" t="s">
        <v>2079</v>
      </c>
    </row>
    <row r="335" spans="4:7" x14ac:dyDescent="0.35">
      <c r="D335" t="s">
        <v>195</v>
      </c>
      <c r="F335" s="86">
        <v>45961</v>
      </c>
      <c r="G335" s="87" t="s">
        <v>2079</v>
      </c>
    </row>
    <row r="336" spans="4:7" x14ac:dyDescent="0.35">
      <c r="D336" t="s">
        <v>698</v>
      </c>
      <c r="F336" s="86">
        <v>45962</v>
      </c>
      <c r="G336" s="87" t="s">
        <v>2080</v>
      </c>
    </row>
    <row r="337" spans="4:7" x14ac:dyDescent="0.35">
      <c r="D337" t="s">
        <v>591</v>
      </c>
      <c r="F337" s="86">
        <v>45963</v>
      </c>
      <c r="G337" s="87" t="s">
        <v>2080</v>
      </c>
    </row>
    <row r="338" spans="4:7" x14ac:dyDescent="0.35">
      <c r="D338" t="s">
        <v>1414</v>
      </c>
      <c r="F338" s="86">
        <v>45964</v>
      </c>
      <c r="G338" s="87" t="s">
        <v>2080</v>
      </c>
    </row>
    <row r="339" spans="4:7" x14ac:dyDescent="0.35">
      <c r="D339" t="s">
        <v>895</v>
      </c>
      <c r="F339" s="86">
        <v>45965</v>
      </c>
      <c r="G339" s="87" t="s">
        <v>2080</v>
      </c>
    </row>
    <row r="340" spans="4:7" x14ac:dyDescent="0.35">
      <c r="D340" t="s">
        <v>196</v>
      </c>
      <c r="F340" s="86">
        <v>45966</v>
      </c>
      <c r="G340" s="87" t="s">
        <v>2080</v>
      </c>
    </row>
    <row r="341" spans="4:7" x14ac:dyDescent="0.35">
      <c r="D341" t="s">
        <v>1647</v>
      </c>
      <c r="F341" s="86">
        <v>45967</v>
      </c>
      <c r="G341" s="87" t="s">
        <v>2080</v>
      </c>
    </row>
    <row r="342" spans="4:7" x14ac:dyDescent="0.35">
      <c r="D342" t="s">
        <v>197</v>
      </c>
      <c r="F342" s="86">
        <v>45968</v>
      </c>
      <c r="G342" s="87" t="s">
        <v>2080</v>
      </c>
    </row>
    <row r="343" spans="4:7" x14ac:dyDescent="0.35">
      <c r="D343" t="s">
        <v>955</v>
      </c>
      <c r="F343" s="86">
        <v>45969</v>
      </c>
      <c r="G343" s="87" t="s">
        <v>2080</v>
      </c>
    </row>
    <row r="344" spans="4:7" x14ac:dyDescent="0.35">
      <c r="D344" t="s">
        <v>484</v>
      </c>
      <c r="F344" s="86">
        <v>45970</v>
      </c>
      <c r="G344" s="87" t="s">
        <v>2080</v>
      </c>
    </row>
    <row r="345" spans="4:7" x14ac:dyDescent="0.35">
      <c r="D345" t="s">
        <v>1975</v>
      </c>
      <c r="F345" s="86">
        <v>45971</v>
      </c>
      <c r="G345" s="87" t="s">
        <v>2080</v>
      </c>
    </row>
    <row r="346" spans="4:7" x14ac:dyDescent="0.35">
      <c r="D346" t="s">
        <v>503</v>
      </c>
      <c r="F346" s="86">
        <v>45972</v>
      </c>
      <c r="G346" s="87" t="s">
        <v>2080</v>
      </c>
    </row>
    <row r="347" spans="4:7" x14ac:dyDescent="0.35">
      <c r="D347" t="s">
        <v>1717</v>
      </c>
      <c r="F347" s="86">
        <v>45973</v>
      </c>
      <c r="G347" s="87" t="s">
        <v>2080</v>
      </c>
    </row>
    <row r="348" spans="4:7" x14ac:dyDescent="0.35">
      <c r="D348" t="s">
        <v>198</v>
      </c>
      <c r="F348" s="86">
        <v>45974</v>
      </c>
      <c r="G348" s="87" t="s">
        <v>2080</v>
      </c>
    </row>
    <row r="349" spans="4:7" x14ac:dyDescent="0.35">
      <c r="D349" t="s">
        <v>2062</v>
      </c>
      <c r="F349" s="86">
        <v>45975</v>
      </c>
      <c r="G349" s="87" t="s">
        <v>2080</v>
      </c>
    </row>
    <row r="350" spans="4:7" x14ac:dyDescent="0.35">
      <c r="D350" t="s">
        <v>1572</v>
      </c>
      <c r="F350" s="86">
        <v>45976</v>
      </c>
      <c r="G350" s="87" t="s">
        <v>2080</v>
      </c>
    </row>
    <row r="351" spans="4:7" x14ac:dyDescent="0.35">
      <c r="D351" t="s">
        <v>771</v>
      </c>
      <c r="F351" s="86">
        <v>45977</v>
      </c>
      <c r="G351" s="87" t="s">
        <v>2080</v>
      </c>
    </row>
    <row r="352" spans="4:7" x14ac:dyDescent="0.35">
      <c r="D352" t="s">
        <v>575</v>
      </c>
      <c r="F352" s="86">
        <v>45978</v>
      </c>
      <c r="G352" s="87" t="s">
        <v>2080</v>
      </c>
    </row>
    <row r="353" spans="4:7" x14ac:dyDescent="0.35">
      <c r="D353" t="s">
        <v>829</v>
      </c>
      <c r="F353" s="86">
        <v>45979</v>
      </c>
      <c r="G353" s="87" t="s">
        <v>2080</v>
      </c>
    </row>
    <row r="354" spans="4:7" x14ac:dyDescent="0.35">
      <c r="D354" t="s">
        <v>907</v>
      </c>
      <c r="F354" s="86">
        <v>45980</v>
      </c>
      <c r="G354" s="87" t="s">
        <v>2080</v>
      </c>
    </row>
    <row r="355" spans="4:7" x14ac:dyDescent="0.35">
      <c r="D355" t="s">
        <v>1557</v>
      </c>
      <c r="F355" s="86">
        <v>45981</v>
      </c>
      <c r="G355" s="87" t="s">
        <v>2080</v>
      </c>
    </row>
    <row r="356" spans="4:7" x14ac:dyDescent="0.35">
      <c r="D356" t="s">
        <v>841</v>
      </c>
      <c r="F356" s="86">
        <v>45982</v>
      </c>
      <c r="G356" s="87" t="s">
        <v>2080</v>
      </c>
    </row>
    <row r="357" spans="4:7" x14ac:dyDescent="0.35">
      <c r="D357" t="s">
        <v>114</v>
      </c>
      <c r="F357" s="86">
        <v>45983</v>
      </c>
      <c r="G357" s="87" t="s">
        <v>2080</v>
      </c>
    </row>
    <row r="358" spans="4:7" x14ac:dyDescent="0.35">
      <c r="D358" t="s">
        <v>1696</v>
      </c>
      <c r="F358" s="86">
        <v>45984</v>
      </c>
      <c r="G358" s="87" t="s">
        <v>2080</v>
      </c>
    </row>
    <row r="359" spans="4:7" x14ac:dyDescent="0.35">
      <c r="D359" t="s">
        <v>2229</v>
      </c>
      <c r="F359" s="86">
        <v>45985</v>
      </c>
      <c r="G359" s="87" t="s">
        <v>2080</v>
      </c>
    </row>
    <row r="360" spans="4:7" x14ac:dyDescent="0.35">
      <c r="D360" t="s">
        <v>904</v>
      </c>
      <c r="F360" s="86">
        <v>45986</v>
      </c>
      <c r="G360" s="87" t="s">
        <v>2080</v>
      </c>
    </row>
    <row r="361" spans="4:7" x14ac:dyDescent="0.35">
      <c r="D361" t="s">
        <v>184</v>
      </c>
      <c r="F361" s="86">
        <v>45987</v>
      </c>
      <c r="G361" s="87" t="s">
        <v>2080</v>
      </c>
    </row>
    <row r="362" spans="4:7" x14ac:dyDescent="0.35">
      <c r="D362" t="s">
        <v>774</v>
      </c>
      <c r="F362" s="86">
        <v>45988</v>
      </c>
      <c r="G362" s="87" t="s">
        <v>2080</v>
      </c>
    </row>
    <row r="363" spans="4:7" x14ac:dyDescent="0.35">
      <c r="D363" t="s">
        <v>790</v>
      </c>
      <c r="F363" s="86">
        <v>45989</v>
      </c>
      <c r="G363" s="87" t="s">
        <v>2080</v>
      </c>
    </row>
    <row r="364" spans="4:7" x14ac:dyDescent="0.35">
      <c r="D364" t="s">
        <v>515</v>
      </c>
      <c r="F364" s="86">
        <v>45990</v>
      </c>
      <c r="G364" s="87" t="s">
        <v>2080</v>
      </c>
    </row>
    <row r="365" spans="4:7" x14ac:dyDescent="0.35">
      <c r="D365" t="s">
        <v>428</v>
      </c>
      <c r="F365" s="86">
        <v>45991</v>
      </c>
      <c r="G365" s="87" t="s">
        <v>2080</v>
      </c>
    </row>
    <row r="366" spans="4:7" x14ac:dyDescent="0.35">
      <c r="D366" t="s">
        <v>2038</v>
      </c>
      <c r="F366" s="86">
        <v>45992</v>
      </c>
      <c r="G366" s="87" t="s">
        <v>2069</v>
      </c>
    </row>
    <row r="367" spans="4:7" x14ac:dyDescent="0.35">
      <c r="D367" t="s">
        <v>113</v>
      </c>
      <c r="F367" s="86">
        <v>45993</v>
      </c>
      <c r="G367" s="87" t="s">
        <v>2069</v>
      </c>
    </row>
    <row r="368" spans="4:7" x14ac:dyDescent="0.35">
      <c r="D368" t="s">
        <v>2002</v>
      </c>
      <c r="F368" s="86">
        <v>45994</v>
      </c>
      <c r="G368" s="87" t="s">
        <v>2069</v>
      </c>
    </row>
    <row r="369" spans="4:7" x14ac:dyDescent="0.35">
      <c r="D369" t="s">
        <v>1990</v>
      </c>
      <c r="F369" s="86">
        <v>45995</v>
      </c>
      <c r="G369" s="87" t="s">
        <v>2069</v>
      </c>
    </row>
    <row r="370" spans="4:7" x14ac:dyDescent="0.35">
      <c r="D370" t="s">
        <v>1010</v>
      </c>
      <c r="F370" s="86">
        <v>45996</v>
      </c>
      <c r="G370" s="87" t="s">
        <v>2069</v>
      </c>
    </row>
    <row r="371" spans="4:7" x14ac:dyDescent="0.35">
      <c r="D371" t="s">
        <v>1622</v>
      </c>
      <c r="F371" s="86">
        <v>45997</v>
      </c>
      <c r="G371" s="87" t="s">
        <v>2069</v>
      </c>
    </row>
    <row r="372" spans="4:7" x14ac:dyDescent="0.35">
      <c r="D372" t="s">
        <v>928</v>
      </c>
      <c r="F372" s="86">
        <v>45998</v>
      </c>
      <c r="G372" s="87" t="s">
        <v>2069</v>
      </c>
    </row>
    <row r="373" spans="4:7" x14ac:dyDescent="0.35">
      <c r="D373" t="s">
        <v>730</v>
      </c>
      <c r="F373" s="86">
        <v>45999</v>
      </c>
      <c r="G373" s="87" t="s">
        <v>2069</v>
      </c>
    </row>
    <row r="374" spans="4:7" x14ac:dyDescent="0.35">
      <c r="D374" t="s">
        <v>612</v>
      </c>
      <c r="F374" s="86">
        <v>46000</v>
      </c>
      <c r="G374" s="87" t="s">
        <v>2069</v>
      </c>
    </row>
    <row r="375" spans="4:7" x14ac:dyDescent="0.35">
      <c r="D375" t="s">
        <v>1504</v>
      </c>
      <c r="F375" s="86">
        <v>46001</v>
      </c>
      <c r="G375" s="87" t="s">
        <v>2069</v>
      </c>
    </row>
    <row r="376" spans="4:7" x14ac:dyDescent="0.35">
      <c r="D376" t="s">
        <v>606</v>
      </c>
      <c r="F376" s="86">
        <v>46002</v>
      </c>
      <c r="G376" s="87" t="s">
        <v>2069</v>
      </c>
    </row>
    <row r="377" spans="4:7" x14ac:dyDescent="0.35">
      <c r="D377" t="s">
        <v>500</v>
      </c>
      <c r="F377" s="86">
        <v>46003</v>
      </c>
      <c r="G377" s="87" t="s">
        <v>2069</v>
      </c>
    </row>
    <row r="378" spans="4:7" x14ac:dyDescent="0.35">
      <c r="D378" t="s">
        <v>747</v>
      </c>
      <c r="F378" s="86">
        <v>46004</v>
      </c>
      <c r="G378" s="87" t="s">
        <v>2069</v>
      </c>
    </row>
    <row r="379" spans="4:7" x14ac:dyDescent="0.35">
      <c r="D379" t="s">
        <v>1590</v>
      </c>
      <c r="F379" s="86">
        <v>46005</v>
      </c>
      <c r="G379" s="87" t="s">
        <v>2069</v>
      </c>
    </row>
    <row r="380" spans="4:7" x14ac:dyDescent="0.35">
      <c r="D380" t="s">
        <v>2050</v>
      </c>
      <c r="F380" s="86">
        <v>46006</v>
      </c>
      <c r="G380" s="87" t="s">
        <v>2069</v>
      </c>
    </row>
    <row r="381" spans="4:7" x14ac:dyDescent="0.35">
      <c r="D381" t="s">
        <v>600</v>
      </c>
      <c r="F381" s="86">
        <v>46007</v>
      </c>
      <c r="G381" s="87" t="s">
        <v>2069</v>
      </c>
    </row>
    <row r="382" spans="4:7" x14ac:dyDescent="0.35">
      <c r="D382" t="s">
        <v>738</v>
      </c>
      <c r="F382" s="86">
        <v>46008</v>
      </c>
      <c r="G382" s="87" t="s">
        <v>2069</v>
      </c>
    </row>
    <row r="383" spans="4:7" x14ac:dyDescent="0.35">
      <c r="D383" t="s">
        <v>692</v>
      </c>
      <c r="F383" s="86">
        <v>46009</v>
      </c>
      <c r="G383" s="87" t="s">
        <v>2069</v>
      </c>
    </row>
    <row r="384" spans="4:7" x14ac:dyDescent="0.35">
      <c r="D384" t="s">
        <v>952</v>
      </c>
      <c r="F384" s="86">
        <v>46010</v>
      </c>
      <c r="G384" s="87" t="s">
        <v>2069</v>
      </c>
    </row>
    <row r="385" spans="4:7" x14ac:dyDescent="0.35">
      <c r="D385" t="s">
        <v>997</v>
      </c>
      <c r="F385" s="86">
        <v>46011</v>
      </c>
      <c r="G385" s="87" t="s">
        <v>2069</v>
      </c>
    </row>
    <row r="386" spans="4:7" x14ac:dyDescent="0.35">
      <c r="D386" t="s">
        <v>1873</v>
      </c>
      <c r="F386" s="86">
        <v>46012</v>
      </c>
      <c r="G386" s="87" t="s">
        <v>2069</v>
      </c>
    </row>
    <row r="387" spans="4:7" x14ac:dyDescent="0.35">
      <c r="D387" t="s">
        <v>1417</v>
      </c>
      <c r="F387" s="86">
        <v>46013</v>
      </c>
      <c r="G387" s="87" t="s">
        <v>2069</v>
      </c>
    </row>
    <row r="388" spans="4:7" x14ac:dyDescent="0.35">
      <c r="D388" t="s">
        <v>1599</v>
      </c>
      <c r="F388" s="86">
        <v>46014</v>
      </c>
      <c r="G388" s="87" t="s">
        <v>2069</v>
      </c>
    </row>
    <row r="389" spans="4:7" x14ac:dyDescent="0.35">
      <c r="D389" t="s">
        <v>1359</v>
      </c>
      <c r="F389" s="86">
        <v>46015</v>
      </c>
      <c r="G389" s="87" t="s">
        <v>2069</v>
      </c>
    </row>
    <row r="390" spans="4:7" x14ac:dyDescent="0.35">
      <c r="D390" t="s">
        <v>2014</v>
      </c>
      <c r="F390" s="86">
        <v>46016</v>
      </c>
      <c r="G390" s="87" t="s">
        <v>2069</v>
      </c>
    </row>
    <row r="391" spans="4:7" x14ac:dyDescent="0.35">
      <c r="D391" t="s">
        <v>322</v>
      </c>
      <c r="F391" s="86">
        <v>46017</v>
      </c>
      <c r="G391" s="87" t="s">
        <v>2069</v>
      </c>
    </row>
    <row r="392" spans="4:7" x14ac:dyDescent="0.35">
      <c r="D392" t="s">
        <v>2008</v>
      </c>
      <c r="F392" s="86">
        <v>46018</v>
      </c>
      <c r="G392" s="87" t="s">
        <v>2069</v>
      </c>
    </row>
    <row r="393" spans="4:7" x14ac:dyDescent="0.35">
      <c r="D393" t="s">
        <v>425</v>
      </c>
      <c r="F393" s="86">
        <v>46019</v>
      </c>
      <c r="G393" s="87" t="s">
        <v>2069</v>
      </c>
    </row>
    <row r="394" spans="4:7" x14ac:dyDescent="0.35">
      <c r="D394" t="s">
        <v>200</v>
      </c>
      <c r="F394" s="86">
        <v>46020</v>
      </c>
      <c r="G394" s="87" t="s">
        <v>2069</v>
      </c>
    </row>
    <row r="395" spans="4:7" x14ac:dyDescent="0.35">
      <c r="D395" t="s">
        <v>1786</v>
      </c>
      <c r="F395" s="86">
        <v>46021</v>
      </c>
      <c r="G395" s="87" t="s">
        <v>2069</v>
      </c>
    </row>
    <row r="396" spans="4:7" x14ac:dyDescent="0.35">
      <c r="D396" t="s">
        <v>1031</v>
      </c>
      <c r="F396" s="86">
        <v>46022</v>
      </c>
      <c r="G396" s="87" t="s">
        <v>2069</v>
      </c>
    </row>
    <row r="397" spans="4:7" x14ac:dyDescent="0.35">
      <c r="D397" t="s">
        <v>1684</v>
      </c>
    </row>
    <row r="398" spans="4:7" x14ac:dyDescent="0.35">
      <c r="D398" t="s">
        <v>1756</v>
      </c>
    </row>
    <row r="399" spans="4:7" x14ac:dyDescent="0.35">
      <c r="D399" t="s">
        <v>1388</v>
      </c>
    </row>
    <row r="400" spans="4:7" x14ac:dyDescent="0.35">
      <c r="D400" t="s">
        <v>1040</v>
      </c>
    </row>
    <row r="401" spans="4:4" x14ac:dyDescent="0.35">
      <c r="D401" t="s">
        <v>388</v>
      </c>
    </row>
    <row r="402" spans="4:4" x14ac:dyDescent="0.35">
      <c r="D402" t="s">
        <v>1993</v>
      </c>
    </row>
    <row r="403" spans="4:4" x14ac:dyDescent="0.35">
      <c r="D403" t="s">
        <v>949</v>
      </c>
    </row>
    <row r="404" spans="4:4" x14ac:dyDescent="0.35">
      <c r="D404" t="s">
        <v>506</v>
      </c>
    </row>
    <row r="405" spans="4:4" x14ac:dyDescent="0.35">
      <c r="D405" t="s">
        <v>1837</v>
      </c>
    </row>
    <row r="406" spans="4:4" x14ac:dyDescent="0.35">
      <c r="D406" t="s">
        <v>1725</v>
      </c>
    </row>
    <row r="407" spans="4:4" x14ac:dyDescent="0.35">
      <c r="D407" t="s">
        <v>1987</v>
      </c>
    </row>
    <row r="408" spans="4:4" x14ac:dyDescent="0.35">
      <c r="D408" t="s">
        <v>201</v>
      </c>
    </row>
    <row r="409" spans="4:4" x14ac:dyDescent="0.35">
      <c r="D409" t="s">
        <v>826</v>
      </c>
    </row>
    <row r="410" spans="4:4" x14ac:dyDescent="0.35">
      <c r="D410" t="s">
        <v>422</v>
      </c>
    </row>
    <row r="411" spans="4:4" x14ac:dyDescent="0.35">
      <c r="D411" t="s">
        <v>1541</v>
      </c>
    </row>
    <row r="412" spans="4:4" x14ac:dyDescent="0.35">
      <c r="D412" t="s">
        <v>934</v>
      </c>
    </row>
    <row r="413" spans="4:4" x14ac:dyDescent="0.35">
      <c r="D413" t="s">
        <v>750</v>
      </c>
    </row>
    <row r="414" spans="4:4" x14ac:dyDescent="0.35">
      <c r="D414" t="s">
        <v>685</v>
      </c>
    </row>
    <row r="415" spans="4:4" x14ac:dyDescent="0.35">
      <c r="D415" t="s">
        <v>620</v>
      </c>
    </row>
    <row r="416" spans="4:4" x14ac:dyDescent="0.35">
      <c r="D416" t="s">
        <v>489</v>
      </c>
    </row>
    <row r="417" spans="4:4" x14ac:dyDescent="0.35">
      <c r="D417" t="s">
        <v>1605</v>
      </c>
    </row>
    <row r="418" spans="4:4" x14ac:dyDescent="0.35">
      <c r="D418" t="s">
        <v>1678</v>
      </c>
    </row>
    <row r="419" spans="4:4" x14ac:dyDescent="0.35">
      <c r="D419" t="s">
        <v>2023</v>
      </c>
    </row>
    <row r="420" spans="4:4" x14ac:dyDescent="0.35">
      <c r="D420" t="s">
        <v>1569</v>
      </c>
    </row>
    <row r="421" spans="4:4" x14ac:dyDescent="0.35">
      <c r="D421" t="s">
        <v>203</v>
      </c>
    </row>
    <row r="422" spans="4:4" x14ac:dyDescent="0.35">
      <c r="D422" t="s">
        <v>1702</v>
      </c>
    </row>
    <row r="423" spans="4:4" x14ac:dyDescent="0.35">
      <c r="D423" t="s">
        <v>111</v>
      </c>
    </row>
    <row r="424" spans="4:4" x14ac:dyDescent="0.35">
      <c r="D424" t="s">
        <v>1819</v>
      </c>
    </row>
    <row r="425" spans="4:4" x14ac:dyDescent="0.35">
      <c r="D425" t="s">
        <v>1370</v>
      </c>
    </row>
    <row r="426" spans="4:4" x14ac:dyDescent="0.35">
      <c r="D426" t="s">
        <v>647</v>
      </c>
    </row>
    <row r="427" spans="4:4" x14ac:dyDescent="0.35">
      <c r="D427" t="s">
        <v>1813</v>
      </c>
    </row>
    <row r="428" spans="4:4" x14ac:dyDescent="0.35">
      <c r="D428" t="s">
        <v>1662</v>
      </c>
    </row>
    <row r="429" spans="4:4" x14ac:dyDescent="0.35">
      <c r="D429" t="s">
        <v>1999</v>
      </c>
    </row>
    <row r="430" spans="4:4" x14ac:dyDescent="0.35">
      <c r="D430" t="s">
        <v>814</v>
      </c>
    </row>
    <row r="431" spans="4:4" x14ac:dyDescent="0.35">
      <c r="D431" t="s">
        <v>916</v>
      </c>
    </row>
    <row r="432" spans="4:4" x14ac:dyDescent="0.35">
      <c r="D432" t="s">
        <v>381</v>
      </c>
    </row>
    <row r="433" spans="4:4" x14ac:dyDescent="0.35">
      <c r="D433" t="s">
        <v>474</v>
      </c>
    </row>
    <row r="434" spans="4:4" x14ac:dyDescent="0.35">
      <c r="D434" t="s">
        <v>985</v>
      </c>
    </row>
    <row r="435" spans="4:4" x14ac:dyDescent="0.35">
      <c r="D435" t="s">
        <v>1581</v>
      </c>
    </row>
    <row r="436" spans="4:4" x14ac:dyDescent="0.35">
      <c r="D436" t="s">
        <v>1762</v>
      </c>
    </row>
    <row r="437" spans="4:4" x14ac:dyDescent="0.35">
      <c r="D437" t="s">
        <v>1828</v>
      </c>
    </row>
    <row r="438" spans="4:4" x14ac:dyDescent="0.35">
      <c r="D438" t="s">
        <v>1707</v>
      </c>
    </row>
    <row r="439" spans="4:4" x14ac:dyDescent="0.35">
      <c r="D439" t="s">
        <v>2032</v>
      </c>
    </row>
    <row r="440" spans="4:4" x14ac:dyDescent="0.35">
      <c r="D440" t="s">
        <v>512</v>
      </c>
    </row>
    <row r="441" spans="4:4" x14ac:dyDescent="0.35">
      <c r="D441" t="s">
        <v>1409</v>
      </c>
    </row>
    <row r="442" spans="4:4" x14ac:dyDescent="0.35">
      <c r="D442" t="s">
        <v>898</v>
      </c>
    </row>
    <row r="443" spans="4:4" x14ac:dyDescent="0.35">
      <c r="D443" t="s">
        <v>1046</v>
      </c>
    </row>
    <row r="444" spans="4:4" x14ac:dyDescent="0.35">
      <c r="D444" t="s">
        <v>868</v>
      </c>
    </row>
    <row r="445" spans="4:4" x14ac:dyDescent="0.35">
      <c r="D445" t="s">
        <v>1954</v>
      </c>
    </row>
    <row r="446" spans="4:4" x14ac:dyDescent="0.35">
      <c r="D446" t="s">
        <v>991</v>
      </c>
    </row>
    <row r="447" spans="4:4" x14ac:dyDescent="0.35">
      <c r="D447" t="s">
        <v>1738</v>
      </c>
    </row>
    <row r="448" spans="4:4" x14ac:dyDescent="0.35">
      <c r="D448" t="s">
        <v>549</v>
      </c>
    </row>
    <row r="449" spans="4:4" x14ac:dyDescent="0.35">
      <c r="D449" t="s">
        <v>471</v>
      </c>
    </row>
    <row r="450" spans="4:4" x14ac:dyDescent="0.35">
      <c r="D450" t="s">
        <v>940</v>
      </c>
    </row>
    <row r="451" spans="4:4" x14ac:dyDescent="0.35">
      <c r="D451" t="s">
        <v>1966</v>
      </c>
    </row>
    <row r="452" spans="4:4" x14ac:dyDescent="0.35">
      <c r="D452" t="s">
        <v>1043</v>
      </c>
    </row>
    <row r="453" spans="4:4" x14ac:dyDescent="0.35">
      <c r="D453" t="s">
        <v>416</v>
      </c>
    </row>
    <row r="454" spans="4:4" x14ac:dyDescent="0.35">
      <c r="D454" t="s">
        <v>799</v>
      </c>
    </row>
    <row r="455" spans="4:4" x14ac:dyDescent="0.35">
      <c r="D455" t="s">
        <v>931</v>
      </c>
    </row>
    <row r="456" spans="4:4" x14ac:dyDescent="0.35">
      <c r="D456" t="s">
        <v>2011</v>
      </c>
    </row>
    <row r="457" spans="4:4" x14ac:dyDescent="0.35">
      <c r="D457" t="s">
        <v>1633</v>
      </c>
    </row>
    <row r="458" spans="4:4" x14ac:dyDescent="0.35">
      <c r="D458" t="s">
        <v>1498</v>
      </c>
    </row>
    <row r="459" spans="4:4" x14ac:dyDescent="0.35">
      <c r="D459" t="s">
        <v>1912</v>
      </c>
    </row>
    <row r="460" spans="4:4" x14ac:dyDescent="0.35">
      <c r="D460" t="s">
        <v>946</v>
      </c>
    </row>
    <row r="461" spans="4:4" x14ac:dyDescent="0.35">
      <c r="D461" t="s">
        <v>1393</v>
      </c>
    </row>
    <row r="462" spans="4:4" x14ac:dyDescent="0.35">
      <c r="D462" t="s">
        <v>1382</v>
      </c>
    </row>
    <row r="463" spans="4:4" x14ac:dyDescent="0.35">
      <c r="D463" t="s">
        <v>973</v>
      </c>
    </row>
    <row r="464" spans="4:4" x14ac:dyDescent="0.35">
      <c r="D464" t="s">
        <v>722</v>
      </c>
    </row>
    <row r="465" spans="4:4" x14ac:dyDescent="0.35">
      <c r="D465" t="s">
        <v>979</v>
      </c>
    </row>
    <row r="466" spans="4:4" x14ac:dyDescent="0.35">
      <c r="D466" t="s">
        <v>403</v>
      </c>
    </row>
    <row r="467" spans="4:4" x14ac:dyDescent="0.35">
      <c r="D467" t="s">
        <v>1777</v>
      </c>
    </row>
    <row r="468" spans="4:4" x14ac:dyDescent="0.35">
      <c r="D468" t="s">
        <v>2047</v>
      </c>
    </row>
    <row r="469" spans="4:4" x14ac:dyDescent="0.35">
      <c r="D469" t="s">
        <v>594</v>
      </c>
    </row>
    <row r="470" spans="4:4" x14ac:dyDescent="0.35">
      <c r="D470" t="s">
        <v>707</v>
      </c>
    </row>
    <row r="471" spans="4:4" x14ac:dyDescent="0.35">
      <c r="D471" t="s">
        <v>1939</v>
      </c>
    </row>
    <row r="472" spans="4:4" x14ac:dyDescent="0.35">
      <c r="D472" t="s">
        <v>1879</v>
      </c>
    </row>
    <row r="473" spans="4:4" x14ac:dyDescent="0.35">
      <c r="D473" t="s">
        <v>961</v>
      </c>
    </row>
    <row r="474" spans="4:4" x14ac:dyDescent="0.35">
      <c r="D474" t="s">
        <v>391</v>
      </c>
    </row>
    <row r="475" spans="4:4" x14ac:dyDescent="0.35">
      <c r="D475" t="s">
        <v>796</v>
      </c>
    </row>
    <row r="476" spans="4:4" x14ac:dyDescent="0.35">
      <c r="D476" t="s">
        <v>1028</v>
      </c>
    </row>
    <row r="477" spans="4:4" x14ac:dyDescent="0.35">
      <c r="D477" t="s">
        <v>1687</v>
      </c>
    </row>
    <row r="478" spans="4:4" x14ac:dyDescent="0.35">
      <c r="D478" t="s">
        <v>1846</v>
      </c>
    </row>
    <row r="479" spans="4:4" x14ac:dyDescent="0.35">
      <c r="D479" t="s">
        <v>1789</v>
      </c>
    </row>
    <row r="480" spans="4:4" x14ac:dyDescent="0.35">
      <c r="D480" t="s">
        <v>124</v>
      </c>
    </row>
    <row r="481" spans="4:4" x14ac:dyDescent="0.35">
      <c r="D481" t="s">
        <v>204</v>
      </c>
    </row>
    <row r="482" spans="4:4" x14ac:dyDescent="0.35">
      <c r="D482" t="s">
        <v>122</v>
      </c>
    </row>
    <row r="483" spans="4:4" x14ac:dyDescent="0.35">
      <c r="D483" t="s">
        <v>580</v>
      </c>
    </row>
    <row r="484" spans="4:4" x14ac:dyDescent="0.35">
      <c r="D484" t="s">
        <v>1593</v>
      </c>
    </row>
    <row r="485" spans="4:4" x14ac:dyDescent="0.35">
      <c r="D485" t="s">
        <v>492</v>
      </c>
    </row>
    <row r="486" spans="4:4" x14ac:dyDescent="0.35">
      <c r="D486" t="s">
        <v>823</v>
      </c>
    </row>
    <row r="487" spans="4:4" x14ac:dyDescent="0.35">
      <c r="D487" t="s">
        <v>443</v>
      </c>
    </row>
    <row r="488" spans="4:4" x14ac:dyDescent="0.35">
      <c r="D488" t="s">
        <v>2020</v>
      </c>
    </row>
    <row r="489" spans="4:4" x14ac:dyDescent="0.35">
      <c r="D489" t="s">
        <v>1596</v>
      </c>
    </row>
    <row r="490" spans="4:4" x14ac:dyDescent="0.35">
      <c r="D490" t="s">
        <v>744</v>
      </c>
    </row>
    <row r="491" spans="4:4" x14ac:dyDescent="0.35">
      <c r="D491" t="s">
        <v>374</v>
      </c>
    </row>
    <row r="492" spans="4:4" x14ac:dyDescent="0.35">
      <c r="D492" t="s">
        <v>741</v>
      </c>
    </row>
    <row r="493" spans="4:4" x14ac:dyDescent="0.35">
      <c r="D493" t="s">
        <v>2221</v>
      </c>
    </row>
    <row r="494" spans="4:4" x14ac:dyDescent="0.35">
      <c r="D494" t="s">
        <v>1479</v>
      </c>
    </row>
    <row r="495" spans="4:4" x14ac:dyDescent="0.35">
      <c r="D495" t="s">
        <v>811</v>
      </c>
    </row>
    <row r="496" spans="4:4" x14ac:dyDescent="0.35">
      <c r="D496" t="s">
        <v>850</v>
      </c>
    </row>
    <row r="497" spans="4:4" x14ac:dyDescent="0.35">
      <c r="D497" t="s">
        <v>509</v>
      </c>
    </row>
    <row r="498" spans="4:4" x14ac:dyDescent="0.35">
      <c r="D498" t="s">
        <v>110</v>
      </c>
    </row>
    <row r="499" spans="4:4" x14ac:dyDescent="0.35">
      <c r="D499" t="s">
        <v>1921</v>
      </c>
    </row>
    <row r="500" spans="4:4" x14ac:dyDescent="0.35">
      <c r="D500" t="s">
        <v>1801</v>
      </c>
    </row>
    <row r="501" spans="4:4" x14ac:dyDescent="0.35">
      <c r="D501" t="s">
        <v>1882</v>
      </c>
    </row>
    <row r="502" spans="4:4" x14ac:dyDescent="0.35">
      <c r="D502" t="s">
        <v>781</v>
      </c>
    </row>
    <row r="503" spans="4:4" x14ac:dyDescent="0.35">
      <c r="D503" t="s">
        <v>1927</v>
      </c>
    </row>
  </sheetData>
  <sortState xmlns:xlrd2="http://schemas.microsoft.com/office/spreadsheetml/2017/richdata2" ref="E1:E24">
    <sortCondition ref="E1:E24"/>
  </sortState>
  <phoneticPr fontId="2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35FA4-C580-4821-B5C2-AFB83F6B8F94}">
  <dimension ref="A1:D120"/>
  <sheetViews>
    <sheetView topLeftCell="A48" workbookViewId="0">
      <selection sqref="A1:C116"/>
    </sheetView>
  </sheetViews>
  <sheetFormatPr defaultRowHeight="14.5" x14ac:dyDescent="0.35"/>
  <cols>
    <col min="1" max="1" width="37.08984375" bestFit="1" customWidth="1"/>
    <col min="2" max="2" width="35.7265625" bestFit="1" customWidth="1"/>
    <col min="3" max="3" width="62.453125" style="221" customWidth="1"/>
    <col min="4" max="4" width="37.08984375" style="221" customWidth="1"/>
    <col min="5" max="5" width="57.1796875" customWidth="1"/>
    <col min="6" max="6" width="44.7265625" customWidth="1"/>
  </cols>
  <sheetData>
    <row r="1" spans="1:3" ht="43" customHeight="1" x14ac:dyDescent="0.35">
      <c r="A1" s="226" t="s">
        <v>3233</v>
      </c>
      <c r="B1" s="226" t="s">
        <v>3279</v>
      </c>
      <c r="C1" s="226" t="s">
        <v>3234</v>
      </c>
    </row>
    <row r="2" spans="1:3" ht="16.5" x14ac:dyDescent="0.35">
      <c r="A2" s="224" t="s">
        <v>1</v>
      </c>
      <c r="B2" s="224" t="s">
        <v>229</v>
      </c>
      <c r="C2" s="225" t="s">
        <v>218</v>
      </c>
    </row>
    <row r="3" spans="1:3" ht="16.5" x14ac:dyDescent="0.35">
      <c r="A3" s="225"/>
      <c r="B3" s="225"/>
      <c r="C3" s="225" t="s">
        <v>3240</v>
      </c>
    </row>
    <row r="4" spans="1:3" ht="16.5" x14ac:dyDescent="0.35">
      <c r="A4" s="225"/>
      <c r="B4" s="225"/>
      <c r="C4" s="225" t="s">
        <v>3241</v>
      </c>
    </row>
    <row r="5" spans="1:3" ht="16.5" x14ac:dyDescent="0.35">
      <c r="A5" s="225"/>
      <c r="B5" s="225"/>
      <c r="C5" s="225" t="s">
        <v>3285</v>
      </c>
    </row>
    <row r="6" spans="1:3" ht="16.5" x14ac:dyDescent="0.35">
      <c r="A6" s="225"/>
      <c r="B6" s="225"/>
      <c r="C6" s="225" t="s">
        <v>289</v>
      </c>
    </row>
    <row r="7" spans="1:3" ht="16.5" x14ac:dyDescent="0.35">
      <c r="A7" s="225"/>
      <c r="B7" s="225"/>
      <c r="C7" s="225"/>
    </row>
    <row r="8" spans="1:3" ht="16.5" x14ac:dyDescent="0.35">
      <c r="A8" s="224" t="s">
        <v>3280</v>
      </c>
      <c r="B8" s="224" t="s">
        <v>230</v>
      </c>
      <c r="C8" s="225" t="s">
        <v>218</v>
      </c>
    </row>
    <row r="9" spans="1:3" ht="16.5" x14ac:dyDescent="0.35">
      <c r="A9" s="225"/>
      <c r="B9" s="225"/>
      <c r="C9" s="225" t="s">
        <v>3236</v>
      </c>
    </row>
    <row r="10" spans="1:3" ht="16.5" x14ac:dyDescent="0.35">
      <c r="A10" s="225"/>
      <c r="B10" s="225"/>
      <c r="C10" s="225" t="s">
        <v>3281</v>
      </c>
    </row>
    <row r="11" spans="1:3" ht="16.5" x14ac:dyDescent="0.35">
      <c r="A11" s="225"/>
      <c r="B11" s="225"/>
      <c r="C11" s="225" t="s">
        <v>3282</v>
      </c>
    </row>
    <row r="12" spans="1:3" ht="16.5" x14ac:dyDescent="0.35">
      <c r="A12" s="225"/>
      <c r="B12" s="225"/>
      <c r="C12" s="225" t="s">
        <v>3237</v>
      </c>
    </row>
    <row r="13" spans="1:3" ht="16.5" x14ac:dyDescent="0.35">
      <c r="A13" s="225"/>
      <c r="B13" s="225"/>
      <c r="C13" s="225"/>
    </row>
    <row r="14" spans="1:3" ht="16.5" x14ac:dyDescent="0.35">
      <c r="A14" s="225"/>
      <c r="B14" s="224" t="s">
        <v>231</v>
      </c>
      <c r="C14" s="225" t="s">
        <v>218</v>
      </c>
    </row>
    <row r="15" spans="1:3" ht="16.5" x14ac:dyDescent="0.35">
      <c r="A15" s="225"/>
      <c r="B15" s="225"/>
      <c r="C15" s="225" t="s">
        <v>3283</v>
      </c>
    </row>
    <row r="16" spans="1:3" ht="16.5" x14ac:dyDescent="0.35">
      <c r="A16" s="225"/>
      <c r="B16" s="225"/>
      <c r="C16" s="225" t="s">
        <v>3284</v>
      </c>
    </row>
    <row r="17" spans="1:3" ht="16.5" x14ac:dyDescent="0.35">
      <c r="A17" s="225"/>
      <c r="B17" s="225"/>
      <c r="C17" s="225"/>
    </row>
    <row r="18" spans="1:3" ht="16.5" x14ac:dyDescent="0.35">
      <c r="A18" s="225"/>
      <c r="B18" s="225"/>
      <c r="C18" s="225"/>
    </row>
    <row r="19" spans="1:3" ht="16.5" x14ac:dyDescent="0.35">
      <c r="A19" s="225"/>
      <c r="B19" s="224" t="s">
        <v>232</v>
      </c>
      <c r="C19" s="225" t="s">
        <v>218</v>
      </c>
    </row>
    <row r="20" spans="1:3" ht="16.5" x14ac:dyDescent="0.35">
      <c r="A20" s="225"/>
      <c r="B20" s="225"/>
      <c r="C20" s="225" t="s">
        <v>3292</v>
      </c>
    </row>
    <row r="21" spans="1:3" ht="16.5" x14ac:dyDescent="0.35">
      <c r="A21" s="225"/>
      <c r="B21" s="225"/>
      <c r="C21" s="225" t="s">
        <v>3251</v>
      </c>
    </row>
    <row r="22" spans="1:3" ht="16.5" x14ac:dyDescent="0.35">
      <c r="A22" s="225"/>
      <c r="B22" s="225"/>
      <c r="C22" s="225"/>
    </row>
    <row r="23" spans="1:3" ht="16.5" x14ac:dyDescent="0.35">
      <c r="A23" s="224" t="s">
        <v>39</v>
      </c>
      <c r="B23" s="224" t="s">
        <v>234</v>
      </c>
      <c r="C23" s="225" t="s">
        <v>218</v>
      </c>
    </row>
    <row r="24" spans="1:3" ht="16.5" x14ac:dyDescent="0.35">
      <c r="A24" s="225"/>
      <c r="B24" s="225"/>
      <c r="C24" s="225" t="s">
        <v>3249</v>
      </c>
    </row>
    <row r="25" spans="1:3" ht="16.5" x14ac:dyDescent="0.35">
      <c r="A25" s="225"/>
      <c r="B25" s="225"/>
      <c r="C25" s="225" t="s">
        <v>3238</v>
      </c>
    </row>
    <row r="26" spans="1:3" ht="16.5" x14ac:dyDescent="0.35">
      <c r="A26" s="225"/>
      <c r="B26" s="225"/>
      <c r="C26" s="225" t="s">
        <v>3239</v>
      </c>
    </row>
    <row r="27" spans="1:3" ht="16.5" x14ac:dyDescent="0.35">
      <c r="A27" s="225"/>
      <c r="B27" s="225"/>
      <c r="C27" s="225" t="s">
        <v>3250</v>
      </c>
    </row>
    <row r="28" spans="1:3" ht="16.5" x14ac:dyDescent="0.35">
      <c r="A28" s="225"/>
      <c r="B28" s="225"/>
      <c r="C28" s="225"/>
    </row>
    <row r="29" spans="1:3" ht="16.5" x14ac:dyDescent="0.35">
      <c r="A29" s="225"/>
      <c r="B29" s="224" t="s">
        <v>235</v>
      </c>
      <c r="C29" s="225" t="s">
        <v>218</v>
      </c>
    </row>
    <row r="30" spans="1:3" ht="16.5" x14ac:dyDescent="0.35">
      <c r="A30" s="225"/>
      <c r="B30" s="225"/>
      <c r="C30" s="225" t="s">
        <v>3285</v>
      </c>
    </row>
    <row r="31" spans="1:3" ht="16.5" x14ac:dyDescent="0.35">
      <c r="A31" s="225"/>
      <c r="B31" s="225"/>
      <c r="C31" s="225" t="s">
        <v>3252</v>
      </c>
    </row>
    <row r="32" spans="1:3" ht="16.5" x14ac:dyDescent="0.35">
      <c r="A32" s="225"/>
      <c r="B32" s="225"/>
      <c r="C32" s="225" t="s">
        <v>3253</v>
      </c>
    </row>
    <row r="33" spans="1:3" ht="16.5" x14ac:dyDescent="0.35">
      <c r="A33" s="225"/>
      <c r="B33" s="225"/>
      <c r="C33" s="225" t="s">
        <v>3256</v>
      </c>
    </row>
    <row r="34" spans="1:3" ht="16.5" x14ac:dyDescent="0.35">
      <c r="A34" s="225"/>
      <c r="B34" s="225"/>
      <c r="C34" s="225" t="s">
        <v>3235</v>
      </c>
    </row>
    <row r="35" spans="1:3" ht="16.5" x14ac:dyDescent="0.35">
      <c r="A35" s="225"/>
      <c r="B35" s="225"/>
      <c r="C35" s="225"/>
    </row>
    <row r="36" spans="1:3" ht="33" x14ac:dyDescent="0.35">
      <c r="A36" s="224" t="s">
        <v>49</v>
      </c>
      <c r="B36" s="224" t="s">
        <v>237</v>
      </c>
      <c r="C36" s="225" t="s">
        <v>218</v>
      </c>
    </row>
    <row r="37" spans="1:3" ht="16.5" x14ac:dyDescent="0.35">
      <c r="A37" s="225"/>
      <c r="B37" s="225"/>
      <c r="C37" s="225" t="s">
        <v>3242</v>
      </c>
    </row>
    <row r="38" spans="1:3" ht="16.5" x14ac:dyDescent="0.35">
      <c r="A38" s="225"/>
      <c r="B38" s="225"/>
      <c r="C38" s="225" t="s">
        <v>3245</v>
      </c>
    </row>
    <row r="39" spans="1:3" ht="16.5" x14ac:dyDescent="0.35">
      <c r="A39" s="225"/>
      <c r="B39" s="225"/>
      <c r="C39" s="225" t="s">
        <v>3246</v>
      </c>
    </row>
    <row r="40" spans="1:3" ht="16.5" x14ac:dyDescent="0.35">
      <c r="A40" s="225"/>
      <c r="B40" s="225"/>
      <c r="C40" s="225" t="s">
        <v>3243</v>
      </c>
    </row>
    <row r="41" spans="1:3" ht="16.5" x14ac:dyDescent="0.35">
      <c r="A41" s="225"/>
      <c r="B41" s="225"/>
      <c r="C41" s="225" t="s">
        <v>3244</v>
      </c>
    </row>
    <row r="42" spans="1:3" ht="16.5" x14ac:dyDescent="0.35">
      <c r="A42" s="225"/>
      <c r="B42" s="225"/>
      <c r="C42" s="225" t="s">
        <v>3247</v>
      </c>
    </row>
    <row r="43" spans="1:3" ht="16.5" x14ac:dyDescent="0.35">
      <c r="A43" s="225"/>
      <c r="B43" s="225"/>
      <c r="C43" s="225"/>
    </row>
    <row r="44" spans="1:3" ht="16.5" x14ac:dyDescent="0.35">
      <c r="A44" s="225"/>
      <c r="B44" s="225"/>
      <c r="C44" s="225"/>
    </row>
    <row r="45" spans="1:3" ht="33" x14ac:dyDescent="0.35">
      <c r="A45" s="224" t="s">
        <v>53</v>
      </c>
      <c r="B45" s="224" t="s">
        <v>233</v>
      </c>
      <c r="C45" s="225" t="s">
        <v>218</v>
      </c>
    </row>
    <row r="46" spans="1:3" ht="16.5" x14ac:dyDescent="0.35">
      <c r="A46" s="225"/>
      <c r="B46" s="225"/>
      <c r="C46" s="225" t="s">
        <v>3254</v>
      </c>
    </row>
    <row r="47" spans="1:3" ht="16.5" x14ac:dyDescent="0.35">
      <c r="A47" s="225"/>
      <c r="B47" s="225"/>
      <c r="C47" s="225" t="s">
        <v>3248</v>
      </c>
    </row>
    <row r="48" spans="1:3" ht="16.5" x14ac:dyDescent="0.35">
      <c r="A48" s="225"/>
      <c r="B48" s="225"/>
      <c r="C48" s="225" t="s">
        <v>3255</v>
      </c>
    </row>
    <row r="49" spans="1:3" ht="16.5" x14ac:dyDescent="0.35">
      <c r="A49" s="225"/>
      <c r="B49" s="225"/>
      <c r="C49" s="225"/>
    </row>
    <row r="50" spans="1:3" ht="16.5" x14ac:dyDescent="0.35">
      <c r="A50" s="225"/>
      <c r="B50" s="224" t="s">
        <v>235</v>
      </c>
      <c r="C50" s="225" t="s">
        <v>218</v>
      </c>
    </row>
    <row r="51" spans="1:3" ht="16.5" x14ac:dyDescent="0.35">
      <c r="A51" s="225"/>
      <c r="B51" s="225"/>
      <c r="C51" s="225" t="s">
        <v>3285</v>
      </c>
    </row>
    <row r="52" spans="1:3" ht="16.5" x14ac:dyDescent="0.35">
      <c r="A52" s="225"/>
      <c r="B52" s="225"/>
      <c r="C52" s="225" t="s">
        <v>3252</v>
      </c>
    </row>
    <row r="53" spans="1:3" ht="16.5" x14ac:dyDescent="0.35">
      <c r="A53" s="225"/>
      <c r="B53" s="225"/>
      <c r="C53" s="225" t="s">
        <v>3253</v>
      </c>
    </row>
    <row r="54" spans="1:3" ht="16.5" x14ac:dyDescent="0.35">
      <c r="A54" s="225"/>
      <c r="B54" s="225"/>
      <c r="C54" s="225" t="s">
        <v>3256</v>
      </c>
    </row>
    <row r="55" spans="1:3" ht="16.5" x14ac:dyDescent="0.35">
      <c r="A55" s="225"/>
      <c r="B55" s="225"/>
      <c r="C55" s="225" t="s">
        <v>3235</v>
      </c>
    </row>
    <row r="56" spans="1:3" ht="16.5" x14ac:dyDescent="0.35">
      <c r="A56" s="225"/>
      <c r="B56" s="225"/>
      <c r="C56" s="225"/>
    </row>
    <row r="57" spans="1:3" ht="33" x14ac:dyDescent="0.35">
      <c r="A57" s="224" t="s">
        <v>55</v>
      </c>
      <c r="B57" s="224" t="s">
        <v>236</v>
      </c>
      <c r="C57" s="225" t="s">
        <v>218</v>
      </c>
    </row>
    <row r="58" spans="1:3" ht="16.5" x14ac:dyDescent="0.35">
      <c r="A58" s="225"/>
      <c r="B58" s="225"/>
      <c r="C58" s="225" t="s">
        <v>3257</v>
      </c>
    </row>
    <row r="59" spans="1:3" ht="16.5" x14ac:dyDescent="0.35">
      <c r="A59" s="225"/>
      <c r="B59" s="225"/>
      <c r="C59" s="225" t="s">
        <v>3264</v>
      </c>
    </row>
    <row r="60" spans="1:3" ht="16.5" x14ac:dyDescent="0.35">
      <c r="A60" s="225"/>
      <c r="B60" s="225"/>
      <c r="C60" s="225" t="s">
        <v>3293</v>
      </c>
    </row>
    <row r="61" spans="1:3" ht="16.5" x14ac:dyDescent="0.35">
      <c r="A61" s="225"/>
      <c r="B61" s="225"/>
      <c r="C61" s="225" t="s">
        <v>3258</v>
      </c>
    </row>
    <row r="62" spans="1:3" ht="16.5" x14ac:dyDescent="0.35">
      <c r="A62" s="225"/>
      <c r="B62" s="225"/>
      <c r="C62" s="225" t="s">
        <v>3286</v>
      </c>
    </row>
    <row r="63" spans="1:3" ht="16.5" x14ac:dyDescent="0.35">
      <c r="A63" s="225"/>
      <c r="B63" s="225"/>
      <c r="C63" s="225"/>
    </row>
    <row r="64" spans="1:3" ht="16.5" x14ac:dyDescent="0.35">
      <c r="A64" s="224" t="s">
        <v>102</v>
      </c>
      <c r="B64" s="224" t="s">
        <v>245</v>
      </c>
      <c r="C64" s="225" t="s">
        <v>218</v>
      </c>
    </row>
    <row r="65" spans="1:3" ht="16.5" x14ac:dyDescent="0.35">
      <c r="A65" s="225"/>
      <c r="B65" s="225"/>
      <c r="C65" s="225" t="s">
        <v>3259</v>
      </c>
    </row>
    <row r="66" spans="1:3" ht="16.5" x14ac:dyDescent="0.35">
      <c r="A66" s="225"/>
      <c r="B66" s="225"/>
      <c r="C66" s="225" t="s">
        <v>3260</v>
      </c>
    </row>
    <row r="67" spans="1:3" ht="16.5" x14ac:dyDescent="0.35">
      <c r="A67" s="225"/>
      <c r="B67" s="225"/>
      <c r="C67" s="225" t="s">
        <v>3263</v>
      </c>
    </row>
    <row r="68" spans="1:3" ht="16.5" x14ac:dyDescent="0.35">
      <c r="A68" s="225"/>
      <c r="B68" s="225"/>
      <c r="C68" s="225" t="s">
        <v>3261</v>
      </c>
    </row>
    <row r="69" spans="1:3" ht="16.5" x14ac:dyDescent="0.35">
      <c r="A69" s="225"/>
      <c r="B69" s="225"/>
      <c r="C69" s="225" t="s">
        <v>3262</v>
      </c>
    </row>
    <row r="70" spans="1:3" ht="16.5" x14ac:dyDescent="0.35">
      <c r="A70" s="225"/>
      <c r="B70" s="225"/>
      <c r="C70" s="225"/>
    </row>
    <row r="71" spans="1:3" ht="16.5" x14ac:dyDescent="0.35">
      <c r="A71" s="224" t="s">
        <v>56</v>
      </c>
      <c r="B71" s="224" t="s">
        <v>235</v>
      </c>
      <c r="C71" s="225" t="s">
        <v>218</v>
      </c>
    </row>
    <row r="72" spans="1:3" ht="16.5" x14ac:dyDescent="0.35">
      <c r="A72" s="225"/>
      <c r="B72" s="225"/>
      <c r="C72" s="225" t="s">
        <v>3285</v>
      </c>
    </row>
    <row r="73" spans="1:3" ht="16.5" x14ac:dyDescent="0.35">
      <c r="A73" s="225"/>
      <c r="B73" s="225"/>
      <c r="C73" s="225" t="s">
        <v>3252</v>
      </c>
    </row>
    <row r="74" spans="1:3" ht="16.5" x14ac:dyDescent="0.35">
      <c r="A74" s="225"/>
      <c r="B74" s="225"/>
      <c r="C74" s="225" t="s">
        <v>3253</v>
      </c>
    </row>
    <row r="75" spans="1:3" ht="16.5" x14ac:dyDescent="0.35">
      <c r="A75" s="225"/>
      <c r="B75" s="225"/>
      <c r="C75" s="225" t="s">
        <v>3256</v>
      </c>
    </row>
    <row r="76" spans="1:3" ht="16.5" x14ac:dyDescent="0.35">
      <c r="A76" s="225"/>
      <c r="B76" s="225"/>
      <c r="C76" s="225" t="s">
        <v>3235</v>
      </c>
    </row>
    <row r="77" spans="1:3" ht="16.5" x14ac:dyDescent="0.35">
      <c r="A77" s="225"/>
      <c r="B77" s="225"/>
      <c r="C77" s="225"/>
    </row>
    <row r="78" spans="1:3" ht="16.5" x14ac:dyDescent="0.35">
      <c r="A78" s="224" t="s">
        <v>61</v>
      </c>
      <c r="B78" s="224" t="s">
        <v>238</v>
      </c>
      <c r="C78" s="225" t="s">
        <v>218</v>
      </c>
    </row>
    <row r="79" spans="1:3" ht="16.5" x14ac:dyDescent="0.35">
      <c r="A79" s="225"/>
      <c r="B79" s="225"/>
      <c r="C79" s="225" t="s">
        <v>3240</v>
      </c>
    </row>
    <row r="80" spans="1:3" ht="16.5" x14ac:dyDescent="0.35">
      <c r="A80" s="225"/>
      <c r="B80" s="225"/>
      <c r="C80" s="225" t="s">
        <v>3285</v>
      </c>
    </row>
    <row r="81" spans="1:3" ht="16.5" x14ac:dyDescent="0.35">
      <c r="A81" s="225"/>
      <c r="B81" s="225"/>
      <c r="C81" s="225" t="s">
        <v>3252</v>
      </c>
    </row>
    <row r="82" spans="1:3" ht="16.5" x14ac:dyDescent="0.35">
      <c r="A82" s="225"/>
      <c r="B82" s="225"/>
      <c r="C82" s="225" t="s">
        <v>3253</v>
      </c>
    </row>
    <row r="83" spans="1:3" ht="16.5" x14ac:dyDescent="0.35">
      <c r="A83" s="225"/>
      <c r="B83" s="225"/>
      <c r="C83" s="225" t="s">
        <v>3256</v>
      </c>
    </row>
    <row r="84" spans="1:3" ht="16.5" x14ac:dyDescent="0.35">
      <c r="A84" s="225"/>
      <c r="B84" s="225"/>
      <c r="C84" s="225" t="s">
        <v>3235</v>
      </c>
    </row>
    <row r="85" spans="1:3" ht="16.5" x14ac:dyDescent="0.35">
      <c r="A85" s="225"/>
      <c r="B85" s="225"/>
      <c r="C85" s="225"/>
    </row>
    <row r="86" spans="1:3" ht="16.5" x14ac:dyDescent="0.35">
      <c r="A86" s="224" t="s">
        <v>65</v>
      </c>
      <c r="B86" s="224" t="s">
        <v>239</v>
      </c>
      <c r="C86" s="225" t="s">
        <v>218</v>
      </c>
    </row>
    <row r="87" spans="1:3" ht="16.5" x14ac:dyDescent="0.35">
      <c r="A87" s="225"/>
      <c r="B87" s="225"/>
      <c r="C87" s="225" t="s">
        <v>3287</v>
      </c>
    </row>
    <row r="88" spans="1:3" ht="16.5" x14ac:dyDescent="0.35">
      <c r="A88" s="225"/>
      <c r="B88" s="225"/>
      <c r="C88" s="225" t="s">
        <v>3266</v>
      </c>
    </row>
    <row r="89" spans="1:3" ht="16.5" x14ac:dyDescent="0.35">
      <c r="A89" s="225"/>
      <c r="B89" s="225"/>
      <c r="C89" s="225" t="s">
        <v>3267</v>
      </c>
    </row>
    <row r="90" spans="1:3" ht="16.5" x14ac:dyDescent="0.35">
      <c r="A90" s="225"/>
      <c r="B90" s="225"/>
      <c r="C90" s="225" t="s">
        <v>3269</v>
      </c>
    </row>
    <row r="91" spans="1:3" ht="16.5" x14ac:dyDescent="0.35">
      <c r="A91" s="225"/>
      <c r="B91" s="225"/>
      <c r="C91" s="225"/>
    </row>
    <row r="92" spans="1:3" ht="16.5" x14ac:dyDescent="0.35">
      <c r="A92" s="225"/>
      <c r="B92" s="224" t="s">
        <v>240</v>
      </c>
      <c r="C92" s="225" t="s">
        <v>218</v>
      </c>
    </row>
    <row r="93" spans="1:3" ht="16.5" x14ac:dyDescent="0.35">
      <c r="A93" s="225"/>
      <c r="B93" s="225"/>
      <c r="C93" s="225" t="s">
        <v>3265</v>
      </c>
    </row>
    <row r="94" spans="1:3" ht="16.5" x14ac:dyDescent="0.35">
      <c r="A94" s="225"/>
      <c r="B94" s="225"/>
      <c r="C94" s="225" t="s">
        <v>3288</v>
      </c>
    </row>
    <row r="95" spans="1:3" ht="16.5" x14ac:dyDescent="0.35">
      <c r="A95" s="225"/>
      <c r="B95" s="225"/>
      <c r="C95" s="225" t="s">
        <v>3268</v>
      </c>
    </row>
    <row r="96" spans="1:3" ht="16.5" x14ac:dyDescent="0.35">
      <c r="A96" s="225"/>
      <c r="B96" s="225"/>
      <c r="C96" s="225"/>
    </row>
    <row r="97" spans="1:3" ht="16.5" x14ac:dyDescent="0.35">
      <c r="A97" s="225"/>
      <c r="B97" s="225"/>
      <c r="C97" s="225"/>
    </row>
    <row r="98" spans="1:3" ht="16.5" x14ac:dyDescent="0.35">
      <c r="A98" s="224" t="s">
        <v>89</v>
      </c>
      <c r="B98" s="224" t="s">
        <v>244</v>
      </c>
      <c r="C98" s="225" t="s">
        <v>218</v>
      </c>
    </row>
    <row r="99" spans="1:3" ht="16.5" x14ac:dyDescent="0.35">
      <c r="A99" s="225"/>
      <c r="B99" s="225"/>
      <c r="C99" s="225" t="s">
        <v>3270</v>
      </c>
    </row>
    <row r="100" spans="1:3" ht="16.5" x14ac:dyDescent="0.35">
      <c r="A100" s="225"/>
      <c r="B100" s="225"/>
      <c r="C100" s="225"/>
    </row>
    <row r="101" spans="1:3" ht="16.5" x14ac:dyDescent="0.35">
      <c r="A101" s="224" t="s">
        <v>91</v>
      </c>
      <c r="B101" s="224" t="s">
        <v>241</v>
      </c>
      <c r="C101" s="225" t="s">
        <v>218</v>
      </c>
    </row>
    <row r="102" spans="1:3" ht="16.5" x14ac:dyDescent="0.35">
      <c r="A102" s="225"/>
      <c r="B102" s="225"/>
      <c r="C102" s="225" t="s">
        <v>3271</v>
      </c>
    </row>
    <row r="103" spans="1:3" ht="16.5" x14ac:dyDescent="0.35">
      <c r="A103" s="225"/>
      <c r="B103" s="225"/>
      <c r="C103" s="225" t="s">
        <v>3289</v>
      </c>
    </row>
    <row r="104" spans="1:3" ht="16.5" x14ac:dyDescent="0.35">
      <c r="A104" s="225"/>
      <c r="B104" s="225"/>
      <c r="C104" s="225" t="s">
        <v>3290</v>
      </c>
    </row>
    <row r="105" spans="1:3" ht="16.5" x14ac:dyDescent="0.35">
      <c r="A105" s="225"/>
      <c r="B105" s="225"/>
      <c r="C105" s="225"/>
    </row>
    <row r="106" spans="1:3" ht="16.5" x14ac:dyDescent="0.35">
      <c r="A106" s="224" t="s">
        <v>99</v>
      </c>
      <c r="B106" s="224" t="s">
        <v>242</v>
      </c>
      <c r="C106" s="225" t="s">
        <v>218</v>
      </c>
    </row>
    <row r="107" spans="1:3" ht="16.5" x14ac:dyDescent="0.35">
      <c r="A107" s="225"/>
      <c r="B107" s="225"/>
      <c r="C107" s="225" t="s">
        <v>3272</v>
      </c>
    </row>
    <row r="108" spans="1:3" ht="16.5" x14ac:dyDescent="0.35">
      <c r="A108" s="225"/>
      <c r="B108" s="225"/>
      <c r="C108" s="225" t="s">
        <v>3274</v>
      </c>
    </row>
    <row r="109" spans="1:3" ht="16.5" x14ac:dyDescent="0.35">
      <c r="A109" s="225"/>
      <c r="B109" s="225"/>
      <c r="C109" s="225" t="s">
        <v>3273</v>
      </c>
    </row>
    <row r="110" spans="1:3" ht="16.5" x14ac:dyDescent="0.35">
      <c r="A110" s="225"/>
      <c r="B110" s="225"/>
      <c r="C110" s="225" t="s">
        <v>3291</v>
      </c>
    </row>
    <row r="111" spans="1:3" ht="16.5" x14ac:dyDescent="0.35">
      <c r="A111" s="225"/>
      <c r="B111" s="225"/>
      <c r="C111" s="225"/>
    </row>
    <row r="112" spans="1:3" ht="16.5" x14ac:dyDescent="0.35">
      <c r="A112" s="225"/>
      <c r="B112" s="224" t="s">
        <v>243</v>
      </c>
      <c r="C112" s="225" t="s">
        <v>218</v>
      </c>
    </row>
    <row r="113" spans="1:3" ht="16.5" x14ac:dyDescent="0.35">
      <c r="A113" s="225"/>
      <c r="B113" s="225"/>
      <c r="C113" s="225" t="s">
        <v>3275</v>
      </c>
    </row>
    <row r="114" spans="1:3" ht="16.5" x14ac:dyDescent="0.35">
      <c r="A114" s="225"/>
      <c r="B114" s="225"/>
      <c r="C114" s="225" t="s">
        <v>3276</v>
      </c>
    </row>
    <row r="115" spans="1:3" ht="16.5" x14ac:dyDescent="0.35">
      <c r="A115" s="225"/>
      <c r="B115" s="225"/>
      <c r="C115" s="225" t="s">
        <v>3277</v>
      </c>
    </row>
    <row r="116" spans="1:3" ht="16.5" x14ac:dyDescent="0.35">
      <c r="A116" s="225"/>
      <c r="B116" s="225"/>
      <c r="C116" s="225" t="s">
        <v>3278</v>
      </c>
    </row>
    <row r="117" spans="1:3" x14ac:dyDescent="0.35">
      <c r="C117"/>
    </row>
    <row r="118" spans="1:3" x14ac:dyDescent="0.35">
      <c r="A118" s="222"/>
      <c r="C118"/>
    </row>
    <row r="119" spans="1:3" x14ac:dyDescent="0.35">
      <c r="A119" s="223"/>
      <c r="C119"/>
    </row>
    <row r="120" spans="1:3" x14ac:dyDescent="0.35">
      <c r="A120" s="223"/>
      <c r="C12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46753-5CA3-484B-AF09-788123F77F33}">
  <sheetPr filterMode="1"/>
  <dimension ref="A1:E600"/>
  <sheetViews>
    <sheetView workbookViewId="0">
      <selection activeCell="D607" sqref="D607"/>
    </sheetView>
  </sheetViews>
  <sheetFormatPr defaultColWidth="8.7265625" defaultRowHeight="14.5" x14ac:dyDescent="0.35"/>
  <cols>
    <col min="1" max="1" width="14.7265625" style="60" bestFit="1" customWidth="1"/>
    <col min="2" max="2" width="13.453125" style="60" bestFit="1" customWidth="1"/>
    <col min="3" max="3" width="40.81640625" style="60" bestFit="1" customWidth="1"/>
    <col min="4" max="4" width="37.7265625" style="60" bestFit="1" customWidth="1"/>
    <col min="5" max="5" width="12.81640625" style="60" bestFit="1" customWidth="1"/>
    <col min="6" max="16384" width="8.7265625" style="60"/>
  </cols>
  <sheetData>
    <row r="1" spans="1:5" x14ac:dyDescent="0.35">
      <c r="A1" s="59" t="s">
        <v>312</v>
      </c>
      <c r="B1" s="59" t="s">
        <v>313</v>
      </c>
      <c r="C1" s="59" t="s">
        <v>314</v>
      </c>
      <c r="D1" s="59" t="s">
        <v>315</v>
      </c>
      <c r="E1" s="59" t="s">
        <v>311</v>
      </c>
    </row>
    <row r="2" spans="1:5" hidden="1" x14ac:dyDescent="0.35">
      <c r="A2" s="61" t="s">
        <v>1377</v>
      </c>
      <c r="B2" s="62" t="s">
        <v>1378</v>
      </c>
      <c r="C2" s="61" t="s">
        <v>1379</v>
      </c>
      <c r="D2" s="62" t="s">
        <v>357</v>
      </c>
      <c r="E2" s="63" t="s">
        <v>1345</v>
      </c>
    </row>
    <row r="3" spans="1:5" hidden="1" x14ac:dyDescent="0.35">
      <c r="A3" s="61" t="s">
        <v>1889</v>
      </c>
      <c r="B3" s="62" t="s">
        <v>1890</v>
      </c>
      <c r="C3" s="61" t="s">
        <v>1891</v>
      </c>
      <c r="D3" s="62" t="s">
        <v>1430</v>
      </c>
      <c r="E3" s="64" t="s">
        <v>1345</v>
      </c>
    </row>
    <row r="4" spans="1:5" hidden="1" x14ac:dyDescent="0.35">
      <c r="A4" s="61" t="s">
        <v>448</v>
      </c>
      <c r="B4" s="62" t="s">
        <v>449</v>
      </c>
      <c r="C4" s="61" t="s">
        <v>175</v>
      </c>
      <c r="D4" s="62" t="s">
        <v>450</v>
      </c>
      <c r="E4" s="64" t="s">
        <v>316</v>
      </c>
    </row>
    <row r="5" spans="1:5" hidden="1" x14ac:dyDescent="0.35">
      <c r="A5" s="61" t="s">
        <v>680</v>
      </c>
      <c r="B5" s="62" t="s">
        <v>681</v>
      </c>
      <c r="C5" s="61" t="s">
        <v>682</v>
      </c>
      <c r="D5" s="62" t="s">
        <v>334</v>
      </c>
      <c r="E5" s="64" t="s">
        <v>316</v>
      </c>
    </row>
    <row r="6" spans="1:5" hidden="1" x14ac:dyDescent="0.35">
      <c r="A6" s="61" t="s">
        <v>836</v>
      </c>
      <c r="B6" s="62" t="s">
        <v>837</v>
      </c>
      <c r="C6" s="61" t="s">
        <v>838</v>
      </c>
      <c r="D6" s="62" t="s">
        <v>397</v>
      </c>
      <c r="E6" s="64" t="s">
        <v>316</v>
      </c>
    </row>
    <row r="7" spans="1:5" hidden="1" x14ac:dyDescent="0.35">
      <c r="A7" s="61" t="s">
        <v>409</v>
      </c>
      <c r="B7" s="62" t="s">
        <v>410</v>
      </c>
      <c r="C7" s="61" t="s">
        <v>411</v>
      </c>
      <c r="D7" s="62" t="s">
        <v>357</v>
      </c>
      <c r="E7" s="64" t="s">
        <v>316</v>
      </c>
    </row>
    <row r="8" spans="1:5" x14ac:dyDescent="0.35">
      <c r="A8" s="61" t="s">
        <v>875</v>
      </c>
      <c r="B8" s="62" t="s">
        <v>876</v>
      </c>
      <c r="C8" s="61" t="s">
        <v>877</v>
      </c>
      <c r="D8" s="62" t="s">
        <v>751</v>
      </c>
      <c r="E8" s="64" t="s">
        <v>316</v>
      </c>
    </row>
    <row r="9" spans="1:5" hidden="1" x14ac:dyDescent="0.35">
      <c r="A9" s="61" t="s">
        <v>917</v>
      </c>
      <c r="B9" s="62" t="s">
        <v>918</v>
      </c>
      <c r="C9" s="61" t="s">
        <v>919</v>
      </c>
      <c r="D9" s="62" t="s">
        <v>375</v>
      </c>
      <c r="E9" s="64" t="s">
        <v>316</v>
      </c>
    </row>
    <row r="10" spans="1:5" hidden="1" x14ac:dyDescent="0.35">
      <c r="A10" s="61" t="s">
        <v>417</v>
      </c>
      <c r="B10" s="62" t="s">
        <v>418</v>
      </c>
      <c r="C10" s="61" t="s">
        <v>419</v>
      </c>
      <c r="D10" s="62" t="s">
        <v>394</v>
      </c>
      <c r="E10" s="64" t="s">
        <v>316</v>
      </c>
    </row>
    <row r="11" spans="1:5" hidden="1" x14ac:dyDescent="0.35">
      <c r="A11" s="61" t="s">
        <v>1883</v>
      </c>
      <c r="B11" s="62" t="s">
        <v>1884</v>
      </c>
      <c r="C11" s="61" t="s">
        <v>1885</v>
      </c>
      <c r="D11" s="62" t="s">
        <v>1430</v>
      </c>
      <c r="E11" s="64" t="s">
        <v>1345</v>
      </c>
    </row>
    <row r="12" spans="1:5" hidden="1" x14ac:dyDescent="0.35">
      <c r="A12" s="61" t="s">
        <v>331</v>
      </c>
      <c r="B12" s="62" t="s">
        <v>332</v>
      </c>
      <c r="C12" s="61" t="s">
        <v>333</v>
      </c>
      <c r="D12" s="62" t="s">
        <v>334</v>
      </c>
      <c r="E12" s="64" t="s">
        <v>316</v>
      </c>
    </row>
    <row r="13" spans="1:5" hidden="1" x14ac:dyDescent="0.35">
      <c r="A13" s="61" t="s">
        <v>2024</v>
      </c>
      <c r="B13" s="62" t="s">
        <v>2025</v>
      </c>
      <c r="C13" s="61" t="s">
        <v>2026</v>
      </c>
      <c r="D13" s="62" t="s">
        <v>1476</v>
      </c>
      <c r="E13" s="64" t="s">
        <v>1345</v>
      </c>
    </row>
    <row r="14" spans="1:5" hidden="1" x14ac:dyDescent="0.35">
      <c r="A14" s="61" t="s">
        <v>986</v>
      </c>
      <c r="B14" s="62" t="s">
        <v>987</v>
      </c>
      <c r="C14" s="61" t="s">
        <v>988</v>
      </c>
      <c r="D14" s="62" t="s">
        <v>447</v>
      </c>
      <c r="E14" s="64" t="s">
        <v>316</v>
      </c>
    </row>
    <row r="15" spans="1:5" customFormat="1" hidden="1" x14ac:dyDescent="0.35">
      <c r="A15" s="51" t="s">
        <v>1282</v>
      </c>
      <c r="B15" s="52" t="s">
        <v>1283</v>
      </c>
      <c r="C15" s="51" t="s">
        <v>1284</v>
      </c>
      <c r="D15" s="52" t="s">
        <v>1157</v>
      </c>
      <c r="E15" s="53" t="s">
        <v>1142</v>
      </c>
    </row>
    <row r="16" spans="1:5" hidden="1" x14ac:dyDescent="0.35">
      <c r="A16" s="61" t="s">
        <v>1979</v>
      </c>
      <c r="B16" s="62" t="s">
        <v>1980</v>
      </c>
      <c r="C16" s="61" t="s">
        <v>1981</v>
      </c>
      <c r="D16" s="62" t="s">
        <v>1476</v>
      </c>
      <c r="E16" s="64" t="s">
        <v>1345</v>
      </c>
    </row>
    <row r="17" spans="1:5" hidden="1" x14ac:dyDescent="0.35">
      <c r="A17" s="61" t="s">
        <v>711</v>
      </c>
      <c r="B17" s="62" t="s">
        <v>712</v>
      </c>
      <c r="C17" s="61" t="s">
        <v>713</v>
      </c>
      <c r="D17" s="62" t="s">
        <v>656</v>
      </c>
      <c r="E17" s="64" t="s">
        <v>316</v>
      </c>
    </row>
    <row r="18" spans="1:5" hidden="1" x14ac:dyDescent="0.35">
      <c r="A18" s="61" t="s">
        <v>2057</v>
      </c>
      <c r="B18" s="62" t="s">
        <v>2058</v>
      </c>
      <c r="C18" s="61" t="s">
        <v>2059</v>
      </c>
      <c r="D18" s="62" t="s">
        <v>330</v>
      </c>
      <c r="E18" s="64" t="s">
        <v>1345</v>
      </c>
    </row>
    <row r="19" spans="1:5" hidden="1" x14ac:dyDescent="0.35">
      <c r="A19" s="61" t="s">
        <v>1457</v>
      </c>
      <c r="B19" s="62" t="s">
        <v>1458</v>
      </c>
      <c r="C19" s="61" t="s">
        <v>1459</v>
      </c>
      <c r="D19" s="62" t="s">
        <v>345</v>
      </c>
      <c r="E19" s="64" t="s">
        <v>1345</v>
      </c>
    </row>
    <row r="20" spans="1:5" hidden="1" x14ac:dyDescent="0.35">
      <c r="A20" s="61" t="s">
        <v>1047</v>
      </c>
      <c r="B20" s="62" t="s">
        <v>1048</v>
      </c>
      <c r="C20" s="61" t="s">
        <v>1049</v>
      </c>
      <c r="D20" s="62" t="s">
        <v>1001</v>
      </c>
      <c r="E20" s="64" t="s">
        <v>316</v>
      </c>
    </row>
    <row r="21" spans="1:5" hidden="1" x14ac:dyDescent="0.35">
      <c r="A21" s="72">
        <v>2160740</v>
      </c>
      <c r="B21" s="74" t="s">
        <v>2208</v>
      </c>
      <c r="C21" s="76" t="s">
        <v>2209</v>
      </c>
      <c r="D21" s="66" t="s">
        <v>2232</v>
      </c>
      <c r="E21" s="77" t="s">
        <v>1345</v>
      </c>
    </row>
    <row r="22" spans="1:5" hidden="1" x14ac:dyDescent="0.35">
      <c r="A22" s="61" t="s">
        <v>392</v>
      </c>
      <c r="B22" s="62" t="s">
        <v>393</v>
      </c>
      <c r="C22" s="61" t="s">
        <v>162</v>
      </c>
      <c r="D22" s="62" t="s">
        <v>394</v>
      </c>
      <c r="E22" s="64" t="s">
        <v>316</v>
      </c>
    </row>
    <row r="23" spans="1:5" hidden="1" x14ac:dyDescent="0.35">
      <c r="A23" s="61" t="s">
        <v>1473</v>
      </c>
      <c r="B23" s="62" t="s">
        <v>1474</v>
      </c>
      <c r="C23" s="61" t="s">
        <v>1475</v>
      </c>
      <c r="D23" s="62" t="s">
        <v>1476</v>
      </c>
      <c r="E23" s="64" t="s">
        <v>1345</v>
      </c>
    </row>
    <row r="24" spans="1:5" hidden="1" x14ac:dyDescent="0.35">
      <c r="A24" s="61" t="s">
        <v>1437</v>
      </c>
      <c r="B24" s="62" t="s">
        <v>1438</v>
      </c>
      <c r="C24" s="61" t="s">
        <v>1439</v>
      </c>
      <c r="D24" s="62" t="s">
        <v>1058</v>
      </c>
      <c r="E24" s="64" t="s">
        <v>1345</v>
      </c>
    </row>
    <row r="25" spans="1:5" hidden="1" x14ac:dyDescent="0.35">
      <c r="A25" s="61" t="s">
        <v>815</v>
      </c>
      <c r="B25" s="62" t="s">
        <v>816</v>
      </c>
      <c r="C25" s="61" t="s">
        <v>817</v>
      </c>
      <c r="D25" s="62" t="s">
        <v>327</v>
      </c>
      <c r="E25" s="64" t="s">
        <v>316</v>
      </c>
    </row>
    <row r="26" spans="1:5" hidden="1" x14ac:dyDescent="0.35">
      <c r="A26" s="61" t="s">
        <v>763</v>
      </c>
      <c r="B26" s="62" t="s">
        <v>764</v>
      </c>
      <c r="C26" s="61" t="s">
        <v>765</v>
      </c>
      <c r="D26" s="62" t="s">
        <v>656</v>
      </c>
      <c r="E26" s="64" t="s">
        <v>316</v>
      </c>
    </row>
    <row r="27" spans="1:5" hidden="1" x14ac:dyDescent="0.35">
      <c r="A27" s="61" t="s">
        <v>1511</v>
      </c>
      <c r="B27" s="62" t="s">
        <v>1512</v>
      </c>
      <c r="C27" s="61" t="s">
        <v>1513</v>
      </c>
      <c r="D27" s="62" t="s">
        <v>1489</v>
      </c>
      <c r="E27" s="64" t="s">
        <v>1345</v>
      </c>
    </row>
    <row r="28" spans="1:5" hidden="1" x14ac:dyDescent="0.35">
      <c r="A28" s="61" t="s">
        <v>458</v>
      </c>
      <c r="B28" s="62" t="s">
        <v>459</v>
      </c>
      <c r="C28" s="61" t="s">
        <v>460</v>
      </c>
      <c r="D28" s="62" t="s">
        <v>367</v>
      </c>
      <c r="E28" s="64" t="s">
        <v>316</v>
      </c>
    </row>
    <row r="29" spans="1:5" hidden="1" x14ac:dyDescent="0.35">
      <c r="A29" s="61" t="s">
        <v>1711</v>
      </c>
      <c r="B29" s="62" t="s">
        <v>1712</v>
      </c>
      <c r="C29" s="61" t="s">
        <v>1713</v>
      </c>
      <c r="D29" s="62" t="s">
        <v>1714</v>
      </c>
      <c r="E29" s="64" t="s">
        <v>1345</v>
      </c>
    </row>
    <row r="30" spans="1:5" hidden="1" x14ac:dyDescent="0.35">
      <c r="A30" s="61" t="s">
        <v>1505</v>
      </c>
      <c r="B30" s="62" t="s">
        <v>1506</v>
      </c>
      <c r="C30" s="61" t="s">
        <v>1507</v>
      </c>
      <c r="D30" s="62" t="s">
        <v>1164</v>
      </c>
      <c r="E30" s="64" t="s">
        <v>1345</v>
      </c>
    </row>
    <row r="31" spans="1:5" hidden="1" x14ac:dyDescent="0.35">
      <c r="A31" s="61" t="s">
        <v>1778</v>
      </c>
      <c r="B31" s="62" t="s">
        <v>1779</v>
      </c>
      <c r="C31" s="61" t="s">
        <v>1780</v>
      </c>
      <c r="D31" s="62" t="s">
        <v>382</v>
      </c>
      <c r="E31" s="64" t="s">
        <v>1345</v>
      </c>
    </row>
    <row r="32" spans="1:5" hidden="1" x14ac:dyDescent="0.35">
      <c r="A32" s="61" t="s">
        <v>1913</v>
      </c>
      <c r="B32" s="62" t="s">
        <v>1914</v>
      </c>
      <c r="C32" s="61" t="s">
        <v>1915</v>
      </c>
      <c r="D32" s="62" t="s">
        <v>1489</v>
      </c>
      <c r="E32" s="64" t="s">
        <v>1345</v>
      </c>
    </row>
    <row r="33" spans="1:5" hidden="1" x14ac:dyDescent="0.35">
      <c r="A33" s="61" t="s">
        <v>657</v>
      </c>
      <c r="B33" s="62" t="s">
        <v>658</v>
      </c>
      <c r="C33" s="61" t="s">
        <v>159</v>
      </c>
      <c r="D33" s="62" t="s">
        <v>330</v>
      </c>
      <c r="E33" s="64" t="s">
        <v>316</v>
      </c>
    </row>
    <row r="34" spans="1:5" hidden="1" x14ac:dyDescent="0.35">
      <c r="A34" s="61" t="s">
        <v>2003</v>
      </c>
      <c r="B34" s="62" t="s">
        <v>2004</v>
      </c>
      <c r="C34" s="61" t="s">
        <v>2005</v>
      </c>
      <c r="D34" s="62" t="s">
        <v>1532</v>
      </c>
      <c r="E34" s="64" t="s">
        <v>1345</v>
      </c>
    </row>
    <row r="35" spans="1:5" hidden="1" x14ac:dyDescent="0.35">
      <c r="A35" s="61" t="s">
        <v>1739</v>
      </c>
      <c r="B35" s="62" t="s">
        <v>1740</v>
      </c>
      <c r="C35" s="61" t="s">
        <v>1741</v>
      </c>
      <c r="D35" s="62" t="s">
        <v>357</v>
      </c>
      <c r="E35" s="64" t="s">
        <v>1345</v>
      </c>
    </row>
    <row r="36" spans="1:5" hidden="1" x14ac:dyDescent="0.35">
      <c r="A36" s="61" t="s">
        <v>1020</v>
      </c>
      <c r="B36" s="62" t="s">
        <v>1021</v>
      </c>
      <c r="C36" s="61" t="s">
        <v>1022</v>
      </c>
      <c r="D36" s="62" t="s">
        <v>1001</v>
      </c>
      <c r="E36" s="64" t="s">
        <v>316</v>
      </c>
    </row>
    <row r="37" spans="1:5" hidden="1" x14ac:dyDescent="0.35">
      <c r="A37" s="61" t="s">
        <v>613</v>
      </c>
      <c r="B37" s="62" t="s">
        <v>614</v>
      </c>
      <c r="C37" s="61" t="s">
        <v>615</v>
      </c>
      <c r="D37" s="62" t="s">
        <v>334</v>
      </c>
      <c r="E37" s="64" t="s">
        <v>316</v>
      </c>
    </row>
    <row r="38" spans="1:5" hidden="1" x14ac:dyDescent="0.35">
      <c r="A38" s="61" t="s">
        <v>1691</v>
      </c>
      <c r="B38" s="62" t="s">
        <v>1692</v>
      </c>
      <c r="C38" s="61" t="s">
        <v>1693</v>
      </c>
      <c r="D38" s="62" t="s">
        <v>334</v>
      </c>
      <c r="E38" s="64" t="s">
        <v>1345</v>
      </c>
    </row>
    <row r="39" spans="1:5" hidden="1" x14ac:dyDescent="0.35">
      <c r="A39" s="61" t="s">
        <v>537</v>
      </c>
      <c r="B39" s="62" t="s">
        <v>538</v>
      </c>
      <c r="C39" s="61" t="s">
        <v>539</v>
      </c>
      <c r="D39" s="62" t="s">
        <v>481</v>
      </c>
      <c r="E39" s="64" t="s">
        <v>316</v>
      </c>
    </row>
    <row r="40" spans="1:5" x14ac:dyDescent="0.35">
      <c r="A40" s="61" t="s">
        <v>845</v>
      </c>
      <c r="B40" s="62" t="s">
        <v>846</v>
      </c>
      <c r="C40" s="61" t="s">
        <v>847</v>
      </c>
      <c r="D40" s="62" t="s">
        <v>751</v>
      </c>
      <c r="E40" s="64" t="s">
        <v>316</v>
      </c>
    </row>
    <row r="41" spans="1:5" x14ac:dyDescent="0.35">
      <c r="A41" s="61" t="s">
        <v>881</v>
      </c>
      <c r="B41" s="62" t="s">
        <v>882</v>
      </c>
      <c r="C41" s="61" t="s">
        <v>883</v>
      </c>
      <c r="D41" s="62" t="s">
        <v>751</v>
      </c>
      <c r="E41" s="64" t="s">
        <v>316</v>
      </c>
    </row>
    <row r="42" spans="1:5" hidden="1" x14ac:dyDescent="0.35">
      <c r="A42" s="61" t="s">
        <v>328</v>
      </c>
      <c r="B42" s="62" t="s">
        <v>329</v>
      </c>
      <c r="C42" s="61" t="s">
        <v>156</v>
      </c>
      <c r="D42" s="62" t="s">
        <v>330</v>
      </c>
      <c r="E42" s="64" t="s">
        <v>316</v>
      </c>
    </row>
    <row r="43" spans="1:5" hidden="1" x14ac:dyDescent="0.35">
      <c r="A43" s="61" t="s">
        <v>435</v>
      </c>
      <c r="B43" s="62" t="s">
        <v>436</v>
      </c>
      <c r="C43" s="61" t="s">
        <v>437</v>
      </c>
      <c r="D43" s="62" t="s">
        <v>367</v>
      </c>
      <c r="E43" s="64" t="s">
        <v>316</v>
      </c>
    </row>
    <row r="44" spans="1:5" hidden="1" x14ac:dyDescent="0.35">
      <c r="A44" s="61" t="s">
        <v>733</v>
      </c>
      <c r="B44" s="62" t="s">
        <v>734</v>
      </c>
      <c r="C44" s="61" t="s">
        <v>735</v>
      </c>
      <c r="D44" s="62" t="s">
        <v>338</v>
      </c>
      <c r="E44" s="64" t="s">
        <v>316</v>
      </c>
    </row>
    <row r="45" spans="1:5" hidden="1" x14ac:dyDescent="0.35">
      <c r="A45" s="61" t="s">
        <v>1346</v>
      </c>
      <c r="B45" s="62" t="s">
        <v>1347</v>
      </c>
      <c r="C45" s="61" t="s">
        <v>1348</v>
      </c>
      <c r="D45" s="62" t="s">
        <v>357</v>
      </c>
      <c r="E45" s="64" t="s">
        <v>1345</v>
      </c>
    </row>
    <row r="46" spans="1:5" hidden="1" x14ac:dyDescent="0.35">
      <c r="A46" s="61" t="s">
        <v>935</v>
      </c>
      <c r="B46" s="62" t="s">
        <v>936</v>
      </c>
      <c r="C46" s="61" t="s">
        <v>937</v>
      </c>
      <c r="D46" s="62" t="s">
        <v>375</v>
      </c>
      <c r="E46" s="64" t="s">
        <v>316</v>
      </c>
    </row>
    <row r="47" spans="1:5" hidden="1" x14ac:dyDescent="0.35">
      <c r="A47" s="61" t="s">
        <v>923</v>
      </c>
      <c r="B47" s="62" t="s">
        <v>924</v>
      </c>
      <c r="C47" s="61" t="s">
        <v>925</v>
      </c>
      <c r="D47" s="62" t="s">
        <v>375</v>
      </c>
      <c r="E47" s="64" t="s">
        <v>316</v>
      </c>
    </row>
    <row r="48" spans="1:5" hidden="1" x14ac:dyDescent="0.35">
      <c r="A48" s="61" t="s">
        <v>412</v>
      </c>
      <c r="B48" s="62" t="s">
        <v>413</v>
      </c>
      <c r="C48" s="61" t="s">
        <v>152</v>
      </c>
      <c r="D48" s="62" t="s">
        <v>397</v>
      </c>
      <c r="E48" s="64" t="s">
        <v>316</v>
      </c>
    </row>
    <row r="49" spans="1:5" hidden="1" x14ac:dyDescent="0.35">
      <c r="A49" s="61" t="s">
        <v>1967</v>
      </c>
      <c r="B49" s="62" t="s">
        <v>1968</v>
      </c>
      <c r="C49" s="61" t="s">
        <v>1969</v>
      </c>
      <c r="D49" s="62" t="s">
        <v>1476</v>
      </c>
      <c r="E49" s="64" t="s">
        <v>1345</v>
      </c>
    </row>
    <row r="50" spans="1:5" x14ac:dyDescent="0.35">
      <c r="A50" s="61" t="s">
        <v>872</v>
      </c>
      <c r="B50" s="62" t="s">
        <v>873</v>
      </c>
      <c r="C50" s="61" t="s">
        <v>874</v>
      </c>
      <c r="D50" s="62" t="s">
        <v>751</v>
      </c>
      <c r="E50" s="64" t="s">
        <v>316</v>
      </c>
    </row>
    <row r="51" spans="1:5" customFormat="1" hidden="1" x14ac:dyDescent="0.35">
      <c r="A51" s="51" t="s">
        <v>1183</v>
      </c>
      <c r="B51" s="52" t="s">
        <v>1184</v>
      </c>
      <c r="C51" s="51" t="s">
        <v>1185</v>
      </c>
      <c r="D51" s="52" t="s">
        <v>1157</v>
      </c>
      <c r="E51" s="53" t="s">
        <v>1142</v>
      </c>
    </row>
    <row r="52" spans="1:5" hidden="1" x14ac:dyDescent="0.35">
      <c r="A52" s="61" t="s">
        <v>534</v>
      </c>
      <c r="B52" s="62" t="s">
        <v>535</v>
      </c>
      <c r="C52" s="61" t="s">
        <v>536</v>
      </c>
      <c r="D52" s="62" t="s">
        <v>481</v>
      </c>
      <c r="E52" s="64" t="s">
        <v>316</v>
      </c>
    </row>
    <row r="53" spans="1:5" hidden="1" x14ac:dyDescent="0.35">
      <c r="A53" s="61" t="s">
        <v>1994</v>
      </c>
      <c r="B53" s="62" t="s">
        <v>1995</v>
      </c>
      <c r="C53" s="61" t="s">
        <v>1996</v>
      </c>
      <c r="D53" s="62" t="s">
        <v>1476</v>
      </c>
      <c r="E53" s="64" t="s">
        <v>1345</v>
      </c>
    </row>
    <row r="54" spans="1:5" hidden="1" x14ac:dyDescent="0.35">
      <c r="A54" s="61" t="s">
        <v>1669</v>
      </c>
      <c r="B54" s="62" t="s">
        <v>1670</v>
      </c>
      <c r="C54" s="61" t="s">
        <v>1671</v>
      </c>
      <c r="D54" s="62" t="s">
        <v>775</v>
      </c>
      <c r="E54" s="64" t="s">
        <v>1345</v>
      </c>
    </row>
    <row r="55" spans="1:5" hidden="1" x14ac:dyDescent="0.35">
      <c r="A55" s="61" t="s">
        <v>556</v>
      </c>
      <c r="B55" s="62" t="s">
        <v>557</v>
      </c>
      <c r="C55" s="61" t="s">
        <v>558</v>
      </c>
      <c r="D55" s="62" t="s">
        <v>447</v>
      </c>
      <c r="E55" s="64" t="s">
        <v>316</v>
      </c>
    </row>
    <row r="56" spans="1:5" hidden="1" x14ac:dyDescent="0.35">
      <c r="A56" s="61" t="s">
        <v>376</v>
      </c>
      <c r="B56" s="62" t="s">
        <v>377</v>
      </c>
      <c r="C56" s="61" t="s">
        <v>378</v>
      </c>
      <c r="D56" s="62" t="s">
        <v>363</v>
      </c>
      <c r="E56" s="64" t="s">
        <v>316</v>
      </c>
    </row>
    <row r="57" spans="1:5" customFormat="1" hidden="1" x14ac:dyDescent="0.35">
      <c r="A57" s="51" t="s">
        <v>1097</v>
      </c>
      <c r="B57" s="52" t="s">
        <v>1098</v>
      </c>
      <c r="C57" s="51" t="s">
        <v>1099</v>
      </c>
      <c r="D57" s="52" t="s">
        <v>686</v>
      </c>
      <c r="E57" s="53" t="s">
        <v>1050</v>
      </c>
    </row>
    <row r="58" spans="1:5" hidden="1" x14ac:dyDescent="0.35">
      <c r="A58" s="61" t="s">
        <v>1651</v>
      </c>
      <c r="B58" s="62" t="s">
        <v>1652</v>
      </c>
      <c r="C58" s="61" t="s">
        <v>1653</v>
      </c>
      <c r="D58" s="62" t="s">
        <v>686</v>
      </c>
      <c r="E58" s="64" t="s">
        <v>1345</v>
      </c>
    </row>
    <row r="59" spans="1:5" hidden="1" x14ac:dyDescent="0.35">
      <c r="A59" s="61" t="s">
        <v>1961</v>
      </c>
      <c r="B59" s="62" t="s">
        <v>1962</v>
      </c>
      <c r="C59" s="61" t="s">
        <v>1963</v>
      </c>
      <c r="D59" s="62" t="s">
        <v>1476</v>
      </c>
      <c r="E59" s="64" t="s">
        <v>1345</v>
      </c>
    </row>
    <row r="60" spans="1:5" hidden="1" x14ac:dyDescent="0.35">
      <c r="A60" s="61" t="s">
        <v>1757</v>
      </c>
      <c r="B60" s="62" t="s">
        <v>1758</v>
      </c>
      <c r="C60" s="61" t="s">
        <v>1759</v>
      </c>
      <c r="D60" s="62" t="s">
        <v>382</v>
      </c>
      <c r="E60" s="64" t="s">
        <v>1345</v>
      </c>
    </row>
    <row r="61" spans="1:5" hidden="1" x14ac:dyDescent="0.35">
      <c r="A61" s="61" t="s">
        <v>1748</v>
      </c>
      <c r="B61" s="62" t="s">
        <v>1749</v>
      </c>
      <c r="C61" s="61" t="s">
        <v>1750</v>
      </c>
      <c r="D61" s="62" t="s">
        <v>1714</v>
      </c>
      <c r="E61" s="64" t="s">
        <v>1345</v>
      </c>
    </row>
    <row r="62" spans="1:5" hidden="1" x14ac:dyDescent="0.35">
      <c r="A62" s="61" t="s">
        <v>1363</v>
      </c>
      <c r="B62" s="62" t="s">
        <v>1364</v>
      </c>
      <c r="C62" s="61" t="s">
        <v>1365</v>
      </c>
      <c r="D62" s="62" t="s">
        <v>686</v>
      </c>
      <c r="E62" s="64" t="s">
        <v>1345</v>
      </c>
    </row>
    <row r="63" spans="1:5" hidden="1" x14ac:dyDescent="0.35">
      <c r="A63" s="61" t="s">
        <v>1529</v>
      </c>
      <c r="B63" s="62" t="s">
        <v>1530</v>
      </c>
      <c r="C63" s="61" t="s">
        <v>1531</v>
      </c>
      <c r="D63" s="62" t="s">
        <v>1532</v>
      </c>
      <c r="E63" s="64" t="s">
        <v>1345</v>
      </c>
    </row>
    <row r="64" spans="1:5" hidden="1" x14ac:dyDescent="0.35">
      <c r="A64" s="61" t="s">
        <v>1552</v>
      </c>
      <c r="B64" s="62" t="s">
        <v>1553</v>
      </c>
      <c r="C64" s="61" t="s">
        <v>1554</v>
      </c>
      <c r="D64" s="62" t="s">
        <v>1551</v>
      </c>
      <c r="E64" s="64" t="s">
        <v>1345</v>
      </c>
    </row>
    <row r="65" spans="1:5" hidden="1" x14ac:dyDescent="0.35">
      <c r="A65" s="61" t="s">
        <v>1402</v>
      </c>
      <c r="B65" s="62" t="s">
        <v>1403</v>
      </c>
      <c r="C65" s="61" t="s">
        <v>150</v>
      </c>
      <c r="D65" s="62" t="s">
        <v>319</v>
      </c>
      <c r="E65" s="64" t="s">
        <v>1345</v>
      </c>
    </row>
    <row r="66" spans="1:5" hidden="1" x14ac:dyDescent="0.35">
      <c r="A66" s="72">
        <v>1943405</v>
      </c>
      <c r="B66" s="74" t="s">
        <v>2214</v>
      </c>
      <c r="C66" s="76" t="s">
        <v>2215</v>
      </c>
      <c r="D66" s="66" t="s">
        <v>2232</v>
      </c>
      <c r="E66" s="77" t="s">
        <v>1345</v>
      </c>
    </row>
    <row r="67" spans="1:5" customFormat="1" hidden="1" x14ac:dyDescent="0.35">
      <c r="A67" s="51" t="s">
        <v>1062</v>
      </c>
      <c r="B67" s="52" t="s">
        <v>1063</v>
      </c>
      <c r="C67" s="51" t="s">
        <v>1064</v>
      </c>
      <c r="D67" s="52" t="s">
        <v>775</v>
      </c>
      <c r="E67" s="53" t="s">
        <v>1050</v>
      </c>
    </row>
    <row r="68" spans="1:5" hidden="1" x14ac:dyDescent="0.35">
      <c r="A68" s="61" t="s">
        <v>1548</v>
      </c>
      <c r="B68" s="62" t="s">
        <v>1549</v>
      </c>
      <c r="C68" s="61" t="s">
        <v>1550</v>
      </c>
      <c r="D68" s="62" t="s">
        <v>1551</v>
      </c>
      <c r="E68" s="64" t="s">
        <v>1345</v>
      </c>
    </row>
    <row r="69" spans="1:5" hidden="1" x14ac:dyDescent="0.35">
      <c r="A69" s="61" t="s">
        <v>1561</v>
      </c>
      <c r="B69" s="62" t="s">
        <v>1562</v>
      </c>
      <c r="C69" s="61" t="s">
        <v>1563</v>
      </c>
      <c r="D69" s="62" t="s">
        <v>1551</v>
      </c>
      <c r="E69" s="64" t="s">
        <v>1345</v>
      </c>
    </row>
    <row r="70" spans="1:5" hidden="1" x14ac:dyDescent="0.35">
      <c r="A70" s="61" t="s">
        <v>544</v>
      </c>
      <c r="B70" s="62" t="s">
        <v>545</v>
      </c>
      <c r="C70" s="61" t="s">
        <v>546</v>
      </c>
      <c r="D70" s="62" t="s">
        <v>338</v>
      </c>
      <c r="E70" s="64" t="s">
        <v>316</v>
      </c>
    </row>
    <row r="71" spans="1:5" hidden="1" x14ac:dyDescent="0.35">
      <c r="A71" s="61" t="s">
        <v>1790</v>
      </c>
      <c r="B71" s="62" t="s">
        <v>1791</v>
      </c>
      <c r="C71" s="61" t="s">
        <v>1792</v>
      </c>
      <c r="D71" s="62" t="s">
        <v>1714</v>
      </c>
      <c r="E71" s="64" t="s">
        <v>1345</v>
      </c>
    </row>
    <row r="72" spans="1:5" hidden="1" x14ac:dyDescent="0.35">
      <c r="A72" s="61" t="s">
        <v>360</v>
      </c>
      <c r="B72" s="62" t="s">
        <v>361</v>
      </c>
      <c r="C72" s="61" t="s">
        <v>362</v>
      </c>
      <c r="D72" s="62" t="s">
        <v>363</v>
      </c>
      <c r="E72" s="64" t="s">
        <v>316</v>
      </c>
    </row>
    <row r="73" spans="1:5" hidden="1" x14ac:dyDescent="0.35">
      <c r="A73" s="61" t="s">
        <v>1351</v>
      </c>
      <c r="B73" s="62" t="s">
        <v>1352</v>
      </c>
      <c r="C73" s="61" t="s">
        <v>1353</v>
      </c>
      <c r="D73" s="62" t="s">
        <v>686</v>
      </c>
      <c r="E73" s="64" t="s">
        <v>1345</v>
      </c>
    </row>
    <row r="74" spans="1:5" hidden="1" x14ac:dyDescent="0.35">
      <c r="A74" s="72">
        <v>2133433</v>
      </c>
      <c r="B74" s="74" t="s">
        <v>2216</v>
      </c>
      <c r="C74" s="76" t="s">
        <v>2217</v>
      </c>
      <c r="D74" s="66" t="s">
        <v>2232</v>
      </c>
      <c r="E74" s="77" t="s">
        <v>1345</v>
      </c>
    </row>
    <row r="75" spans="1:5" hidden="1" x14ac:dyDescent="0.35">
      <c r="A75" s="61" t="s">
        <v>1916</v>
      </c>
      <c r="B75" s="62" t="s">
        <v>1917</v>
      </c>
      <c r="C75" s="61" t="s">
        <v>1918</v>
      </c>
      <c r="D75" s="62" t="s">
        <v>1489</v>
      </c>
      <c r="E75" s="64" t="s">
        <v>1345</v>
      </c>
    </row>
    <row r="76" spans="1:5" hidden="1" x14ac:dyDescent="0.35">
      <c r="A76" s="61" t="s">
        <v>653</v>
      </c>
      <c r="B76" s="62" t="s">
        <v>654</v>
      </c>
      <c r="C76" s="61" t="s">
        <v>655</v>
      </c>
      <c r="D76" s="62" t="s">
        <v>656</v>
      </c>
      <c r="E76" s="64" t="s">
        <v>316</v>
      </c>
    </row>
    <row r="77" spans="1:5" hidden="1" x14ac:dyDescent="0.35">
      <c r="A77" s="61" t="s">
        <v>941</v>
      </c>
      <c r="B77" s="62" t="s">
        <v>942</v>
      </c>
      <c r="C77" s="61" t="s">
        <v>943</v>
      </c>
      <c r="D77" s="62" t="s">
        <v>375</v>
      </c>
      <c r="E77" s="64" t="s">
        <v>316</v>
      </c>
    </row>
    <row r="78" spans="1:5" hidden="1" x14ac:dyDescent="0.35">
      <c r="A78" s="61" t="s">
        <v>1886</v>
      </c>
      <c r="B78" s="62" t="s">
        <v>1887</v>
      </c>
      <c r="C78" s="61" t="s">
        <v>1888</v>
      </c>
      <c r="D78" s="62" t="s">
        <v>1430</v>
      </c>
      <c r="E78" s="64" t="s">
        <v>1345</v>
      </c>
    </row>
    <row r="79" spans="1:5" hidden="1" x14ac:dyDescent="0.35">
      <c r="A79" s="61" t="s">
        <v>1470</v>
      </c>
      <c r="B79" s="62" t="s">
        <v>1471</v>
      </c>
      <c r="C79" s="61" t="s">
        <v>1472</v>
      </c>
      <c r="D79" s="62" t="s">
        <v>1430</v>
      </c>
      <c r="E79" s="64" t="s">
        <v>1345</v>
      </c>
    </row>
    <row r="80" spans="1:5" customFormat="1" hidden="1" x14ac:dyDescent="0.35">
      <c r="A80" s="51" t="s">
        <v>1168</v>
      </c>
      <c r="B80" s="52" t="s">
        <v>1169</v>
      </c>
      <c r="C80" s="51" t="s">
        <v>1170</v>
      </c>
      <c r="D80" s="52" t="s">
        <v>1157</v>
      </c>
      <c r="E80" s="53" t="s">
        <v>1142</v>
      </c>
    </row>
    <row r="81" spans="1:5" hidden="1" x14ac:dyDescent="0.35">
      <c r="A81" s="61" t="s">
        <v>616</v>
      </c>
      <c r="B81" s="62" t="s">
        <v>617</v>
      </c>
      <c r="C81" s="61" t="s">
        <v>205</v>
      </c>
      <c r="D81" s="62" t="s">
        <v>450</v>
      </c>
      <c r="E81" s="64" t="s">
        <v>316</v>
      </c>
    </row>
    <row r="82" spans="1:5" hidden="1" x14ac:dyDescent="0.35">
      <c r="A82" s="61" t="s">
        <v>1679</v>
      </c>
      <c r="B82" s="62" t="s">
        <v>1680</v>
      </c>
      <c r="C82" s="61" t="s">
        <v>1681</v>
      </c>
      <c r="D82" s="62" t="s">
        <v>1551</v>
      </c>
      <c r="E82" s="64" t="s">
        <v>1345</v>
      </c>
    </row>
    <row r="83" spans="1:5" hidden="1" x14ac:dyDescent="0.35">
      <c r="A83" s="61" t="s">
        <v>1856</v>
      </c>
      <c r="B83" s="62" t="s">
        <v>1857</v>
      </c>
      <c r="C83" s="61" t="s">
        <v>1858</v>
      </c>
      <c r="D83" s="62" t="s">
        <v>382</v>
      </c>
      <c r="E83" s="64" t="s">
        <v>1345</v>
      </c>
    </row>
    <row r="84" spans="1:5" hidden="1" x14ac:dyDescent="0.35">
      <c r="A84" s="61" t="s">
        <v>1614</v>
      </c>
      <c r="B84" s="62" t="s">
        <v>1615</v>
      </c>
      <c r="C84" s="61" t="s">
        <v>1616</v>
      </c>
      <c r="D84" s="62" t="s">
        <v>363</v>
      </c>
      <c r="E84" s="64" t="s">
        <v>1345</v>
      </c>
    </row>
    <row r="85" spans="1:5" hidden="1" x14ac:dyDescent="0.35">
      <c r="A85" s="61" t="s">
        <v>1728</v>
      </c>
      <c r="B85" s="62" t="s">
        <v>1729</v>
      </c>
      <c r="C85" s="61" t="s">
        <v>1730</v>
      </c>
      <c r="D85" s="62" t="s">
        <v>1551</v>
      </c>
      <c r="E85" s="64" t="s">
        <v>1345</v>
      </c>
    </row>
    <row r="86" spans="1:5" hidden="1" x14ac:dyDescent="0.35">
      <c r="A86" s="61" t="s">
        <v>1907</v>
      </c>
      <c r="B86" s="62" t="s">
        <v>1908</v>
      </c>
      <c r="C86" s="61" t="s">
        <v>1909</v>
      </c>
      <c r="D86" s="62" t="s">
        <v>1489</v>
      </c>
      <c r="E86" s="64" t="s">
        <v>1345</v>
      </c>
    </row>
    <row r="87" spans="1:5" hidden="1" x14ac:dyDescent="0.35">
      <c r="A87" s="61" t="s">
        <v>1718</v>
      </c>
      <c r="B87" s="62" t="s">
        <v>1719</v>
      </c>
      <c r="C87" s="61" t="s">
        <v>1720</v>
      </c>
      <c r="D87" s="62" t="s">
        <v>1551</v>
      </c>
      <c r="E87" s="64" t="s">
        <v>1345</v>
      </c>
    </row>
    <row r="88" spans="1:5" customFormat="1" hidden="1" x14ac:dyDescent="0.35">
      <c r="A88" s="51" t="s">
        <v>1139</v>
      </c>
      <c r="B88" s="52" t="s">
        <v>1140</v>
      </c>
      <c r="C88" s="51" t="s">
        <v>1141</v>
      </c>
      <c r="D88" s="52" t="s">
        <v>382</v>
      </c>
      <c r="E88" s="53" t="s">
        <v>1050</v>
      </c>
    </row>
    <row r="89" spans="1:5" hidden="1" x14ac:dyDescent="0.35">
      <c r="A89" s="61" t="s">
        <v>1542</v>
      </c>
      <c r="B89" s="62" t="s">
        <v>1543</v>
      </c>
      <c r="C89" s="61" t="s">
        <v>1544</v>
      </c>
      <c r="D89" s="62" t="s">
        <v>327</v>
      </c>
      <c r="E89" s="64" t="s">
        <v>1345</v>
      </c>
    </row>
    <row r="90" spans="1:5" hidden="1" x14ac:dyDescent="0.35">
      <c r="A90" s="61" t="s">
        <v>383</v>
      </c>
      <c r="B90" s="62" t="s">
        <v>384</v>
      </c>
      <c r="C90" s="61" t="s">
        <v>385</v>
      </c>
      <c r="D90" s="62" t="s">
        <v>367</v>
      </c>
      <c r="E90" s="64" t="s">
        <v>316</v>
      </c>
    </row>
    <row r="91" spans="1:5" hidden="1" x14ac:dyDescent="0.35">
      <c r="A91" s="61" t="s">
        <v>2051</v>
      </c>
      <c r="B91" s="62" t="s">
        <v>2052</v>
      </c>
      <c r="C91" s="61" t="s">
        <v>2053</v>
      </c>
      <c r="D91" s="62" t="s">
        <v>1476</v>
      </c>
      <c r="E91" s="64" t="s">
        <v>1345</v>
      </c>
    </row>
    <row r="92" spans="1:5" hidden="1" x14ac:dyDescent="0.35">
      <c r="A92" s="61" t="s">
        <v>559</v>
      </c>
      <c r="B92" s="62" t="s">
        <v>560</v>
      </c>
      <c r="C92" s="61" t="s">
        <v>561</v>
      </c>
      <c r="D92" s="62" t="s">
        <v>457</v>
      </c>
      <c r="E92" s="64" t="s">
        <v>316</v>
      </c>
    </row>
    <row r="93" spans="1:5" customFormat="1" hidden="1" x14ac:dyDescent="0.35">
      <c r="A93" s="51" t="s">
        <v>1219</v>
      </c>
      <c r="B93" s="52" t="s">
        <v>1220</v>
      </c>
      <c r="C93" s="51" t="s">
        <v>1221</v>
      </c>
      <c r="D93" s="52" t="s">
        <v>1146</v>
      </c>
      <c r="E93" s="53" t="s">
        <v>1142</v>
      </c>
    </row>
    <row r="94" spans="1:5" x14ac:dyDescent="0.35">
      <c r="A94" s="61" t="s">
        <v>887</v>
      </c>
      <c r="B94" s="62" t="s">
        <v>888</v>
      </c>
      <c r="C94" s="61" t="s">
        <v>889</v>
      </c>
      <c r="D94" s="62" t="s">
        <v>751</v>
      </c>
      <c r="E94" s="64" t="s">
        <v>316</v>
      </c>
    </row>
    <row r="95" spans="1:5" hidden="1" x14ac:dyDescent="0.35">
      <c r="A95" s="72">
        <v>2133454</v>
      </c>
      <c r="B95" s="74" t="s">
        <v>2226</v>
      </c>
      <c r="C95" s="76" t="s">
        <v>2227</v>
      </c>
      <c r="D95" s="66" t="s">
        <v>2232</v>
      </c>
      <c r="E95" s="77" t="s">
        <v>1345</v>
      </c>
    </row>
    <row r="96" spans="1:5" hidden="1" x14ac:dyDescent="0.35">
      <c r="A96" s="61" t="s">
        <v>708</v>
      </c>
      <c r="B96" s="62" t="s">
        <v>709</v>
      </c>
      <c r="C96" s="61" t="s">
        <v>710</v>
      </c>
      <c r="D96" s="62" t="s">
        <v>656</v>
      </c>
      <c r="E96" s="64" t="s">
        <v>316</v>
      </c>
    </row>
    <row r="97" spans="1:5" hidden="1" x14ac:dyDescent="0.35">
      <c r="A97" s="61" t="s">
        <v>1955</v>
      </c>
      <c r="B97" s="62" t="s">
        <v>1956</v>
      </c>
      <c r="C97" s="61" t="s">
        <v>1957</v>
      </c>
      <c r="D97" s="62" t="s">
        <v>1476</v>
      </c>
      <c r="E97" s="64" t="s">
        <v>1345</v>
      </c>
    </row>
    <row r="98" spans="1:5" hidden="1" x14ac:dyDescent="0.35">
      <c r="A98" s="61" t="s">
        <v>350</v>
      </c>
      <c r="B98" s="62" t="s">
        <v>351</v>
      </c>
      <c r="C98" s="61" t="s">
        <v>352</v>
      </c>
      <c r="D98" s="62" t="s">
        <v>345</v>
      </c>
      <c r="E98" s="64" t="s">
        <v>316</v>
      </c>
    </row>
    <row r="99" spans="1:5" hidden="1" x14ac:dyDescent="0.35">
      <c r="A99" s="61" t="s">
        <v>1418</v>
      </c>
      <c r="B99" s="62" t="s">
        <v>1419</v>
      </c>
      <c r="C99" s="61" t="s">
        <v>147</v>
      </c>
      <c r="D99" s="62" t="s">
        <v>341</v>
      </c>
      <c r="E99" s="64" t="s">
        <v>1345</v>
      </c>
    </row>
    <row r="100" spans="1:5" hidden="1" x14ac:dyDescent="0.35">
      <c r="A100" s="61" t="s">
        <v>1617</v>
      </c>
      <c r="B100" s="62" t="s">
        <v>1618</v>
      </c>
      <c r="C100" s="61" t="s">
        <v>1619</v>
      </c>
      <c r="D100" s="62" t="s">
        <v>334</v>
      </c>
      <c r="E100" s="64" t="s">
        <v>1345</v>
      </c>
    </row>
    <row r="101" spans="1:5" hidden="1" x14ac:dyDescent="0.35">
      <c r="A101" s="61" t="s">
        <v>485</v>
      </c>
      <c r="B101" s="62" t="s">
        <v>486</v>
      </c>
      <c r="C101" s="61" t="s">
        <v>154</v>
      </c>
      <c r="D101" s="62" t="s">
        <v>394</v>
      </c>
      <c r="E101" s="64" t="s">
        <v>316</v>
      </c>
    </row>
    <row r="102" spans="1:5" hidden="1" x14ac:dyDescent="0.35">
      <c r="A102" s="61" t="s">
        <v>702</v>
      </c>
      <c r="B102" s="62" t="s">
        <v>703</v>
      </c>
      <c r="C102" s="61" t="s">
        <v>704</v>
      </c>
      <c r="D102" s="62" t="s">
        <v>656</v>
      </c>
      <c r="E102" s="64" t="s">
        <v>316</v>
      </c>
    </row>
    <row r="103" spans="1:5" customFormat="1" hidden="1" x14ac:dyDescent="0.35">
      <c r="A103" s="51" t="s">
        <v>1189</v>
      </c>
      <c r="B103" s="52" t="s">
        <v>1190</v>
      </c>
      <c r="C103" s="51" t="s">
        <v>1191</v>
      </c>
      <c r="D103" s="52" t="s">
        <v>1157</v>
      </c>
      <c r="E103" s="53" t="s">
        <v>1142</v>
      </c>
    </row>
    <row r="104" spans="1:5" customFormat="1" hidden="1" x14ac:dyDescent="0.35">
      <c r="A104" s="51" t="s">
        <v>1231</v>
      </c>
      <c r="B104" s="52" t="s">
        <v>1232</v>
      </c>
      <c r="C104" s="51" t="s">
        <v>1233</v>
      </c>
      <c r="D104" s="52" t="s">
        <v>1146</v>
      </c>
      <c r="E104" s="53" t="s">
        <v>1142</v>
      </c>
    </row>
    <row r="105" spans="1:5" customFormat="1" hidden="1" x14ac:dyDescent="0.35">
      <c r="A105" s="51" t="s">
        <v>1154</v>
      </c>
      <c r="B105" s="52" t="s">
        <v>1155</v>
      </c>
      <c r="C105" s="51" t="s">
        <v>1156</v>
      </c>
      <c r="D105" s="52" t="s">
        <v>1157</v>
      </c>
      <c r="E105" s="53" t="s">
        <v>1142</v>
      </c>
    </row>
    <row r="106" spans="1:5" customFormat="1" hidden="1" x14ac:dyDescent="0.35">
      <c r="A106" s="51" t="s">
        <v>1171</v>
      </c>
      <c r="B106" s="52" t="s">
        <v>1172</v>
      </c>
      <c r="C106" s="51" t="s">
        <v>1173</v>
      </c>
      <c r="D106" s="52" t="s">
        <v>1146</v>
      </c>
      <c r="E106" s="53" t="s">
        <v>1142</v>
      </c>
    </row>
    <row r="107" spans="1:5" hidden="1" x14ac:dyDescent="0.35">
      <c r="A107" s="61" t="s">
        <v>583</v>
      </c>
      <c r="B107" s="62" t="s">
        <v>584</v>
      </c>
      <c r="C107" s="61" t="s">
        <v>585</v>
      </c>
      <c r="D107" s="62" t="s">
        <v>481</v>
      </c>
      <c r="E107" s="64" t="s">
        <v>316</v>
      </c>
    </row>
    <row r="108" spans="1:5" hidden="1" x14ac:dyDescent="0.35">
      <c r="A108" s="61" t="s">
        <v>791</v>
      </c>
      <c r="B108" s="62" t="s">
        <v>792</v>
      </c>
      <c r="C108" s="61" t="s">
        <v>793</v>
      </c>
      <c r="D108" s="62" t="s">
        <v>327</v>
      </c>
      <c r="E108" s="64" t="s">
        <v>316</v>
      </c>
    </row>
    <row r="109" spans="1:5" hidden="1" x14ac:dyDescent="0.35">
      <c r="A109" s="61" t="s">
        <v>601</v>
      </c>
      <c r="B109" s="62" t="s">
        <v>602</v>
      </c>
      <c r="C109" s="61" t="s">
        <v>603</v>
      </c>
      <c r="D109" s="62" t="s">
        <v>371</v>
      </c>
      <c r="E109" s="64" t="s">
        <v>316</v>
      </c>
    </row>
    <row r="110" spans="1:5" x14ac:dyDescent="0.35">
      <c r="A110" s="61" t="s">
        <v>863</v>
      </c>
      <c r="B110" s="62" t="s">
        <v>864</v>
      </c>
      <c r="C110" s="61" t="s">
        <v>865</v>
      </c>
      <c r="D110" s="62" t="s">
        <v>751</v>
      </c>
      <c r="E110" s="64" t="s">
        <v>316</v>
      </c>
    </row>
    <row r="111" spans="1:5" hidden="1" x14ac:dyDescent="0.35">
      <c r="A111" s="61" t="s">
        <v>677</v>
      </c>
      <c r="B111" s="62" t="s">
        <v>678</v>
      </c>
      <c r="C111" s="61" t="s">
        <v>679</v>
      </c>
      <c r="D111" s="62" t="s">
        <v>656</v>
      </c>
      <c r="E111" s="64" t="s">
        <v>316</v>
      </c>
    </row>
    <row r="112" spans="1:5" hidden="1" x14ac:dyDescent="0.35">
      <c r="A112" s="61" t="s">
        <v>525</v>
      </c>
      <c r="B112" s="62" t="s">
        <v>526</v>
      </c>
      <c r="C112" s="61" t="s">
        <v>527</v>
      </c>
      <c r="D112" s="62" t="s">
        <v>481</v>
      </c>
      <c r="E112" s="64" t="s">
        <v>316</v>
      </c>
    </row>
    <row r="113" spans="1:5" hidden="1" x14ac:dyDescent="0.35">
      <c r="A113" s="61" t="s">
        <v>429</v>
      </c>
      <c r="B113" s="62" t="s">
        <v>430</v>
      </c>
      <c r="C113" s="61" t="s">
        <v>431</v>
      </c>
      <c r="D113" s="62" t="s">
        <v>367</v>
      </c>
      <c r="E113" s="64" t="s">
        <v>316</v>
      </c>
    </row>
    <row r="114" spans="1:5" customFormat="1" hidden="1" x14ac:dyDescent="0.35">
      <c r="A114" s="51" t="s">
        <v>1065</v>
      </c>
      <c r="B114" s="52" t="s">
        <v>1066</v>
      </c>
      <c r="C114" s="51" t="s">
        <v>1067</v>
      </c>
      <c r="D114" s="52" t="s">
        <v>686</v>
      </c>
      <c r="E114" s="53" t="s">
        <v>1050</v>
      </c>
    </row>
    <row r="115" spans="1:5" hidden="1" x14ac:dyDescent="0.35">
      <c r="A115" s="61" t="s">
        <v>1023</v>
      </c>
      <c r="B115" s="62" t="s">
        <v>1024</v>
      </c>
      <c r="C115" s="61" t="s">
        <v>1025</v>
      </c>
      <c r="D115" s="62" t="s">
        <v>1001</v>
      </c>
      <c r="E115" s="64" t="s">
        <v>316</v>
      </c>
    </row>
    <row r="116" spans="1:5" hidden="1" x14ac:dyDescent="0.35">
      <c r="A116" s="61" t="s">
        <v>553</v>
      </c>
      <c r="B116" s="62" t="s">
        <v>554</v>
      </c>
      <c r="C116" s="61" t="s">
        <v>555</v>
      </c>
      <c r="D116" s="62" t="s">
        <v>338</v>
      </c>
      <c r="E116" s="64" t="s">
        <v>316</v>
      </c>
    </row>
    <row r="117" spans="1:5" hidden="1" x14ac:dyDescent="0.35">
      <c r="A117" s="61" t="s">
        <v>758</v>
      </c>
      <c r="B117" s="62" t="s">
        <v>759</v>
      </c>
      <c r="C117" s="61" t="s">
        <v>760</v>
      </c>
      <c r="D117" s="62" t="s">
        <v>338</v>
      </c>
      <c r="E117" s="64" t="s">
        <v>316</v>
      </c>
    </row>
    <row r="118" spans="1:5" hidden="1" x14ac:dyDescent="0.35">
      <c r="A118" s="61" t="s">
        <v>1383</v>
      </c>
      <c r="B118" s="62" t="s">
        <v>1384</v>
      </c>
      <c r="C118" s="61" t="s">
        <v>1385</v>
      </c>
      <c r="D118" s="62" t="s">
        <v>357</v>
      </c>
      <c r="E118" s="64" t="s">
        <v>1345</v>
      </c>
    </row>
    <row r="119" spans="1:5" hidden="1" x14ac:dyDescent="0.35">
      <c r="A119" s="61" t="s">
        <v>466</v>
      </c>
      <c r="B119" s="62" t="s">
        <v>467</v>
      </c>
      <c r="C119" s="61" t="s">
        <v>468</v>
      </c>
      <c r="D119" s="62" t="s">
        <v>371</v>
      </c>
      <c r="E119" s="64" t="s">
        <v>316</v>
      </c>
    </row>
    <row r="120" spans="1:5" customFormat="1" hidden="1" x14ac:dyDescent="0.35">
      <c r="A120" s="51" t="s">
        <v>1086</v>
      </c>
      <c r="B120" s="52" t="s">
        <v>1087</v>
      </c>
      <c r="C120" s="51" t="s">
        <v>148</v>
      </c>
      <c r="D120" s="52" t="s">
        <v>341</v>
      </c>
      <c r="E120" s="53" t="s">
        <v>1050</v>
      </c>
    </row>
    <row r="121" spans="1:5" hidden="1" x14ac:dyDescent="0.35">
      <c r="A121" s="61" t="s">
        <v>899</v>
      </c>
      <c r="B121" s="62" t="s">
        <v>900</v>
      </c>
      <c r="C121" s="61" t="s">
        <v>901</v>
      </c>
      <c r="D121" s="62" t="s">
        <v>375</v>
      </c>
      <c r="E121" s="64" t="s">
        <v>316</v>
      </c>
    </row>
    <row r="122" spans="1:5" hidden="1" x14ac:dyDescent="0.35">
      <c r="A122" s="72">
        <v>2133848</v>
      </c>
      <c r="B122" s="74" t="s">
        <v>2224</v>
      </c>
      <c r="C122" s="76" t="s">
        <v>2225</v>
      </c>
      <c r="D122" s="66" t="s">
        <v>2232</v>
      </c>
      <c r="E122" s="77" t="s">
        <v>1345</v>
      </c>
    </row>
    <row r="123" spans="1:5" hidden="1" x14ac:dyDescent="0.35">
      <c r="A123" s="61" t="s">
        <v>1862</v>
      </c>
      <c r="B123" s="62" t="s">
        <v>1863</v>
      </c>
      <c r="C123" s="61" t="s">
        <v>1864</v>
      </c>
      <c r="D123" s="62" t="s">
        <v>1430</v>
      </c>
      <c r="E123" s="64" t="s">
        <v>1345</v>
      </c>
    </row>
    <row r="124" spans="1:5" hidden="1" x14ac:dyDescent="0.35">
      <c r="A124" s="61" t="s">
        <v>1468</v>
      </c>
      <c r="B124" s="62" t="s">
        <v>1469</v>
      </c>
      <c r="C124" s="61" t="s">
        <v>145</v>
      </c>
      <c r="D124" s="62" t="s">
        <v>319</v>
      </c>
      <c r="E124" s="64" t="s">
        <v>1345</v>
      </c>
    </row>
    <row r="125" spans="1:5" hidden="1" x14ac:dyDescent="0.35">
      <c r="A125" s="61" t="s">
        <v>1666</v>
      </c>
      <c r="B125" s="62" t="s">
        <v>1667</v>
      </c>
      <c r="C125" s="61" t="s">
        <v>1668</v>
      </c>
      <c r="D125" s="62" t="s">
        <v>357</v>
      </c>
      <c r="E125" s="64" t="s">
        <v>1345</v>
      </c>
    </row>
    <row r="126" spans="1:5" hidden="1" x14ac:dyDescent="0.35">
      <c r="A126" s="61" t="s">
        <v>962</v>
      </c>
      <c r="B126" s="62" t="s">
        <v>963</v>
      </c>
      <c r="C126" s="61" t="s">
        <v>964</v>
      </c>
      <c r="D126" s="62" t="s">
        <v>447</v>
      </c>
      <c r="E126" s="64" t="s">
        <v>316</v>
      </c>
    </row>
    <row r="127" spans="1:5" hidden="1" x14ac:dyDescent="0.35">
      <c r="A127" s="61" t="s">
        <v>1628</v>
      </c>
      <c r="B127" s="62" t="s">
        <v>1629</v>
      </c>
      <c r="C127" s="61" t="s">
        <v>1630</v>
      </c>
      <c r="D127" s="62" t="s">
        <v>1551</v>
      </c>
      <c r="E127" s="64" t="s">
        <v>1345</v>
      </c>
    </row>
    <row r="128" spans="1:5" x14ac:dyDescent="0.35">
      <c r="A128" s="61" t="s">
        <v>878</v>
      </c>
      <c r="B128" s="62" t="s">
        <v>879</v>
      </c>
      <c r="C128" s="61" t="s">
        <v>880</v>
      </c>
      <c r="D128" s="62" t="s">
        <v>751</v>
      </c>
      <c r="E128" s="64" t="s">
        <v>316</v>
      </c>
    </row>
    <row r="129" spans="1:5" hidden="1" x14ac:dyDescent="0.35">
      <c r="A129" s="61" t="s">
        <v>1576</v>
      </c>
      <c r="B129" s="62" t="s">
        <v>1577</v>
      </c>
      <c r="C129" s="61" t="s">
        <v>1578</v>
      </c>
      <c r="D129" s="62" t="s">
        <v>327</v>
      </c>
      <c r="E129" s="64" t="s">
        <v>1345</v>
      </c>
    </row>
    <row r="130" spans="1:5" hidden="1" x14ac:dyDescent="0.35">
      <c r="A130" s="61" t="s">
        <v>637</v>
      </c>
      <c r="B130" s="62" t="s">
        <v>638</v>
      </c>
      <c r="C130" s="61" t="s">
        <v>639</v>
      </c>
      <c r="D130" s="62" t="s">
        <v>371</v>
      </c>
      <c r="E130" s="64" t="s">
        <v>316</v>
      </c>
    </row>
    <row r="131" spans="1:5" hidden="1" x14ac:dyDescent="0.35">
      <c r="A131" s="61" t="s">
        <v>1982</v>
      </c>
      <c r="B131" s="62" t="s">
        <v>1983</v>
      </c>
      <c r="C131" s="61" t="s">
        <v>1984</v>
      </c>
      <c r="D131" s="62" t="s">
        <v>1476</v>
      </c>
      <c r="E131" s="64" t="s">
        <v>1345</v>
      </c>
    </row>
    <row r="132" spans="1:5" hidden="1" x14ac:dyDescent="0.35">
      <c r="A132" s="61" t="s">
        <v>662</v>
      </c>
      <c r="B132" s="62" t="s">
        <v>663</v>
      </c>
      <c r="C132" s="61" t="s">
        <v>664</v>
      </c>
      <c r="D132" s="62" t="s">
        <v>371</v>
      </c>
      <c r="E132" s="64" t="s">
        <v>316</v>
      </c>
    </row>
    <row r="133" spans="1:5" hidden="1" x14ac:dyDescent="0.35">
      <c r="A133" s="61" t="s">
        <v>335</v>
      </c>
      <c r="B133" s="62" t="s">
        <v>336</v>
      </c>
      <c r="C133" s="61" t="s">
        <v>337</v>
      </c>
      <c r="D133" s="62" t="s">
        <v>338</v>
      </c>
      <c r="E133" s="64" t="s">
        <v>316</v>
      </c>
    </row>
    <row r="134" spans="1:5" hidden="1" x14ac:dyDescent="0.35">
      <c r="A134" s="61" t="s">
        <v>1958</v>
      </c>
      <c r="B134" s="62" t="s">
        <v>1959</v>
      </c>
      <c r="C134" s="61" t="s">
        <v>1960</v>
      </c>
      <c r="D134" s="62" t="s">
        <v>1476</v>
      </c>
      <c r="E134" s="64" t="s">
        <v>1345</v>
      </c>
    </row>
    <row r="135" spans="1:5" hidden="1" x14ac:dyDescent="0.35">
      <c r="A135" s="61" t="s">
        <v>665</v>
      </c>
      <c r="B135" s="62" t="s">
        <v>666</v>
      </c>
      <c r="C135" s="61" t="s">
        <v>667</v>
      </c>
      <c r="D135" s="62" t="s">
        <v>397</v>
      </c>
      <c r="E135" s="64" t="s">
        <v>316</v>
      </c>
    </row>
    <row r="136" spans="1:5" customFormat="1" hidden="1" x14ac:dyDescent="0.35">
      <c r="A136" s="51" t="s">
        <v>1240</v>
      </c>
      <c r="B136" s="52" t="s">
        <v>1241</v>
      </c>
      <c r="C136" s="51" t="s">
        <v>1242</v>
      </c>
      <c r="D136" s="52" t="s">
        <v>1146</v>
      </c>
      <c r="E136" s="53" t="s">
        <v>1142</v>
      </c>
    </row>
    <row r="137" spans="1:5" hidden="1" x14ac:dyDescent="0.35">
      <c r="A137" s="61" t="s">
        <v>1847</v>
      </c>
      <c r="B137" s="62" t="s">
        <v>1848</v>
      </c>
      <c r="C137" s="61" t="s">
        <v>1849</v>
      </c>
      <c r="D137" s="62" t="s">
        <v>382</v>
      </c>
      <c r="E137" s="64" t="s">
        <v>1345</v>
      </c>
    </row>
    <row r="138" spans="1:5" customFormat="1" hidden="1" x14ac:dyDescent="0.35">
      <c r="A138" s="51" t="s">
        <v>1094</v>
      </c>
      <c r="B138" s="52" t="s">
        <v>1095</v>
      </c>
      <c r="C138" s="51" t="s">
        <v>1096</v>
      </c>
      <c r="D138" s="52" t="s">
        <v>686</v>
      </c>
      <c r="E138" s="53" t="s">
        <v>1050</v>
      </c>
    </row>
    <row r="139" spans="1:5" customFormat="1" hidden="1" x14ac:dyDescent="0.35">
      <c r="A139" s="51" t="s">
        <v>1201</v>
      </c>
      <c r="B139" s="52" t="s">
        <v>1202</v>
      </c>
      <c r="C139" s="51" t="s">
        <v>1203</v>
      </c>
      <c r="D139" s="52" t="s">
        <v>1146</v>
      </c>
      <c r="E139" s="53" t="s">
        <v>1142</v>
      </c>
    </row>
    <row r="140" spans="1:5" hidden="1" x14ac:dyDescent="0.35">
      <c r="A140" s="61" t="s">
        <v>562</v>
      </c>
      <c r="B140" s="62" t="s">
        <v>563</v>
      </c>
      <c r="C140" s="61" t="s">
        <v>564</v>
      </c>
      <c r="D140" s="62" t="s">
        <v>345</v>
      </c>
      <c r="E140" s="64" t="s">
        <v>316</v>
      </c>
    </row>
    <row r="141" spans="1:5" hidden="1" x14ac:dyDescent="0.35">
      <c r="A141" s="61" t="s">
        <v>1904</v>
      </c>
      <c r="B141" s="62" t="s">
        <v>1905</v>
      </c>
      <c r="C141" s="61" t="s">
        <v>1906</v>
      </c>
      <c r="D141" s="62" t="s">
        <v>1430</v>
      </c>
      <c r="E141" s="64" t="s">
        <v>1345</v>
      </c>
    </row>
    <row r="142" spans="1:5" hidden="1" x14ac:dyDescent="0.35">
      <c r="A142" s="61" t="s">
        <v>1582</v>
      </c>
      <c r="B142" s="62" t="s">
        <v>1583</v>
      </c>
      <c r="C142" s="61" t="s">
        <v>1584</v>
      </c>
      <c r="D142" s="62" t="s">
        <v>457</v>
      </c>
      <c r="E142" s="64" t="s">
        <v>1345</v>
      </c>
    </row>
    <row r="143" spans="1:5" hidden="1" x14ac:dyDescent="0.35">
      <c r="A143" s="61" t="s">
        <v>640</v>
      </c>
      <c r="B143" s="62" t="s">
        <v>641</v>
      </c>
      <c r="C143" s="61" t="s">
        <v>182</v>
      </c>
      <c r="D143" s="62" t="s">
        <v>357</v>
      </c>
      <c r="E143" s="64" t="s">
        <v>316</v>
      </c>
    </row>
    <row r="144" spans="1:5" hidden="1" x14ac:dyDescent="0.35">
      <c r="A144" s="61" t="s">
        <v>2015</v>
      </c>
      <c r="B144" s="62" t="s">
        <v>2016</v>
      </c>
      <c r="C144" s="61" t="s">
        <v>2017</v>
      </c>
      <c r="D144" s="62" t="s">
        <v>1476</v>
      </c>
      <c r="E144" s="64" t="s">
        <v>1345</v>
      </c>
    </row>
    <row r="145" spans="1:5" hidden="1" x14ac:dyDescent="0.35">
      <c r="A145" s="61" t="s">
        <v>693</v>
      </c>
      <c r="B145" s="62" t="s">
        <v>694</v>
      </c>
      <c r="C145" s="61" t="s">
        <v>695</v>
      </c>
      <c r="D145" s="62" t="s">
        <v>656</v>
      </c>
      <c r="E145" s="64" t="s">
        <v>316</v>
      </c>
    </row>
    <row r="146" spans="1:5" hidden="1" x14ac:dyDescent="0.35">
      <c r="A146" s="61" t="s">
        <v>1558</v>
      </c>
      <c r="B146" s="62" t="s">
        <v>1559</v>
      </c>
      <c r="C146" s="61" t="s">
        <v>1560</v>
      </c>
      <c r="D146" s="62" t="s">
        <v>1551</v>
      </c>
      <c r="E146" s="64" t="s">
        <v>1345</v>
      </c>
    </row>
    <row r="147" spans="1:5" hidden="1" x14ac:dyDescent="0.35">
      <c r="A147" s="61" t="s">
        <v>1868</v>
      </c>
      <c r="B147" s="62" t="s">
        <v>1869</v>
      </c>
      <c r="C147" s="61" t="s">
        <v>1870</v>
      </c>
      <c r="D147" s="62" t="s">
        <v>1430</v>
      </c>
      <c r="E147" s="64" t="s">
        <v>1345</v>
      </c>
    </row>
    <row r="148" spans="1:5" hidden="1" x14ac:dyDescent="0.35">
      <c r="A148" s="61" t="s">
        <v>1823</v>
      </c>
      <c r="B148" s="62" t="s">
        <v>1824</v>
      </c>
      <c r="C148" s="61" t="s">
        <v>1825</v>
      </c>
      <c r="D148" s="62" t="s">
        <v>382</v>
      </c>
      <c r="E148" s="64" t="s">
        <v>1345</v>
      </c>
    </row>
    <row r="149" spans="1:5" hidden="1" x14ac:dyDescent="0.35">
      <c r="A149" s="61" t="s">
        <v>1751</v>
      </c>
      <c r="B149" s="62" t="s">
        <v>1752</v>
      </c>
      <c r="C149" s="61" t="s">
        <v>1753</v>
      </c>
      <c r="D149" s="62" t="s">
        <v>1476</v>
      </c>
      <c r="E149" s="64" t="s">
        <v>1345</v>
      </c>
    </row>
    <row r="150" spans="1:5" hidden="1" x14ac:dyDescent="0.35">
      <c r="A150" s="61" t="s">
        <v>1769</v>
      </c>
      <c r="B150" s="62" t="s">
        <v>1770</v>
      </c>
      <c r="C150" s="61" t="s">
        <v>1771</v>
      </c>
      <c r="D150" s="62" t="s">
        <v>382</v>
      </c>
      <c r="E150" s="64" t="s">
        <v>1345</v>
      </c>
    </row>
    <row r="151" spans="1:5" hidden="1" x14ac:dyDescent="0.35">
      <c r="A151" s="61" t="s">
        <v>451</v>
      </c>
      <c r="B151" s="62" t="s">
        <v>452</v>
      </c>
      <c r="C151" s="61" t="s">
        <v>453</v>
      </c>
      <c r="D151" s="62" t="s">
        <v>357</v>
      </c>
      <c r="E151" s="64" t="s">
        <v>316</v>
      </c>
    </row>
    <row r="152" spans="1:5" hidden="1" x14ac:dyDescent="0.35">
      <c r="A152" s="61" t="s">
        <v>1625</v>
      </c>
      <c r="B152" s="62" t="s">
        <v>1626</v>
      </c>
      <c r="C152" s="61" t="s">
        <v>1627</v>
      </c>
      <c r="D152" s="62" t="s">
        <v>1551</v>
      </c>
      <c r="E152" s="64" t="s">
        <v>1345</v>
      </c>
    </row>
    <row r="153" spans="1:5" hidden="1" x14ac:dyDescent="0.35">
      <c r="A153" s="61" t="s">
        <v>1931</v>
      </c>
      <c r="B153" s="62" t="s">
        <v>1932</v>
      </c>
      <c r="C153" s="61" t="s">
        <v>1933</v>
      </c>
      <c r="D153" s="62" t="s">
        <v>1489</v>
      </c>
      <c r="E153" s="64" t="s">
        <v>1345</v>
      </c>
    </row>
    <row r="154" spans="1:5" hidden="1" x14ac:dyDescent="0.35">
      <c r="A154" s="61" t="s">
        <v>1853</v>
      </c>
      <c r="B154" s="62" t="s">
        <v>1854</v>
      </c>
      <c r="C154" s="61" t="s">
        <v>1855</v>
      </c>
      <c r="D154" s="62" t="s">
        <v>1714</v>
      </c>
      <c r="E154" s="64" t="s">
        <v>1345</v>
      </c>
    </row>
    <row r="155" spans="1:5" customFormat="1" hidden="1" x14ac:dyDescent="0.35">
      <c r="A155" s="51" t="s">
        <v>1216</v>
      </c>
      <c r="B155" s="52" t="s">
        <v>1217</v>
      </c>
      <c r="C155" s="51" t="s">
        <v>1218</v>
      </c>
      <c r="D155" s="52" t="s">
        <v>1157</v>
      </c>
      <c r="E155" s="53" t="s">
        <v>1142</v>
      </c>
    </row>
    <row r="156" spans="1:5" x14ac:dyDescent="0.35">
      <c r="A156" s="61" t="s">
        <v>857</v>
      </c>
      <c r="B156" s="62" t="s">
        <v>858</v>
      </c>
      <c r="C156" s="61" t="s">
        <v>859</v>
      </c>
      <c r="D156" s="62" t="s">
        <v>751</v>
      </c>
      <c r="E156" s="64" t="s">
        <v>316</v>
      </c>
    </row>
    <row r="157" spans="1:5" hidden="1" x14ac:dyDescent="0.35">
      <c r="A157" s="61" t="s">
        <v>317</v>
      </c>
      <c r="B157" s="62" t="s">
        <v>318</v>
      </c>
      <c r="C157" s="61" t="s">
        <v>141</v>
      </c>
      <c r="D157" s="62" t="s">
        <v>319</v>
      </c>
      <c r="E157" s="64" t="s">
        <v>316</v>
      </c>
    </row>
    <row r="158" spans="1:5" hidden="1" x14ac:dyDescent="0.35">
      <c r="A158" s="61" t="s">
        <v>668</v>
      </c>
      <c r="B158" s="62" t="s">
        <v>669</v>
      </c>
      <c r="C158" s="61" t="s">
        <v>670</v>
      </c>
      <c r="D158" s="62" t="s">
        <v>345</v>
      </c>
      <c r="E158" s="64" t="s">
        <v>316</v>
      </c>
    </row>
    <row r="159" spans="1:5" hidden="1" x14ac:dyDescent="0.35">
      <c r="A159" s="61" t="s">
        <v>1032</v>
      </c>
      <c r="B159" s="62" t="s">
        <v>1033</v>
      </c>
      <c r="C159" s="61" t="s">
        <v>1034</v>
      </c>
      <c r="D159" s="62" t="s">
        <v>1001</v>
      </c>
      <c r="E159" s="64" t="s">
        <v>316</v>
      </c>
    </row>
    <row r="160" spans="1:5" x14ac:dyDescent="0.35">
      <c r="A160" s="61" t="s">
        <v>842</v>
      </c>
      <c r="B160" s="62" t="s">
        <v>843</v>
      </c>
      <c r="C160" s="61" t="s">
        <v>844</v>
      </c>
      <c r="D160" s="62" t="s">
        <v>751</v>
      </c>
      <c r="E160" s="64" t="s">
        <v>316</v>
      </c>
    </row>
    <row r="161" spans="1:5" hidden="1" x14ac:dyDescent="0.35">
      <c r="A161" s="61" t="s">
        <v>2054</v>
      </c>
      <c r="B161" s="62" t="s">
        <v>2055</v>
      </c>
      <c r="C161" s="61" t="s">
        <v>2056</v>
      </c>
      <c r="D161" s="62" t="s">
        <v>319</v>
      </c>
      <c r="E161" s="64" t="s">
        <v>1345</v>
      </c>
    </row>
    <row r="162" spans="1:5" hidden="1" x14ac:dyDescent="0.35">
      <c r="A162" s="61" t="s">
        <v>540</v>
      </c>
      <c r="B162" s="62" t="s">
        <v>541</v>
      </c>
      <c r="C162" s="61" t="s">
        <v>139</v>
      </c>
      <c r="D162" s="62" t="s">
        <v>330</v>
      </c>
      <c r="E162" s="64" t="s">
        <v>316</v>
      </c>
    </row>
    <row r="163" spans="1:5" hidden="1" x14ac:dyDescent="0.35">
      <c r="A163" s="61" t="s">
        <v>634</v>
      </c>
      <c r="B163" s="62" t="s">
        <v>635</v>
      </c>
      <c r="C163" s="61" t="s">
        <v>636</v>
      </c>
      <c r="D163" s="62" t="s">
        <v>371</v>
      </c>
      <c r="E163" s="64" t="s">
        <v>316</v>
      </c>
    </row>
    <row r="164" spans="1:5" hidden="1" x14ac:dyDescent="0.35">
      <c r="A164" s="61" t="s">
        <v>717</v>
      </c>
      <c r="B164" s="62" t="s">
        <v>718</v>
      </c>
      <c r="C164" s="61" t="s">
        <v>719</v>
      </c>
      <c r="D164" s="62" t="s">
        <v>656</v>
      </c>
      <c r="E164" s="64" t="s">
        <v>316</v>
      </c>
    </row>
    <row r="165" spans="1:5" hidden="1" x14ac:dyDescent="0.35">
      <c r="A165" s="61" t="s">
        <v>1946</v>
      </c>
      <c r="B165" s="62" t="s">
        <v>1947</v>
      </c>
      <c r="C165" s="61" t="s">
        <v>1948</v>
      </c>
      <c r="D165" s="62" t="s">
        <v>1489</v>
      </c>
      <c r="E165" s="64" t="s">
        <v>1345</v>
      </c>
    </row>
    <row r="166" spans="1:5" customFormat="1" hidden="1" x14ac:dyDescent="0.35">
      <c r="A166" s="51" t="s">
        <v>1143</v>
      </c>
      <c r="B166" s="52" t="s">
        <v>1144</v>
      </c>
      <c r="C166" s="51" t="s">
        <v>1145</v>
      </c>
      <c r="D166" s="52" t="s">
        <v>1146</v>
      </c>
      <c r="E166" s="53" t="s">
        <v>1142</v>
      </c>
    </row>
    <row r="167" spans="1:5" customFormat="1" hidden="1" x14ac:dyDescent="0.35">
      <c r="A167" s="51" t="s">
        <v>1130</v>
      </c>
      <c r="B167" s="52" t="s">
        <v>1131</v>
      </c>
      <c r="C167" s="51" t="s">
        <v>1132</v>
      </c>
      <c r="D167" s="52" t="s">
        <v>345</v>
      </c>
      <c r="E167" s="53" t="s">
        <v>1050</v>
      </c>
    </row>
    <row r="168" spans="1:5" hidden="1" x14ac:dyDescent="0.35">
      <c r="A168" s="61" t="s">
        <v>1970</v>
      </c>
      <c r="B168" s="62" t="s">
        <v>1971</v>
      </c>
      <c r="C168" s="61" t="s">
        <v>1972</v>
      </c>
      <c r="D168" s="62" t="s">
        <v>1476</v>
      </c>
      <c r="E168" s="64" t="s">
        <v>1345</v>
      </c>
    </row>
    <row r="169" spans="1:5" hidden="1" x14ac:dyDescent="0.35">
      <c r="A169" s="61" t="s">
        <v>1389</v>
      </c>
      <c r="B169" s="62" t="s">
        <v>1390</v>
      </c>
      <c r="C169" s="61" t="s">
        <v>137</v>
      </c>
      <c r="D169" s="62" t="s">
        <v>319</v>
      </c>
      <c r="E169" s="64" t="s">
        <v>1345</v>
      </c>
    </row>
    <row r="170" spans="1:5" hidden="1" x14ac:dyDescent="0.35">
      <c r="A170" s="61" t="s">
        <v>974</v>
      </c>
      <c r="B170" s="62" t="s">
        <v>975</v>
      </c>
      <c r="C170" s="61" t="s">
        <v>976</v>
      </c>
      <c r="D170" s="62" t="s">
        <v>447</v>
      </c>
      <c r="E170" s="64" t="s">
        <v>316</v>
      </c>
    </row>
    <row r="171" spans="1:5" hidden="1" x14ac:dyDescent="0.35">
      <c r="A171" s="61" t="s">
        <v>1420</v>
      </c>
      <c r="B171" s="62" t="s">
        <v>1421</v>
      </c>
      <c r="C171" s="61" t="s">
        <v>134</v>
      </c>
      <c r="D171" s="62" t="s">
        <v>1054</v>
      </c>
      <c r="E171" s="64" t="s">
        <v>1345</v>
      </c>
    </row>
    <row r="172" spans="1:5" hidden="1" x14ac:dyDescent="0.35">
      <c r="A172" s="61" t="s">
        <v>1838</v>
      </c>
      <c r="B172" s="62" t="s">
        <v>1839</v>
      </c>
      <c r="C172" s="61" t="s">
        <v>1840</v>
      </c>
      <c r="D172" s="62" t="s">
        <v>371</v>
      </c>
      <c r="E172" s="64" t="s">
        <v>1345</v>
      </c>
    </row>
    <row r="173" spans="1:5" hidden="1" x14ac:dyDescent="0.35">
      <c r="A173" s="61" t="s">
        <v>1928</v>
      </c>
      <c r="B173" s="62" t="s">
        <v>1929</v>
      </c>
      <c r="C173" s="61" t="s">
        <v>1930</v>
      </c>
      <c r="D173" s="62" t="s">
        <v>1489</v>
      </c>
      <c r="E173" s="64" t="s">
        <v>1345</v>
      </c>
    </row>
    <row r="174" spans="1:5" hidden="1" x14ac:dyDescent="0.35">
      <c r="A174" s="61" t="s">
        <v>542</v>
      </c>
      <c r="B174" s="62" t="s">
        <v>543</v>
      </c>
      <c r="C174" s="61" t="s">
        <v>132</v>
      </c>
      <c r="D174" s="62" t="s">
        <v>394</v>
      </c>
      <c r="E174" s="64" t="s">
        <v>316</v>
      </c>
    </row>
    <row r="175" spans="1:5" hidden="1" x14ac:dyDescent="0.35">
      <c r="A175" s="61" t="s">
        <v>461</v>
      </c>
      <c r="B175" s="62" t="s">
        <v>462</v>
      </c>
      <c r="C175" s="61" t="s">
        <v>463</v>
      </c>
      <c r="D175" s="62" t="s">
        <v>397</v>
      </c>
      <c r="E175" s="64" t="s">
        <v>316</v>
      </c>
    </row>
    <row r="176" spans="1:5" hidden="1" x14ac:dyDescent="0.35">
      <c r="A176" s="61" t="s">
        <v>1976</v>
      </c>
      <c r="B176" s="62" t="s">
        <v>1977</v>
      </c>
      <c r="C176" s="61" t="s">
        <v>1978</v>
      </c>
      <c r="D176" s="62" t="s">
        <v>1476</v>
      </c>
      <c r="E176" s="64" t="s">
        <v>1345</v>
      </c>
    </row>
    <row r="177" spans="1:5" customFormat="1" hidden="1" x14ac:dyDescent="0.35">
      <c r="A177" s="51" t="s">
        <v>1103</v>
      </c>
      <c r="B177" s="52" t="s">
        <v>1104</v>
      </c>
      <c r="C177" s="51" t="s">
        <v>1105</v>
      </c>
      <c r="D177" s="52" t="s">
        <v>686</v>
      </c>
      <c r="E177" s="53" t="s">
        <v>1050</v>
      </c>
    </row>
    <row r="178" spans="1:5" hidden="1" x14ac:dyDescent="0.35">
      <c r="A178" s="61" t="s">
        <v>1005</v>
      </c>
      <c r="B178" s="62" t="s">
        <v>1006</v>
      </c>
      <c r="C178" s="61" t="s">
        <v>1007</v>
      </c>
      <c r="D178" s="62" t="s">
        <v>1001</v>
      </c>
      <c r="E178" s="64" t="s">
        <v>316</v>
      </c>
    </row>
    <row r="179" spans="1:5" hidden="1" x14ac:dyDescent="0.35">
      <c r="A179" s="61" t="s">
        <v>395</v>
      </c>
      <c r="B179" s="62" t="s">
        <v>396</v>
      </c>
      <c r="C179" s="61" t="s">
        <v>183</v>
      </c>
      <c r="D179" s="62" t="s">
        <v>397</v>
      </c>
      <c r="E179" s="64" t="s">
        <v>316</v>
      </c>
    </row>
    <row r="180" spans="1:5" hidden="1" x14ac:dyDescent="0.35">
      <c r="A180" s="61" t="s">
        <v>1361</v>
      </c>
      <c r="B180" s="62" t="s">
        <v>1362</v>
      </c>
      <c r="C180" s="61" t="s">
        <v>131</v>
      </c>
      <c r="D180" s="62" t="s">
        <v>319</v>
      </c>
      <c r="E180" s="64" t="s">
        <v>1345</v>
      </c>
    </row>
    <row r="181" spans="1:5" hidden="1" x14ac:dyDescent="0.35">
      <c r="A181" s="61" t="s">
        <v>1796</v>
      </c>
      <c r="B181" s="62" t="s">
        <v>1797</v>
      </c>
      <c r="C181" s="61" t="s">
        <v>1798</v>
      </c>
      <c r="D181" s="62" t="s">
        <v>382</v>
      </c>
      <c r="E181" s="64" t="s">
        <v>1345</v>
      </c>
    </row>
    <row r="182" spans="1:5" customFormat="1" hidden="1" x14ac:dyDescent="0.35">
      <c r="A182" s="51" t="s">
        <v>1312</v>
      </c>
      <c r="B182" s="52" t="s">
        <v>1313</v>
      </c>
      <c r="C182" s="51" t="s">
        <v>1314</v>
      </c>
      <c r="D182" s="52" t="s">
        <v>1157</v>
      </c>
      <c r="E182" s="53" t="s">
        <v>1142</v>
      </c>
    </row>
    <row r="183" spans="1:5" hidden="1" x14ac:dyDescent="0.35">
      <c r="A183" s="61" t="s">
        <v>496</v>
      </c>
      <c r="B183" s="62" t="s">
        <v>497</v>
      </c>
      <c r="C183" s="61" t="s">
        <v>130</v>
      </c>
      <c r="D183" s="62" t="s">
        <v>394</v>
      </c>
      <c r="E183" s="64" t="s">
        <v>316</v>
      </c>
    </row>
    <row r="184" spans="1:5" hidden="1" x14ac:dyDescent="0.35">
      <c r="A184" s="61" t="s">
        <v>687</v>
      </c>
      <c r="B184" s="62" t="s">
        <v>688</v>
      </c>
      <c r="C184" s="61" t="s">
        <v>689</v>
      </c>
      <c r="D184" s="62" t="s">
        <v>334</v>
      </c>
      <c r="E184" s="64" t="s">
        <v>316</v>
      </c>
    </row>
    <row r="185" spans="1:5" customFormat="1" hidden="1" x14ac:dyDescent="0.35">
      <c r="A185" s="51" t="s">
        <v>1204</v>
      </c>
      <c r="B185" s="52" t="s">
        <v>1205</v>
      </c>
      <c r="C185" s="51" t="s">
        <v>1206</v>
      </c>
      <c r="D185" s="52" t="s">
        <v>1157</v>
      </c>
      <c r="E185" s="53" t="s">
        <v>1142</v>
      </c>
    </row>
    <row r="186" spans="1:5" hidden="1" x14ac:dyDescent="0.35">
      <c r="A186" s="61" t="s">
        <v>1514</v>
      </c>
      <c r="B186" s="62" t="s">
        <v>1515</v>
      </c>
      <c r="C186" s="61" t="s">
        <v>1516</v>
      </c>
      <c r="D186" s="62" t="s">
        <v>450</v>
      </c>
      <c r="E186" s="64" t="s">
        <v>1345</v>
      </c>
    </row>
    <row r="187" spans="1:5" customFormat="1" hidden="1" x14ac:dyDescent="0.35">
      <c r="A187" s="51" t="s">
        <v>1300</v>
      </c>
      <c r="B187" s="52" t="s">
        <v>1301</v>
      </c>
      <c r="C187" s="51" t="s">
        <v>1302</v>
      </c>
      <c r="D187" s="52" t="s">
        <v>1157</v>
      </c>
      <c r="E187" s="53" t="s">
        <v>1142</v>
      </c>
    </row>
    <row r="188" spans="1:5" hidden="1" x14ac:dyDescent="0.35">
      <c r="A188" s="61" t="s">
        <v>1943</v>
      </c>
      <c r="B188" s="62" t="s">
        <v>1944</v>
      </c>
      <c r="C188" s="61" t="s">
        <v>1945</v>
      </c>
      <c r="D188" s="62" t="s">
        <v>1489</v>
      </c>
      <c r="E188" s="64" t="s">
        <v>1345</v>
      </c>
    </row>
    <row r="189" spans="1:5" hidden="1" x14ac:dyDescent="0.35">
      <c r="A189" s="61" t="s">
        <v>368</v>
      </c>
      <c r="B189" s="62" t="s">
        <v>369</v>
      </c>
      <c r="C189" s="61" t="s">
        <v>370</v>
      </c>
      <c r="D189" s="62" t="s">
        <v>371</v>
      </c>
      <c r="E189" s="64" t="s">
        <v>316</v>
      </c>
    </row>
    <row r="190" spans="1:5" hidden="1" x14ac:dyDescent="0.35">
      <c r="A190" s="61" t="s">
        <v>1901</v>
      </c>
      <c r="B190" s="62" t="s">
        <v>1902</v>
      </c>
      <c r="C190" s="61" t="s">
        <v>1903</v>
      </c>
      <c r="D190" s="62" t="s">
        <v>1430</v>
      </c>
      <c r="E190" s="64" t="s">
        <v>1345</v>
      </c>
    </row>
    <row r="191" spans="1:5" hidden="1" x14ac:dyDescent="0.35">
      <c r="A191" s="72">
        <v>2159060</v>
      </c>
      <c r="B191" s="74" t="s">
        <v>2230</v>
      </c>
      <c r="C191" s="76" t="s">
        <v>2231</v>
      </c>
      <c r="D191" s="66" t="s">
        <v>2232</v>
      </c>
      <c r="E191" s="77" t="s">
        <v>1345</v>
      </c>
    </row>
    <row r="192" spans="1:5" customFormat="1" hidden="1" x14ac:dyDescent="0.35">
      <c r="A192" s="51" t="s">
        <v>1207</v>
      </c>
      <c r="B192" s="52" t="s">
        <v>1208</v>
      </c>
      <c r="C192" s="51" t="s">
        <v>1209</v>
      </c>
      <c r="D192" s="52" t="s">
        <v>1157</v>
      </c>
      <c r="E192" s="53" t="s">
        <v>1142</v>
      </c>
    </row>
    <row r="193" spans="1:5" hidden="1" x14ac:dyDescent="0.35">
      <c r="A193" s="61" t="s">
        <v>1612</v>
      </c>
      <c r="B193" s="62" t="s">
        <v>1613</v>
      </c>
      <c r="C193" s="61" t="s">
        <v>187</v>
      </c>
      <c r="D193" s="62" t="s">
        <v>1054</v>
      </c>
      <c r="E193" s="64" t="s">
        <v>1345</v>
      </c>
    </row>
    <row r="194" spans="1:5" hidden="1" x14ac:dyDescent="0.35">
      <c r="A194" s="61" t="s">
        <v>1545</v>
      </c>
      <c r="B194" s="62" t="s">
        <v>1546</v>
      </c>
      <c r="C194" s="61" t="s">
        <v>1547</v>
      </c>
      <c r="D194" s="62" t="s">
        <v>357</v>
      </c>
      <c r="E194" s="64" t="s">
        <v>1345</v>
      </c>
    </row>
    <row r="195" spans="1:5" hidden="1" x14ac:dyDescent="0.35">
      <c r="A195" s="61" t="s">
        <v>803</v>
      </c>
      <c r="B195" s="62" t="s">
        <v>804</v>
      </c>
      <c r="C195" s="61" t="s">
        <v>805</v>
      </c>
      <c r="D195" s="62" t="s">
        <v>481</v>
      </c>
      <c r="E195" s="64" t="s">
        <v>316</v>
      </c>
    </row>
    <row r="196" spans="1:5" hidden="1" x14ac:dyDescent="0.35">
      <c r="A196" s="61" t="s">
        <v>621</v>
      </c>
      <c r="B196" s="62" t="s">
        <v>622</v>
      </c>
      <c r="C196" s="61" t="s">
        <v>623</v>
      </c>
      <c r="D196" s="62" t="s">
        <v>397</v>
      </c>
      <c r="E196" s="64" t="s">
        <v>316</v>
      </c>
    </row>
    <row r="197" spans="1:5" customFormat="1" hidden="1" x14ac:dyDescent="0.35">
      <c r="A197" s="51" t="s">
        <v>1115</v>
      </c>
      <c r="B197" s="52" t="s">
        <v>1116</v>
      </c>
      <c r="C197" s="51" t="s">
        <v>1117</v>
      </c>
      <c r="D197" s="52" t="s">
        <v>334</v>
      </c>
      <c r="E197" s="53" t="s">
        <v>1050</v>
      </c>
    </row>
    <row r="198" spans="1:5" customFormat="1" hidden="1" x14ac:dyDescent="0.35">
      <c r="A198" s="51" t="s">
        <v>1192</v>
      </c>
      <c r="B198" s="52" t="s">
        <v>1193</v>
      </c>
      <c r="C198" s="51" t="s">
        <v>1194</v>
      </c>
      <c r="D198" s="52" t="s">
        <v>1157</v>
      </c>
      <c r="E198" s="53" t="s">
        <v>1142</v>
      </c>
    </row>
    <row r="199" spans="1:5" customFormat="1" hidden="1" x14ac:dyDescent="0.35">
      <c r="A199" s="51" t="s">
        <v>1303</v>
      </c>
      <c r="B199" s="52" t="s">
        <v>1304</v>
      </c>
      <c r="C199" s="51" t="s">
        <v>1305</v>
      </c>
      <c r="D199" s="52" t="s">
        <v>1157</v>
      </c>
      <c r="E199" s="53" t="s">
        <v>1142</v>
      </c>
    </row>
    <row r="200" spans="1:5" hidden="1" x14ac:dyDescent="0.35">
      <c r="A200" s="61" t="s">
        <v>980</v>
      </c>
      <c r="B200" s="62" t="s">
        <v>981</v>
      </c>
      <c r="C200" s="61" t="s">
        <v>982</v>
      </c>
      <c r="D200" s="62" t="s">
        <v>447</v>
      </c>
      <c r="E200" s="64" t="s">
        <v>316</v>
      </c>
    </row>
    <row r="201" spans="1:5" hidden="1" x14ac:dyDescent="0.35">
      <c r="A201" s="61" t="s">
        <v>1483</v>
      </c>
      <c r="B201" s="62" t="s">
        <v>1484</v>
      </c>
      <c r="C201" s="61" t="s">
        <v>1485</v>
      </c>
      <c r="D201" s="62" t="s">
        <v>357</v>
      </c>
      <c r="E201" s="64" t="s">
        <v>1345</v>
      </c>
    </row>
    <row r="202" spans="1:5" hidden="1" x14ac:dyDescent="0.35">
      <c r="A202" s="61" t="s">
        <v>1526</v>
      </c>
      <c r="B202" s="62" t="s">
        <v>1527</v>
      </c>
      <c r="C202" s="61" t="s">
        <v>1528</v>
      </c>
      <c r="D202" s="62" t="s">
        <v>394</v>
      </c>
      <c r="E202" s="64" t="s">
        <v>1345</v>
      </c>
    </row>
    <row r="203" spans="1:5" hidden="1" x14ac:dyDescent="0.35">
      <c r="A203" s="61" t="s">
        <v>1519</v>
      </c>
      <c r="B203" s="62" t="s">
        <v>1520</v>
      </c>
      <c r="C203" s="61" t="s">
        <v>1521</v>
      </c>
      <c r="D203" s="62" t="s">
        <v>363</v>
      </c>
      <c r="E203" s="64" t="s">
        <v>1345</v>
      </c>
    </row>
    <row r="204" spans="1:5" hidden="1" x14ac:dyDescent="0.35">
      <c r="A204" s="61" t="s">
        <v>1808</v>
      </c>
      <c r="B204" s="62" t="s">
        <v>1809</v>
      </c>
      <c r="C204" s="61" t="s">
        <v>1810</v>
      </c>
      <c r="D204" s="62" t="s">
        <v>1714</v>
      </c>
      <c r="E204" s="64" t="s">
        <v>1345</v>
      </c>
    </row>
    <row r="205" spans="1:5" customFormat="1" hidden="1" x14ac:dyDescent="0.35">
      <c r="A205" s="51" t="s">
        <v>1276</v>
      </c>
      <c r="B205" s="52" t="s">
        <v>1277</v>
      </c>
      <c r="C205" s="51" t="s">
        <v>1278</v>
      </c>
      <c r="D205" s="52" t="s">
        <v>1157</v>
      </c>
      <c r="E205" s="53" t="s">
        <v>1142</v>
      </c>
    </row>
    <row r="206" spans="1:5" hidden="1" x14ac:dyDescent="0.35">
      <c r="A206" s="61" t="s">
        <v>1802</v>
      </c>
      <c r="B206" s="62" t="s">
        <v>1803</v>
      </c>
      <c r="C206" s="61" t="s">
        <v>1804</v>
      </c>
      <c r="D206" s="62" t="s">
        <v>382</v>
      </c>
      <c r="E206" s="64" t="s">
        <v>1345</v>
      </c>
    </row>
    <row r="207" spans="1:5" hidden="1" x14ac:dyDescent="0.35">
      <c r="A207" s="61" t="s">
        <v>1463</v>
      </c>
      <c r="B207" s="62" t="s">
        <v>1464</v>
      </c>
      <c r="C207" s="61" t="s">
        <v>1465</v>
      </c>
      <c r="D207" s="62" t="s">
        <v>345</v>
      </c>
      <c r="E207" s="64" t="s">
        <v>1345</v>
      </c>
    </row>
    <row r="208" spans="1:5" hidden="1" x14ac:dyDescent="0.35">
      <c r="A208" s="61" t="s">
        <v>522</v>
      </c>
      <c r="B208" s="62" t="s">
        <v>523</v>
      </c>
      <c r="C208" s="61" t="s">
        <v>524</v>
      </c>
      <c r="D208" s="62" t="s">
        <v>450</v>
      </c>
      <c r="E208" s="64" t="s">
        <v>316</v>
      </c>
    </row>
    <row r="209" spans="1:5" hidden="1" x14ac:dyDescent="0.35">
      <c r="A209" s="61" t="s">
        <v>1440</v>
      </c>
      <c r="B209" s="62" t="s">
        <v>1441</v>
      </c>
      <c r="C209" s="61" t="s">
        <v>1442</v>
      </c>
      <c r="D209" s="62" t="s">
        <v>363</v>
      </c>
      <c r="E209" s="64" t="s">
        <v>1345</v>
      </c>
    </row>
    <row r="210" spans="1:5" hidden="1" x14ac:dyDescent="0.35">
      <c r="A210" s="61" t="s">
        <v>567</v>
      </c>
      <c r="B210" s="62" t="s">
        <v>568</v>
      </c>
      <c r="C210" s="61" t="s">
        <v>569</v>
      </c>
      <c r="D210" s="62" t="s">
        <v>457</v>
      </c>
      <c r="E210" s="64" t="s">
        <v>316</v>
      </c>
    </row>
    <row r="211" spans="1:5" hidden="1" x14ac:dyDescent="0.35">
      <c r="A211" s="61" t="s">
        <v>595</v>
      </c>
      <c r="B211" s="62" t="s">
        <v>596</v>
      </c>
      <c r="C211" s="61" t="s">
        <v>597</v>
      </c>
      <c r="D211" s="62" t="s">
        <v>338</v>
      </c>
      <c r="E211" s="64" t="s">
        <v>316</v>
      </c>
    </row>
    <row r="212" spans="1:5" hidden="1" x14ac:dyDescent="0.35">
      <c r="A212" s="61" t="s">
        <v>1014</v>
      </c>
      <c r="B212" s="62" t="s">
        <v>1015</v>
      </c>
      <c r="C212" s="61" t="s">
        <v>1016</v>
      </c>
      <c r="D212" s="62" t="s">
        <v>1001</v>
      </c>
      <c r="E212" s="64" t="s">
        <v>316</v>
      </c>
    </row>
    <row r="213" spans="1:5" hidden="1" x14ac:dyDescent="0.35">
      <c r="A213" s="61" t="s">
        <v>1493</v>
      </c>
      <c r="B213" s="62" t="s">
        <v>1494</v>
      </c>
      <c r="C213" s="61" t="s">
        <v>1495</v>
      </c>
      <c r="D213" s="62" t="s">
        <v>363</v>
      </c>
      <c r="E213" s="64" t="s">
        <v>1345</v>
      </c>
    </row>
    <row r="214" spans="1:5" hidden="1" x14ac:dyDescent="0.35">
      <c r="A214" s="61" t="s">
        <v>731</v>
      </c>
      <c r="B214" s="62" t="s">
        <v>732</v>
      </c>
      <c r="C214" s="61" t="s">
        <v>188</v>
      </c>
      <c r="D214" s="62" t="s">
        <v>397</v>
      </c>
      <c r="E214" s="64" t="s">
        <v>316</v>
      </c>
    </row>
    <row r="215" spans="1:5" hidden="1" x14ac:dyDescent="0.35">
      <c r="A215" s="61" t="s">
        <v>627</v>
      </c>
      <c r="B215" s="62" t="s">
        <v>628</v>
      </c>
      <c r="C215" s="61" t="s">
        <v>189</v>
      </c>
      <c r="D215" s="62" t="s">
        <v>397</v>
      </c>
      <c r="E215" s="64" t="s">
        <v>316</v>
      </c>
    </row>
    <row r="216" spans="1:5" customFormat="1" hidden="1" x14ac:dyDescent="0.35">
      <c r="A216" s="51" t="s">
        <v>1059</v>
      </c>
      <c r="B216" s="52" t="s">
        <v>1060</v>
      </c>
      <c r="C216" s="51" t="s">
        <v>1061</v>
      </c>
      <c r="D216" s="52" t="s">
        <v>1058</v>
      </c>
      <c r="E216" s="53" t="s">
        <v>1050</v>
      </c>
    </row>
    <row r="217" spans="1:5" hidden="1" x14ac:dyDescent="0.35">
      <c r="A217" s="61" t="s">
        <v>1443</v>
      </c>
      <c r="B217" s="62" t="s">
        <v>1444</v>
      </c>
      <c r="C217" s="61" t="s">
        <v>1445</v>
      </c>
      <c r="D217" s="62" t="s">
        <v>363</v>
      </c>
      <c r="E217" s="64" t="s">
        <v>1345</v>
      </c>
    </row>
    <row r="218" spans="1:5" hidden="1" x14ac:dyDescent="0.35">
      <c r="A218" s="61" t="s">
        <v>1480</v>
      </c>
      <c r="B218" s="62" t="s">
        <v>1481</v>
      </c>
      <c r="C218" s="61" t="s">
        <v>1482</v>
      </c>
      <c r="D218" s="62" t="s">
        <v>345</v>
      </c>
      <c r="E218" s="64" t="s">
        <v>1345</v>
      </c>
    </row>
    <row r="219" spans="1:5" customFormat="1" hidden="1" x14ac:dyDescent="0.35">
      <c r="A219" s="51" t="s">
        <v>1309</v>
      </c>
      <c r="B219" s="52" t="s">
        <v>1310</v>
      </c>
      <c r="C219" s="51" t="s">
        <v>1311</v>
      </c>
      <c r="D219" s="52" t="s">
        <v>1157</v>
      </c>
      <c r="E219" s="53" t="s">
        <v>1142</v>
      </c>
    </row>
    <row r="220" spans="1:5" hidden="1" x14ac:dyDescent="0.35">
      <c r="A220" s="61" t="s">
        <v>1397</v>
      </c>
      <c r="B220" s="62" t="s">
        <v>1398</v>
      </c>
      <c r="C220" s="61" t="s">
        <v>1399</v>
      </c>
      <c r="D220" s="62" t="s">
        <v>357</v>
      </c>
      <c r="E220" s="64" t="s">
        <v>1345</v>
      </c>
    </row>
    <row r="221" spans="1:5" hidden="1" x14ac:dyDescent="0.35">
      <c r="A221" s="61" t="s">
        <v>1708</v>
      </c>
      <c r="B221" s="62" t="s">
        <v>1709</v>
      </c>
      <c r="C221" s="61" t="s">
        <v>1710</v>
      </c>
      <c r="D221" s="62" t="s">
        <v>457</v>
      </c>
      <c r="E221" s="64" t="s">
        <v>1345</v>
      </c>
    </row>
    <row r="222" spans="1:5" hidden="1" x14ac:dyDescent="0.35">
      <c r="A222" s="61" t="s">
        <v>516</v>
      </c>
      <c r="B222" s="62" t="s">
        <v>517</v>
      </c>
      <c r="C222" s="61" t="s">
        <v>518</v>
      </c>
      <c r="D222" s="62" t="s">
        <v>481</v>
      </c>
      <c r="E222" s="64" t="s">
        <v>316</v>
      </c>
    </row>
    <row r="223" spans="1:5" hidden="1" x14ac:dyDescent="0.35">
      <c r="A223" s="61" t="s">
        <v>1446</v>
      </c>
      <c r="B223" s="62" t="s">
        <v>1447</v>
      </c>
      <c r="C223" s="61" t="s">
        <v>1448</v>
      </c>
      <c r="D223" s="62" t="s">
        <v>363</v>
      </c>
      <c r="E223" s="64" t="s">
        <v>1345</v>
      </c>
    </row>
    <row r="224" spans="1:5" x14ac:dyDescent="0.35">
      <c r="A224" s="61" t="s">
        <v>869</v>
      </c>
      <c r="B224" s="62" t="s">
        <v>870</v>
      </c>
      <c r="C224" s="61" t="s">
        <v>871</v>
      </c>
      <c r="D224" s="62" t="s">
        <v>751</v>
      </c>
      <c r="E224" s="64" t="s">
        <v>316</v>
      </c>
    </row>
    <row r="225" spans="1:5" hidden="1" x14ac:dyDescent="0.35">
      <c r="A225" s="61" t="s">
        <v>714</v>
      </c>
      <c r="B225" s="62" t="s">
        <v>715</v>
      </c>
      <c r="C225" s="61" t="s">
        <v>716</v>
      </c>
      <c r="D225" s="62" t="s">
        <v>656</v>
      </c>
      <c r="E225" s="64" t="s">
        <v>316</v>
      </c>
    </row>
    <row r="226" spans="1:5" customFormat="1" hidden="1" x14ac:dyDescent="0.35">
      <c r="A226" s="51" t="s">
        <v>1342</v>
      </c>
      <c r="B226" s="52" t="s">
        <v>1343</v>
      </c>
      <c r="C226" s="51" t="s">
        <v>1344</v>
      </c>
      <c r="D226" s="52" t="s">
        <v>1153</v>
      </c>
      <c r="E226" s="53" t="s">
        <v>1142</v>
      </c>
    </row>
    <row r="227" spans="1:5" hidden="1" x14ac:dyDescent="0.35">
      <c r="A227" s="61" t="s">
        <v>493</v>
      </c>
      <c r="B227" s="62" t="s">
        <v>494</v>
      </c>
      <c r="C227" s="61" t="s">
        <v>495</v>
      </c>
      <c r="D227" s="62" t="s">
        <v>334</v>
      </c>
      <c r="E227" s="64" t="s">
        <v>316</v>
      </c>
    </row>
    <row r="228" spans="1:5" hidden="1" x14ac:dyDescent="0.35">
      <c r="A228" s="61" t="s">
        <v>1898</v>
      </c>
      <c r="B228" s="62" t="s">
        <v>1899</v>
      </c>
      <c r="C228" s="61" t="s">
        <v>1900</v>
      </c>
      <c r="D228" s="62" t="s">
        <v>1430</v>
      </c>
      <c r="E228" s="64" t="s">
        <v>1345</v>
      </c>
    </row>
    <row r="229" spans="1:5" hidden="1" x14ac:dyDescent="0.35">
      <c r="A229" s="61" t="s">
        <v>956</v>
      </c>
      <c r="B229" s="62" t="s">
        <v>957</v>
      </c>
      <c r="C229" s="61" t="s">
        <v>958</v>
      </c>
      <c r="D229" s="62" t="s">
        <v>447</v>
      </c>
      <c r="E229" s="64" t="s">
        <v>316</v>
      </c>
    </row>
    <row r="230" spans="1:5" hidden="1" x14ac:dyDescent="0.35">
      <c r="A230" s="61" t="s">
        <v>586</v>
      </c>
      <c r="B230" s="62" t="s">
        <v>587</v>
      </c>
      <c r="C230" s="61" t="s">
        <v>588</v>
      </c>
      <c r="D230" s="62" t="s">
        <v>371</v>
      </c>
      <c r="E230" s="64" t="s">
        <v>316</v>
      </c>
    </row>
    <row r="231" spans="1:5" hidden="1" x14ac:dyDescent="0.35">
      <c r="A231" s="61" t="s">
        <v>1427</v>
      </c>
      <c r="B231" s="62" t="s">
        <v>1428</v>
      </c>
      <c r="C231" s="61" t="s">
        <v>1429</v>
      </c>
      <c r="D231" s="62" t="s">
        <v>1430</v>
      </c>
      <c r="E231" s="64" t="s">
        <v>1345</v>
      </c>
    </row>
    <row r="232" spans="1:5" hidden="1" x14ac:dyDescent="0.35">
      <c r="A232" s="61" t="s">
        <v>346</v>
      </c>
      <c r="B232" s="62" t="s">
        <v>347</v>
      </c>
      <c r="C232" s="61" t="s">
        <v>348</v>
      </c>
      <c r="D232" s="62" t="s">
        <v>349</v>
      </c>
      <c r="E232" s="64" t="s">
        <v>316</v>
      </c>
    </row>
    <row r="233" spans="1:5" customFormat="1" hidden="1" x14ac:dyDescent="0.35">
      <c r="A233" s="51" t="s">
        <v>1074</v>
      </c>
      <c r="B233" s="52" t="s">
        <v>1075</v>
      </c>
      <c r="C233" s="51" t="s">
        <v>1076</v>
      </c>
      <c r="D233" s="52" t="s">
        <v>334</v>
      </c>
      <c r="E233" s="53" t="s">
        <v>1050</v>
      </c>
    </row>
    <row r="234" spans="1:5" hidden="1" x14ac:dyDescent="0.35">
      <c r="A234" s="61" t="s">
        <v>1657</v>
      </c>
      <c r="B234" s="62" t="s">
        <v>1658</v>
      </c>
      <c r="C234" s="61" t="s">
        <v>1659</v>
      </c>
      <c r="D234" s="62" t="s">
        <v>686</v>
      </c>
      <c r="E234" s="64" t="s">
        <v>1345</v>
      </c>
    </row>
    <row r="235" spans="1:5" hidden="1" x14ac:dyDescent="0.35">
      <c r="A235" s="61" t="s">
        <v>404</v>
      </c>
      <c r="B235" s="62" t="s">
        <v>405</v>
      </c>
      <c r="C235" s="61" t="s">
        <v>135</v>
      </c>
      <c r="D235" s="62" t="s">
        <v>341</v>
      </c>
      <c r="E235" s="64" t="s">
        <v>316</v>
      </c>
    </row>
    <row r="236" spans="1:5" hidden="1" x14ac:dyDescent="0.35">
      <c r="A236" s="61" t="s">
        <v>2039</v>
      </c>
      <c r="B236" s="62" t="s">
        <v>2040</v>
      </c>
      <c r="C236" s="61" t="s">
        <v>2041</v>
      </c>
      <c r="D236" s="62" t="s">
        <v>1532</v>
      </c>
      <c r="E236" s="64" t="s">
        <v>1345</v>
      </c>
    </row>
    <row r="237" spans="1:5" x14ac:dyDescent="0.35">
      <c r="A237" s="61" t="s">
        <v>854</v>
      </c>
      <c r="B237" s="62" t="s">
        <v>855</v>
      </c>
      <c r="C237" s="61" t="s">
        <v>856</v>
      </c>
      <c r="D237" s="62" t="s">
        <v>751</v>
      </c>
      <c r="E237" s="64" t="s">
        <v>316</v>
      </c>
    </row>
    <row r="238" spans="1:5" customFormat="1" hidden="1" x14ac:dyDescent="0.35">
      <c r="A238" s="51" t="s">
        <v>1083</v>
      </c>
      <c r="B238" s="52" t="s">
        <v>1084</v>
      </c>
      <c r="C238" s="51" t="s">
        <v>1085</v>
      </c>
      <c r="D238" s="52" t="s">
        <v>775</v>
      </c>
      <c r="E238" s="53" t="s">
        <v>1050</v>
      </c>
    </row>
    <row r="239" spans="1:5" hidden="1" x14ac:dyDescent="0.35">
      <c r="A239" s="61" t="s">
        <v>1606</v>
      </c>
      <c r="B239" s="62" t="s">
        <v>1607</v>
      </c>
      <c r="C239" s="61" t="s">
        <v>1608</v>
      </c>
      <c r="D239" s="62" t="s">
        <v>334</v>
      </c>
      <c r="E239" s="64" t="s">
        <v>1345</v>
      </c>
    </row>
    <row r="240" spans="1:5" customFormat="1" hidden="1" x14ac:dyDescent="0.35">
      <c r="A240" s="51" t="s">
        <v>1080</v>
      </c>
      <c r="B240" s="52" t="s">
        <v>1081</v>
      </c>
      <c r="C240" s="51" t="s">
        <v>1082</v>
      </c>
      <c r="D240" s="52" t="s">
        <v>334</v>
      </c>
      <c r="E240" s="53" t="s">
        <v>1050</v>
      </c>
    </row>
    <row r="241" spans="1:5" hidden="1" x14ac:dyDescent="0.35">
      <c r="A241" s="61" t="s">
        <v>1642</v>
      </c>
      <c r="B241" s="62" t="s">
        <v>1643</v>
      </c>
      <c r="C241" s="61" t="s">
        <v>1644</v>
      </c>
      <c r="D241" s="62" t="s">
        <v>357</v>
      </c>
      <c r="E241" s="64" t="s">
        <v>1345</v>
      </c>
    </row>
    <row r="242" spans="1:5" hidden="1" x14ac:dyDescent="0.35">
      <c r="A242" s="61" t="s">
        <v>806</v>
      </c>
      <c r="B242" s="62" t="s">
        <v>807</v>
      </c>
      <c r="C242" s="61" t="s">
        <v>808</v>
      </c>
      <c r="D242" s="62" t="s">
        <v>345</v>
      </c>
      <c r="E242" s="64" t="s">
        <v>316</v>
      </c>
    </row>
    <row r="243" spans="1:5" hidden="1" x14ac:dyDescent="0.35">
      <c r="A243" s="61" t="s">
        <v>908</v>
      </c>
      <c r="B243" s="62" t="s">
        <v>909</v>
      </c>
      <c r="C243" s="61" t="s">
        <v>910</v>
      </c>
      <c r="D243" s="62" t="s">
        <v>375</v>
      </c>
      <c r="E243" s="64" t="s">
        <v>316</v>
      </c>
    </row>
    <row r="244" spans="1:5" customFormat="1" hidden="1" x14ac:dyDescent="0.35">
      <c r="A244" s="51" t="s">
        <v>1237</v>
      </c>
      <c r="B244" s="52" t="s">
        <v>1238</v>
      </c>
      <c r="C244" s="51" t="s">
        <v>1239</v>
      </c>
      <c r="D244" s="52" t="s">
        <v>1146</v>
      </c>
      <c r="E244" s="53" t="s">
        <v>1142</v>
      </c>
    </row>
    <row r="245" spans="1:5" hidden="1" x14ac:dyDescent="0.35">
      <c r="A245" s="61" t="s">
        <v>1517</v>
      </c>
      <c r="B245" s="62" t="s">
        <v>1518</v>
      </c>
      <c r="C245" s="61" t="s">
        <v>181</v>
      </c>
      <c r="D245" s="62" t="s">
        <v>357</v>
      </c>
      <c r="E245" s="64" t="s">
        <v>1345</v>
      </c>
    </row>
    <row r="246" spans="1:5" hidden="1" x14ac:dyDescent="0.35">
      <c r="A246" s="61" t="s">
        <v>464</v>
      </c>
      <c r="B246" s="62" t="s">
        <v>465</v>
      </c>
      <c r="C246" s="61" t="s">
        <v>128</v>
      </c>
      <c r="D246" s="62" t="s">
        <v>330</v>
      </c>
      <c r="E246" s="65" t="s">
        <v>316</v>
      </c>
    </row>
    <row r="247" spans="1:5" hidden="1" x14ac:dyDescent="0.35">
      <c r="A247" s="61" t="s">
        <v>674</v>
      </c>
      <c r="B247" s="62" t="s">
        <v>675</v>
      </c>
      <c r="C247" s="61" t="s">
        <v>676</v>
      </c>
      <c r="D247" s="62" t="s">
        <v>375</v>
      </c>
      <c r="E247" s="63" t="s">
        <v>316</v>
      </c>
    </row>
    <row r="248" spans="1:5" hidden="1" x14ac:dyDescent="0.35">
      <c r="A248" s="61" t="s">
        <v>475</v>
      </c>
      <c r="B248" s="62" t="s">
        <v>476</v>
      </c>
      <c r="C248" s="61" t="s">
        <v>477</v>
      </c>
      <c r="D248" s="62" t="s">
        <v>363</v>
      </c>
      <c r="E248" s="64" t="s">
        <v>316</v>
      </c>
    </row>
    <row r="249" spans="1:5" hidden="1" x14ac:dyDescent="0.35">
      <c r="A249" s="61" t="s">
        <v>648</v>
      </c>
      <c r="B249" s="62" t="s">
        <v>649</v>
      </c>
      <c r="C249" s="61" t="s">
        <v>650</v>
      </c>
      <c r="D249" s="62" t="s">
        <v>345</v>
      </c>
      <c r="E249" s="64" t="s">
        <v>316</v>
      </c>
    </row>
    <row r="250" spans="1:5" hidden="1" x14ac:dyDescent="0.35">
      <c r="A250" s="61" t="s">
        <v>631</v>
      </c>
      <c r="B250" s="62" t="s">
        <v>632</v>
      </c>
      <c r="C250" s="61" t="s">
        <v>633</v>
      </c>
      <c r="D250" s="62" t="s">
        <v>481</v>
      </c>
      <c r="E250" s="64" t="s">
        <v>316</v>
      </c>
    </row>
    <row r="251" spans="1:5" hidden="1" x14ac:dyDescent="0.35">
      <c r="A251" s="61" t="s">
        <v>1452</v>
      </c>
      <c r="B251" s="62" t="s">
        <v>1453</v>
      </c>
      <c r="C251" s="61" t="s">
        <v>1454</v>
      </c>
      <c r="D251" s="62" t="s">
        <v>363</v>
      </c>
      <c r="E251" s="64" t="s">
        <v>1345</v>
      </c>
    </row>
    <row r="252" spans="1:5" hidden="1" x14ac:dyDescent="0.35">
      <c r="A252" s="61" t="s">
        <v>1745</v>
      </c>
      <c r="B252" s="62" t="s">
        <v>1746</v>
      </c>
      <c r="C252" s="61" t="s">
        <v>1747</v>
      </c>
      <c r="D252" s="62" t="s">
        <v>1489</v>
      </c>
      <c r="E252" s="64" t="s">
        <v>1345</v>
      </c>
    </row>
    <row r="253" spans="1:5" customFormat="1" hidden="1" x14ac:dyDescent="0.35">
      <c r="A253" s="51" t="s">
        <v>1118</v>
      </c>
      <c r="B253" s="52" t="s">
        <v>1119</v>
      </c>
      <c r="C253" s="51" t="s">
        <v>1120</v>
      </c>
      <c r="D253" s="52" t="s">
        <v>1058</v>
      </c>
      <c r="E253" s="53" t="s">
        <v>1050</v>
      </c>
    </row>
    <row r="254" spans="1:5" hidden="1" x14ac:dyDescent="0.35">
      <c r="A254" s="61" t="s">
        <v>998</v>
      </c>
      <c r="B254" s="62" t="s">
        <v>999</v>
      </c>
      <c r="C254" s="61" t="s">
        <v>1000</v>
      </c>
      <c r="D254" s="62" t="s">
        <v>1001</v>
      </c>
      <c r="E254" s="64" t="s">
        <v>316</v>
      </c>
    </row>
    <row r="255" spans="1:5" hidden="1" x14ac:dyDescent="0.35">
      <c r="A255" s="61" t="s">
        <v>1573</v>
      </c>
      <c r="B255" s="62" t="s">
        <v>1574</v>
      </c>
      <c r="C255" s="61" t="s">
        <v>1575</v>
      </c>
      <c r="D255" s="62" t="s">
        <v>1532</v>
      </c>
      <c r="E255" s="64" t="s">
        <v>1345</v>
      </c>
    </row>
    <row r="256" spans="1:5" hidden="1" x14ac:dyDescent="0.35">
      <c r="A256" s="61" t="s">
        <v>1460</v>
      </c>
      <c r="B256" s="62" t="s">
        <v>1461</v>
      </c>
      <c r="C256" s="61" t="s">
        <v>1462</v>
      </c>
      <c r="D256" s="62" t="s">
        <v>367</v>
      </c>
      <c r="E256" s="64" t="s">
        <v>1345</v>
      </c>
    </row>
    <row r="257" spans="1:5" hidden="1" x14ac:dyDescent="0.35">
      <c r="A257" s="61" t="s">
        <v>1600</v>
      </c>
      <c r="B257" s="62" t="s">
        <v>1601</v>
      </c>
      <c r="C257" s="61" t="s">
        <v>1602</v>
      </c>
      <c r="D257" s="62" t="s">
        <v>394</v>
      </c>
      <c r="E257" s="64" t="s">
        <v>1345</v>
      </c>
    </row>
    <row r="258" spans="1:5" hidden="1" x14ac:dyDescent="0.35">
      <c r="A258" s="61" t="s">
        <v>1721</v>
      </c>
      <c r="B258" s="62" t="s">
        <v>1722</v>
      </c>
      <c r="C258" s="61" t="s">
        <v>190</v>
      </c>
      <c r="D258" s="66" t="s">
        <v>2081</v>
      </c>
      <c r="E258" s="64" t="s">
        <v>1345</v>
      </c>
    </row>
    <row r="259" spans="1:5" hidden="1" x14ac:dyDescent="0.35">
      <c r="A259" s="61" t="s">
        <v>1374</v>
      </c>
      <c r="B259" s="62" t="s">
        <v>1375</v>
      </c>
      <c r="C259" s="61" t="s">
        <v>1376</v>
      </c>
      <c r="D259" s="62" t="s">
        <v>334</v>
      </c>
      <c r="E259" s="64" t="s">
        <v>1345</v>
      </c>
    </row>
    <row r="260" spans="1:5" hidden="1" x14ac:dyDescent="0.35">
      <c r="A260" s="61" t="s">
        <v>1874</v>
      </c>
      <c r="B260" s="62" t="s">
        <v>1875</v>
      </c>
      <c r="C260" s="61" t="s">
        <v>1876</v>
      </c>
      <c r="D260" s="62" t="s">
        <v>1430</v>
      </c>
      <c r="E260" s="64" t="s">
        <v>1345</v>
      </c>
    </row>
    <row r="261" spans="1:5" hidden="1" x14ac:dyDescent="0.35">
      <c r="A261" s="61" t="s">
        <v>1805</v>
      </c>
      <c r="B261" s="62" t="s">
        <v>1806</v>
      </c>
      <c r="C261" s="61" t="s">
        <v>1807</v>
      </c>
      <c r="D261" s="62" t="s">
        <v>382</v>
      </c>
      <c r="E261" s="64" t="s">
        <v>1345</v>
      </c>
    </row>
    <row r="262" spans="1:5" customFormat="1" hidden="1" x14ac:dyDescent="0.35">
      <c r="A262" s="51" t="s">
        <v>1109</v>
      </c>
      <c r="B262" s="52" t="s">
        <v>1110</v>
      </c>
      <c r="C262" s="51" t="s">
        <v>1111</v>
      </c>
      <c r="D262" s="52" t="s">
        <v>1058</v>
      </c>
      <c r="E262" s="53" t="s">
        <v>1050</v>
      </c>
    </row>
    <row r="263" spans="1:5" hidden="1" x14ac:dyDescent="0.35">
      <c r="A263" s="61" t="s">
        <v>642</v>
      </c>
      <c r="B263" s="62" t="s">
        <v>643</v>
      </c>
      <c r="C263" s="61" t="s">
        <v>644</v>
      </c>
      <c r="D263" s="62" t="s">
        <v>371</v>
      </c>
      <c r="E263" s="64" t="s">
        <v>316</v>
      </c>
    </row>
    <row r="264" spans="1:5" hidden="1" x14ac:dyDescent="0.35">
      <c r="A264" s="61" t="s">
        <v>550</v>
      </c>
      <c r="B264" s="62" t="s">
        <v>551</v>
      </c>
      <c r="C264" s="61" t="s">
        <v>552</v>
      </c>
      <c r="D264" s="62" t="s">
        <v>327</v>
      </c>
      <c r="E264" s="64" t="s">
        <v>316</v>
      </c>
    </row>
    <row r="265" spans="1:5" hidden="1" x14ac:dyDescent="0.35">
      <c r="A265" s="61" t="s">
        <v>342</v>
      </c>
      <c r="B265" s="62" t="s">
        <v>343</v>
      </c>
      <c r="C265" s="61" t="s">
        <v>344</v>
      </c>
      <c r="D265" s="62" t="s">
        <v>345</v>
      </c>
      <c r="E265" s="64" t="s">
        <v>316</v>
      </c>
    </row>
    <row r="266" spans="1:5" hidden="1" x14ac:dyDescent="0.35">
      <c r="A266" s="61" t="s">
        <v>1793</v>
      </c>
      <c r="B266" s="62" t="s">
        <v>1794</v>
      </c>
      <c r="C266" s="61" t="s">
        <v>1795</v>
      </c>
      <c r="D266" s="62" t="s">
        <v>1551</v>
      </c>
      <c r="E266" s="64" t="s">
        <v>1345</v>
      </c>
    </row>
    <row r="267" spans="1:5" x14ac:dyDescent="0.35">
      <c r="A267" s="61" t="s">
        <v>884</v>
      </c>
      <c r="B267" s="62" t="s">
        <v>885</v>
      </c>
      <c r="C267" s="61" t="s">
        <v>886</v>
      </c>
      <c r="D267" s="62" t="s">
        <v>751</v>
      </c>
      <c r="E267" s="64" t="s">
        <v>316</v>
      </c>
    </row>
    <row r="268" spans="1:5" hidden="1" x14ac:dyDescent="0.35">
      <c r="A268" s="61" t="s">
        <v>1829</v>
      </c>
      <c r="B268" s="62" t="s">
        <v>1830</v>
      </c>
      <c r="C268" s="61" t="s">
        <v>1831</v>
      </c>
      <c r="D268" s="62" t="s">
        <v>371</v>
      </c>
      <c r="E268" s="64" t="s">
        <v>1345</v>
      </c>
    </row>
    <row r="269" spans="1:5" customFormat="1" hidden="1" x14ac:dyDescent="0.35">
      <c r="A269" s="51" t="s">
        <v>1127</v>
      </c>
      <c r="B269" s="52" t="s">
        <v>1128</v>
      </c>
      <c r="C269" s="51" t="s">
        <v>1129</v>
      </c>
      <c r="D269" s="52" t="s">
        <v>1058</v>
      </c>
      <c r="E269" s="53" t="s">
        <v>1050</v>
      </c>
    </row>
    <row r="270" spans="1:5" hidden="1" x14ac:dyDescent="0.35">
      <c r="A270" s="61" t="s">
        <v>800</v>
      </c>
      <c r="B270" s="62" t="s">
        <v>801</v>
      </c>
      <c r="C270" s="61" t="s">
        <v>802</v>
      </c>
      <c r="D270" s="62" t="s">
        <v>338</v>
      </c>
      <c r="E270" s="64" t="s">
        <v>316</v>
      </c>
    </row>
    <row r="271" spans="1:5" hidden="1" x14ac:dyDescent="0.35">
      <c r="A271" s="61" t="s">
        <v>607</v>
      </c>
      <c r="B271" s="62" t="s">
        <v>608</v>
      </c>
      <c r="C271" s="61" t="s">
        <v>609</v>
      </c>
      <c r="D271" s="62" t="s">
        <v>450</v>
      </c>
      <c r="E271" s="64" t="s">
        <v>316</v>
      </c>
    </row>
    <row r="272" spans="1:5" hidden="1" x14ac:dyDescent="0.35">
      <c r="A272" s="61" t="s">
        <v>2033</v>
      </c>
      <c r="B272" s="62" t="s">
        <v>2034</v>
      </c>
      <c r="C272" s="61" t="s">
        <v>2035</v>
      </c>
      <c r="D272" s="62" t="s">
        <v>1532</v>
      </c>
      <c r="E272" s="64" t="s">
        <v>1345</v>
      </c>
    </row>
    <row r="273" spans="1:5" customFormat="1" hidden="1" x14ac:dyDescent="0.35">
      <c r="A273" s="51" t="s">
        <v>1261</v>
      </c>
      <c r="B273" s="52" t="s">
        <v>1262</v>
      </c>
      <c r="C273" s="51" t="s">
        <v>1263</v>
      </c>
      <c r="D273" s="52" t="s">
        <v>1157</v>
      </c>
      <c r="E273" s="53" t="s">
        <v>1142</v>
      </c>
    </row>
    <row r="274" spans="1:5" customFormat="1" hidden="1" x14ac:dyDescent="0.35">
      <c r="A274" s="51" t="s">
        <v>1222</v>
      </c>
      <c r="B274" s="52" t="s">
        <v>1223</v>
      </c>
      <c r="C274" s="51" t="s">
        <v>1224</v>
      </c>
      <c r="D274" s="52" t="s">
        <v>1157</v>
      </c>
      <c r="E274" s="53" t="s">
        <v>1142</v>
      </c>
    </row>
    <row r="275" spans="1:5" customFormat="1" hidden="1" x14ac:dyDescent="0.35">
      <c r="A275" s="51" t="s">
        <v>1210</v>
      </c>
      <c r="B275" s="52" t="s">
        <v>1211</v>
      </c>
      <c r="C275" s="51" t="s">
        <v>1212</v>
      </c>
      <c r="D275" s="52" t="s">
        <v>1157</v>
      </c>
      <c r="E275" s="53" t="s">
        <v>1142</v>
      </c>
    </row>
    <row r="276" spans="1:5" customFormat="1" hidden="1" x14ac:dyDescent="0.35">
      <c r="A276" s="51" t="s">
        <v>1297</v>
      </c>
      <c r="B276" s="52" t="s">
        <v>1298</v>
      </c>
      <c r="C276" s="51" t="s">
        <v>1299</v>
      </c>
      <c r="D276" s="52" t="s">
        <v>1157</v>
      </c>
      <c r="E276" s="54" t="s">
        <v>1142</v>
      </c>
    </row>
    <row r="277" spans="1:5" hidden="1" x14ac:dyDescent="0.35">
      <c r="A277" s="61" t="s">
        <v>766</v>
      </c>
      <c r="B277" s="62" t="s">
        <v>767</v>
      </c>
      <c r="C277" s="61" t="s">
        <v>768</v>
      </c>
      <c r="D277" s="62" t="s">
        <v>345</v>
      </c>
      <c r="E277" s="63" t="s">
        <v>316</v>
      </c>
    </row>
    <row r="278" spans="1:5" hidden="1" x14ac:dyDescent="0.35">
      <c r="A278" s="61" t="s">
        <v>1011</v>
      </c>
      <c r="B278" s="62" t="s">
        <v>1012</v>
      </c>
      <c r="C278" s="61" t="s">
        <v>1013</v>
      </c>
      <c r="D278" s="62" t="s">
        <v>1001</v>
      </c>
      <c r="E278" s="64" t="s">
        <v>316</v>
      </c>
    </row>
    <row r="279" spans="1:5" hidden="1" x14ac:dyDescent="0.35">
      <c r="A279" s="61" t="s">
        <v>576</v>
      </c>
      <c r="B279" s="62" t="s">
        <v>577</v>
      </c>
      <c r="C279" s="61" t="s">
        <v>206</v>
      </c>
      <c r="D279" s="62" t="s">
        <v>450</v>
      </c>
      <c r="E279" s="64" t="s">
        <v>316</v>
      </c>
    </row>
    <row r="280" spans="1:5" hidden="1" x14ac:dyDescent="0.35">
      <c r="A280" s="72">
        <v>2133439</v>
      </c>
      <c r="B280" s="74" t="s">
        <v>2218</v>
      </c>
      <c r="C280" s="76" t="s">
        <v>2219</v>
      </c>
      <c r="D280" s="66" t="s">
        <v>2232</v>
      </c>
      <c r="E280" s="77" t="s">
        <v>1345</v>
      </c>
    </row>
    <row r="281" spans="1:5" hidden="1" x14ac:dyDescent="0.35">
      <c r="A281" s="61" t="s">
        <v>830</v>
      </c>
      <c r="B281" s="62" t="s">
        <v>831</v>
      </c>
      <c r="C281" s="61" t="s">
        <v>832</v>
      </c>
      <c r="D281" s="62" t="s">
        <v>345</v>
      </c>
      <c r="E281" s="64" t="s">
        <v>316</v>
      </c>
    </row>
    <row r="282" spans="1:5" hidden="1" x14ac:dyDescent="0.35">
      <c r="A282" s="61" t="s">
        <v>1536</v>
      </c>
      <c r="B282" s="62" t="s">
        <v>1537</v>
      </c>
      <c r="C282" s="61" t="s">
        <v>1538</v>
      </c>
      <c r="D282" s="62" t="s">
        <v>367</v>
      </c>
      <c r="E282" s="64" t="s">
        <v>1345</v>
      </c>
    </row>
    <row r="283" spans="1:5" hidden="1" x14ac:dyDescent="0.35">
      <c r="A283" s="61" t="s">
        <v>528</v>
      </c>
      <c r="B283" s="62" t="s">
        <v>529</v>
      </c>
      <c r="C283" s="61" t="s">
        <v>530</v>
      </c>
      <c r="D283" s="62" t="s">
        <v>481</v>
      </c>
      <c r="E283" s="64" t="s">
        <v>316</v>
      </c>
    </row>
    <row r="284" spans="1:5" hidden="1" x14ac:dyDescent="0.35">
      <c r="A284" s="61" t="s">
        <v>1002</v>
      </c>
      <c r="B284" s="62" t="s">
        <v>1003</v>
      </c>
      <c r="C284" s="61" t="s">
        <v>1004</v>
      </c>
      <c r="D284" s="62" t="s">
        <v>1001</v>
      </c>
      <c r="E284" s="64" t="s">
        <v>316</v>
      </c>
    </row>
    <row r="285" spans="1:5" hidden="1" x14ac:dyDescent="0.35">
      <c r="A285" s="61" t="s">
        <v>833</v>
      </c>
      <c r="B285" s="62" t="s">
        <v>834</v>
      </c>
      <c r="C285" s="61" t="s">
        <v>835</v>
      </c>
      <c r="D285" s="62" t="s">
        <v>327</v>
      </c>
      <c r="E285" s="64" t="s">
        <v>316</v>
      </c>
    </row>
    <row r="286" spans="1:5" hidden="1" x14ac:dyDescent="0.35">
      <c r="A286" s="61" t="s">
        <v>1499</v>
      </c>
      <c r="B286" s="62" t="s">
        <v>1500</v>
      </c>
      <c r="C286" s="61" t="s">
        <v>1501</v>
      </c>
      <c r="D286" s="62" t="s">
        <v>357</v>
      </c>
      <c r="E286" s="64" t="s">
        <v>1345</v>
      </c>
    </row>
    <row r="287" spans="1:5" hidden="1" x14ac:dyDescent="0.35">
      <c r="A287" s="61" t="s">
        <v>1895</v>
      </c>
      <c r="B287" s="62" t="s">
        <v>1896</v>
      </c>
      <c r="C287" s="61" t="s">
        <v>1897</v>
      </c>
      <c r="D287" s="62" t="s">
        <v>1430</v>
      </c>
      <c r="E287" s="64" t="s">
        <v>1345</v>
      </c>
    </row>
    <row r="288" spans="1:5" hidden="1" x14ac:dyDescent="0.35">
      <c r="A288" s="61" t="s">
        <v>353</v>
      </c>
      <c r="B288" s="62" t="s">
        <v>354</v>
      </c>
      <c r="C288" s="61" t="s">
        <v>126</v>
      </c>
      <c r="D288" s="62" t="s">
        <v>349</v>
      </c>
      <c r="E288" s="64" t="s">
        <v>316</v>
      </c>
    </row>
    <row r="289" spans="1:5" customFormat="1" hidden="1" x14ac:dyDescent="0.35">
      <c r="A289" s="51" t="s">
        <v>1150</v>
      </c>
      <c r="B289" s="52" t="s">
        <v>1151</v>
      </c>
      <c r="C289" s="51" t="s">
        <v>1152</v>
      </c>
      <c r="D289" s="52" t="s">
        <v>1153</v>
      </c>
      <c r="E289" s="53" t="s">
        <v>1142</v>
      </c>
    </row>
    <row r="290" spans="1:5" hidden="1" x14ac:dyDescent="0.35">
      <c r="A290" s="61" t="s">
        <v>1766</v>
      </c>
      <c r="B290" s="62" t="s">
        <v>1767</v>
      </c>
      <c r="C290" s="61" t="s">
        <v>1768</v>
      </c>
      <c r="D290" s="62" t="s">
        <v>1551</v>
      </c>
      <c r="E290" s="64" t="s">
        <v>1345</v>
      </c>
    </row>
    <row r="291" spans="1:5" hidden="1" x14ac:dyDescent="0.35">
      <c r="A291" s="61" t="s">
        <v>1922</v>
      </c>
      <c r="B291" s="62" t="s">
        <v>1923</v>
      </c>
      <c r="C291" s="61" t="s">
        <v>1924</v>
      </c>
      <c r="D291" s="62" t="s">
        <v>1489</v>
      </c>
      <c r="E291" s="64" t="s">
        <v>1345</v>
      </c>
    </row>
    <row r="292" spans="1:5" hidden="1" x14ac:dyDescent="0.35">
      <c r="A292" s="61" t="s">
        <v>1892</v>
      </c>
      <c r="B292" s="62" t="s">
        <v>1893</v>
      </c>
      <c r="C292" s="61" t="s">
        <v>1894</v>
      </c>
      <c r="D292" s="62" t="s">
        <v>1430</v>
      </c>
      <c r="E292" s="64" t="s">
        <v>1345</v>
      </c>
    </row>
    <row r="293" spans="1:5" hidden="1" x14ac:dyDescent="0.35">
      <c r="A293" s="61" t="s">
        <v>1585</v>
      </c>
      <c r="B293" s="62" t="s">
        <v>1586</v>
      </c>
      <c r="C293" s="61" t="s">
        <v>1587</v>
      </c>
      <c r="D293" s="62" t="s">
        <v>363</v>
      </c>
      <c r="E293" s="64" t="s">
        <v>1345</v>
      </c>
    </row>
    <row r="294" spans="1:5" hidden="1" x14ac:dyDescent="0.35">
      <c r="A294" s="61" t="s">
        <v>761</v>
      </c>
      <c r="B294" s="62" t="s">
        <v>762</v>
      </c>
      <c r="C294" s="61" t="s">
        <v>191</v>
      </c>
      <c r="D294" s="62" t="s">
        <v>397</v>
      </c>
      <c r="E294" s="64" t="s">
        <v>316</v>
      </c>
    </row>
    <row r="295" spans="1:5" hidden="1" x14ac:dyDescent="0.35">
      <c r="A295" s="61" t="s">
        <v>659</v>
      </c>
      <c r="B295" s="62" t="s">
        <v>660</v>
      </c>
      <c r="C295" s="61" t="s">
        <v>661</v>
      </c>
      <c r="D295" s="62" t="s">
        <v>367</v>
      </c>
      <c r="E295" s="64" t="s">
        <v>316</v>
      </c>
    </row>
    <row r="296" spans="1:5" hidden="1" x14ac:dyDescent="0.35">
      <c r="A296" s="61" t="s">
        <v>1533</v>
      </c>
      <c r="B296" s="62" t="s">
        <v>1534</v>
      </c>
      <c r="C296" s="61" t="s">
        <v>1535</v>
      </c>
      <c r="D296" s="62" t="s">
        <v>363</v>
      </c>
      <c r="E296" s="64" t="s">
        <v>1345</v>
      </c>
    </row>
    <row r="297" spans="1:5" hidden="1" x14ac:dyDescent="0.35">
      <c r="A297" s="72">
        <v>2133443</v>
      </c>
      <c r="B297" s="74" t="s">
        <v>2222</v>
      </c>
      <c r="C297" s="76" t="s">
        <v>2223</v>
      </c>
      <c r="D297" s="66" t="s">
        <v>2232</v>
      </c>
      <c r="E297" s="77" t="s">
        <v>1345</v>
      </c>
    </row>
    <row r="298" spans="1:5" hidden="1" x14ac:dyDescent="0.35">
      <c r="A298" s="61" t="s">
        <v>1449</v>
      </c>
      <c r="B298" s="62" t="s">
        <v>1450</v>
      </c>
      <c r="C298" s="61" t="s">
        <v>1451</v>
      </c>
      <c r="D298" s="62" t="s">
        <v>367</v>
      </c>
      <c r="E298" s="64" t="s">
        <v>1345</v>
      </c>
    </row>
    <row r="299" spans="1:5" hidden="1" x14ac:dyDescent="0.35">
      <c r="A299" s="61" t="s">
        <v>1634</v>
      </c>
      <c r="B299" s="62" t="s">
        <v>1635</v>
      </c>
      <c r="C299" s="61" t="s">
        <v>123</v>
      </c>
      <c r="D299" s="62" t="s">
        <v>1054</v>
      </c>
      <c r="E299" s="64" t="s">
        <v>1345</v>
      </c>
    </row>
    <row r="300" spans="1:5" customFormat="1" hidden="1" x14ac:dyDescent="0.35">
      <c r="A300" s="51" t="s">
        <v>1088</v>
      </c>
      <c r="B300" s="52" t="s">
        <v>1089</v>
      </c>
      <c r="C300" s="51" t="s">
        <v>1090</v>
      </c>
      <c r="D300" s="52" t="s">
        <v>775</v>
      </c>
      <c r="E300" s="53" t="s">
        <v>1050</v>
      </c>
    </row>
    <row r="301" spans="1:5" hidden="1" x14ac:dyDescent="0.35">
      <c r="A301" s="61" t="s">
        <v>438</v>
      </c>
      <c r="B301" s="62" t="s">
        <v>439</v>
      </c>
      <c r="C301" s="61" t="s">
        <v>440</v>
      </c>
      <c r="D301" s="62" t="s">
        <v>367</v>
      </c>
      <c r="E301" s="64" t="s">
        <v>316</v>
      </c>
    </row>
    <row r="302" spans="1:5" customFormat="1" hidden="1" x14ac:dyDescent="0.35">
      <c r="A302" s="51" t="s">
        <v>1315</v>
      </c>
      <c r="B302" s="52" t="s">
        <v>1316</v>
      </c>
      <c r="C302" s="51" t="s">
        <v>1317</v>
      </c>
      <c r="D302" s="52" t="s">
        <v>1157</v>
      </c>
      <c r="E302" s="53" t="s">
        <v>1142</v>
      </c>
    </row>
    <row r="303" spans="1:5" hidden="1" x14ac:dyDescent="0.35">
      <c r="A303" s="61" t="s">
        <v>911</v>
      </c>
      <c r="B303" s="62" t="s">
        <v>912</v>
      </c>
      <c r="C303" s="61" t="s">
        <v>913</v>
      </c>
      <c r="D303" s="62" t="s">
        <v>375</v>
      </c>
      <c r="E303" s="64" t="s">
        <v>316</v>
      </c>
    </row>
    <row r="304" spans="1:5" hidden="1" x14ac:dyDescent="0.35">
      <c r="A304" s="61" t="s">
        <v>755</v>
      </c>
      <c r="B304" s="62" t="s">
        <v>756</v>
      </c>
      <c r="C304" s="61" t="s">
        <v>757</v>
      </c>
      <c r="D304" s="62" t="s">
        <v>338</v>
      </c>
      <c r="E304" s="64" t="s">
        <v>316</v>
      </c>
    </row>
    <row r="305" spans="1:5" customFormat="1" hidden="1" x14ac:dyDescent="0.35">
      <c r="A305" s="51" t="s">
        <v>1186</v>
      </c>
      <c r="B305" s="52" t="s">
        <v>1187</v>
      </c>
      <c r="C305" s="51" t="s">
        <v>1188</v>
      </c>
      <c r="D305" s="52" t="s">
        <v>1146</v>
      </c>
      <c r="E305" s="53" t="s">
        <v>1142</v>
      </c>
    </row>
    <row r="306" spans="1:5" customFormat="1" hidden="1" x14ac:dyDescent="0.35">
      <c r="A306" s="51" t="s">
        <v>1133</v>
      </c>
      <c r="B306" s="52" t="s">
        <v>1134</v>
      </c>
      <c r="C306" s="51" t="s">
        <v>1135</v>
      </c>
      <c r="D306" s="52" t="s">
        <v>367</v>
      </c>
      <c r="E306" s="53" t="s">
        <v>1050</v>
      </c>
    </row>
    <row r="307" spans="1:5" hidden="1" x14ac:dyDescent="0.35">
      <c r="A307" s="61" t="s">
        <v>1639</v>
      </c>
      <c r="B307" s="62" t="s">
        <v>1640</v>
      </c>
      <c r="C307" s="61" t="s">
        <v>1641</v>
      </c>
      <c r="D307" s="62" t="s">
        <v>775</v>
      </c>
      <c r="E307" s="64" t="s">
        <v>1345</v>
      </c>
    </row>
    <row r="308" spans="1:5" hidden="1" x14ac:dyDescent="0.35">
      <c r="A308" s="61" t="s">
        <v>565</v>
      </c>
      <c r="B308" s="62" t="s">
        <v>566</v>
      </c>
      <c r="C308" s="61" t="s">
        <v>207</v>
      </c>
      <c r="D308" s="62" t="s">
        <v>450</v>
      </c>
      <c r="E308" s="64" t="s">
        <v>316</v>
      </c>
    </row>
    <row r="309" spans="1:5" hidden="1" x14ac:dyDescent="0.35">
      <c r="A309" s="61" t="s">
        <v>1455</v>
      </c>
      <c r="B309" s="62" t="s">
        <v>1456</v>
      </c>
      <c r="C309" s="61" t="s">
        <v>121</v>
      </c>
      <c r="D309" s="62" t="s">
        <v>1058</v>
      </c>
      <c r="E309" s="64" t="s">
        <v>1345</v>
      </c>
    </row>
    <row r="310" spans="1:5" hidden="1" x14ac:dyDescent="0.35">
      <c r="A310" s="61" t="s">
        <v>1035</v>
      </c>
      <c r="B310" s="62" t="s">
        <v>1036</v>
      </c>
      <c r="C310" s="61" t="s">
        <v>1037</v>
      </c>
      <c r="D310" s="62" t="s">
        <v>1001</v>
      </c>
      <c r="E310" s="64" t="s">
        <v>316</v>
      </c>
    </row>
    <row r="311" spans="1:5" hidden="1" x14ac:dyDescent="0.35">
      <c r="A311" s="61" t="s">
        <v>1404</v>
      </c>
      <c r="B311" s="62" t="s">
        <v>1405</v>
      </c>
      <c r="C311" s="61" t="s">
        <v>1406</v>
      </c>
      <c r="D311" s="62" t="s">
        <v>323</v>
      </c>
      <c r="E311" s="64" t="s">
        <v>1345</v>
      </c>
    </row>
    <row r="312" spans="1:5" hidden="1" x14ac:dyDescent="0.35">
      <c r="A312" s="61" t="s">
        <v>699</v>
      </c>
      <c r="B312" s="62" t="s">
        <v>700</v>
      </c>
      <c r="C312" s="61" t="s">
        <v>701</v>
      </c>
      <c r="D312" s="62" t="s">
        <v>338</v>
      </c>
      <c r="E312" s="64" t="s">
        <v>316</v>
      </c>
    </row>
    <row r="313" spans="1:5" hidden="1" x14ac:dyDescent="0.35">
      <c r="A313" s="61" t="s">
        <v>1763</v>
      </c>
      <c r="B313" s="62" t="s">
        <v>1764</v>
      </c>
      <c r="C313" s="61" t="s">
        <v>1765</v>
      </c>
      <c r="D313" s="62" t="s">
        <v>382</v>
      </c>
      <c r="E313" s="64" t="s">
        <v>1345</v>
      </c>
    </row>
    <row r="314" spans="1:5" hidden="1" x14ac:dyDescent="0.35">
      <c r="A314" s="61" t="s">
        <v>432</v>
      </c>
      <c r="B314" s="62" t="s">
        <v>433</v>
      </c>
      <c r="C314" s="61" t="s">
        <v>434</v>
      </c>
      <c r="D314" s="62" t="s">
        <v>367</v>
      </c>
      <c r="E314" s="64" t="s">
        <v>316</v>
      </c>
    </row>
    <row r="315" spans="1:5" hidden="1" x14ac:dyDescent="0.35">
      <c r="A315" s="61" t="s">
        <v>1636</v>
      </c>
      <c r="B315" s="62" t="s">
        <v>1637</v>
      </c>
      <c r="C315" s="61" t="s">
        <v>1638</v>
      </c>
      <c r="D315" s="62" t="s">
        <v>686</v>
      </c>
      <c r="E315" s="64" t="s">
        <v>1345</v>
      </c>
    </row>
    <row r="316" spans="1:5" hidden="1" x14ac:dyDescent="0.35">
      <c r="A316" s="61" t="s">
        <v>444</v>
      </c>
      <c r="B316" s="62" t="s">
        <v>445</v>
      </c>
      <c r="C316" s="61" t="s">
        <v>446</v>
      </c>
      <c r="D316" s="62" t="s">
        <v>447</v>
      </c>
      <c r="E316" s="64" t="s">
        <v>316</v>
      </c>
    </row>
    <row r="317" spans="1:5" hidden="1" x14ac:dyDescent="0.35">
      <c r="A317" s="61" t="s">
        <v>1490</v>
      </c>
      <c r="B317" s="62" t="s">
        <v>1491</v>
      </c>
      <c r="C317" s="61" t="s">
        <v>1492</v>
      </c>
      <c r="D317" s="62" t="s">
        <v>327</v>
      </c>
      <c r="E317" s="64" t="s">
        <v>1345</v>
      </c>
    </row>
    <row r="318" spans="1:5" customFormat="1" hidden="1" x14ac:dyDescent="0.35">
      <c r="A318" s="51" t="s">
        <v>1273</v>
      </c>
      <c r="B318" s="52" t="s">
        <v>1274</v>
      </c>
      <c r="C318" s="51" t="s">
        <v>1275</v>
      </c>
      <c r="D318" s="52" t="s">
        <v>1157</v>
      </c>
      <c r="E318" s="53" t="s">
        <v>1142</v>
      </c>
    </row>
    <row r="319" spans="1:5" hidden="1" x14ac:dyDescent="0.35">
      <c r="A319" s="61" t="s">
        <v>1017</v>
      </c>
      <c r="B319" s="62" t="s">
        <v>1018</v>
      </c>
      <c r="C319" s="61" t="s">
        <v>1019</v>
      </c>
      <c r="D319" s="62" t="s">
        <v>1001</v>
      </c>
      <c r="E319" s="64" t="s">
        <v>316</v>
      </c>
    </row>
    <row r="320" spans="1:5" hidden="1" x14ac:dyDescent="0.35">
      <c r="A320" s="61" t="s">
        <v>1841</v>
      </c>
      <c r="B320" s="62" t="s">
        <v>1842</v>
      </c>
      <c r="C320" s="61" t="s">
        <v>1843</v>
      </c>
      <c r="D320" s="62" t="s">
        <v>382</v>
      </c>
      <c r="E320" s="64" t="s">
        <v>1345</v>
      </c>
    </row>
    <row r="321" spans="1:5" hidden="1" x14ac:dyDescent="0.35">
      <c r="A321" s="61" t="s">
        <v>1663</v>
      </c>
      <c r="B321" s="62" t="s">
        <v>1664</v>
      </c>
      <c r="C321" s="61" t="s">
        <v>1665</v>
      </c>
      <c r="D321" s="62" t="s">
        <v>775</v>
      </c>
      <c r="E321" s="64" t="s">
        <v>1345</v>
      </c>
    </row>
    <row r="322" spans="1:5" hidden="1" x14ac:dyDescent="0.35">
      <c r="A322" s="61" t="s">
        <v>1400</v>
      </c>
      <c r="B322" s="62" t="s">
        <v>1401</v>
      </c>
      <c r="C322" s="61" t="s">
        <v>120</v>
      </c>
      <c r="D322" s="62" t="s">
        <v>1054</v>
      </c>
      <c r="E322" s="64" t="s">
        <v>1345</v>
      </c>
    </row>
    <row r="323" spans="1:5" customFormat="1" hidden="1" x14ac:dyDescent="0.35">
      <c r="A323" s="51" t="s">
        <v>1091</v>
      </c>
      <c r="B323" s="52" t="s">
        <v>1092</v>
      </c>
      <c r="C323" s="51" t="s">
        <v>1093</v>
      </c>
      <c r="D323" s="52" t="s">
        <v>686</v>
      </c>
      <c r="E323" s="53" t="s">
        <v>1050</v>
      </c>
    </row>
    <row r="324" spans="1:5" hidden="1" x14ac:dyDescent="0.35">
      <c r="A324" s="61" t="s">
        <v>339</v>
      </c>
      <c r="B324" s="62" t="s">
        <v>340</v>
      </c>
      <c r="C324" s="61" t="s">
        <v>119</v>
      </c>
      <c r="D324" s="62" t="s">
        <v>341</v>
      </c>
      <c r="E324" s="64" t="s">
        <v>316</v>
      </c>
    </row>
    <row r="325" spans="1:5" hidden="1" x14ac:dyDescent="0.35">
      <c r="A325" s="61" t="s">
        <v>1434</v>
      </c>
      <c r="B325" s="62" t="s">
        <v>1435</v>
      </c>
      <c r="C325" s="61" t="s">
        <v>1436</v>
      </c>
      <c r="D325" s="62" t="s">
        <v>363</v>
      </c>
      <c r="E325" s="64" t="s">
        <v>1345</v>
      </c>
    </row>
    <row r="326" spans="1:5" hidden="1" x14ac:dyDescent="0.35">
      <c r="A326" s="61" t="s">
        <v>1781</v>
      </c>
      <c r="B326" s="62" t="s">
        <v>1782</v>
      </c>
      <c r="C326" s="61" t="s">
        <v>1783</v>
      </c>
      <c r="D326" s="62" t="s">
        <v>382</v>
      </c>
      <c r="E326" s="64" t="s">
        <v>1345</v>
      </c>
    </row>
    <row r="327" spans="1:5" hidden="1" x14ac:dyDescent="0.35">
      <c r="A327" s="61" t="s">
        <v>1674</v>
      </c>
      <c r="B327" s="62" t="s">
        <v>1675</v>
      </c>
      <c r="C327" s="61" t="s">
        <v>192</v>
      </c>
      <c r="D327" s="66" t="s">
        <v>2081</v>
      </c>
      <c r="E327" s="64" t="s">
        <v>1345</v>
      </c>
    </row>
    <row r="328" spans="1:5" hidden="1" x14ac:dyDescent="0.35">
      <c r="A328" s="61" t="s">
        <v>1609</v>
      </c>
      <c r="B328" s="62" t="s">
        <v>1610</v>
      </c>
      <c r="C328" s="61" t="s">
        <v>1611</v>
      </c>
      <c r="D328" s="62" t="s">
        <v>363</v>
      </c>
      <c r="E328" s="64" t="s">
        <v>1345</v>
      </c>
    </row>
    <row r="329" spans="1:5" hidden="1" x14ac:dyDescent="0.35">
      <c r="A329" s="61" t="s">
        <v>992</v>
      </c>
      <c r="B329" s="62" t="s">
        <v>993</v>
      </c>
      <c r="C329" s="61" t="s">
        <v>994</v>
      </c>
      <c r="D329" s="62" t="s">
        <v>447</v>
      </c>
      <c r="E329" s="64" t="s">
        <v>316</v>
      </c>
    </row>
    <row r="330" spans="1:5" hidden="1" x14ac:dyDescent="0.35">
      <c r="A330" s="61" t="s">
        <v>1949</v>
      </c>
      <c r="B330" s="62" t="s">
        <v>1950</v>
      </c>
      <c r="C330" s="61" t="s">
        <v>1951</v>
      </c>
      <c r="D330" s="62" t="s">
        <v>1489</v>
      </c>
      <c r="E330" s="64" t="s">
        <v>1345</v>
      </c>
    </row>
    <row r="331" spans="1:5" customFormat="1" hidden="1" x14ac:dyDescent="0.35">
      <c r="A331" s="51" t="s">
        <v>1077</v>
      </c>
      <c r="B331" s="52" t="s">
        <v>1078</v>
      </c>
      <c r="C331" s="51" t="s">
        <v>1079</v>
      </c>
      <c r="D331" s="52" t="s">
        <v>1058</v>
      </c>
      <c r="E331" s="53" t="s">
        <v>1050</v>
      </c>
    </row>
    <row r="332" spans="1:5" hidden="1" x14ac:dyDescent="0.35">
      <c r="A332" s="61" t="s">
        <v>1934</v>
      </c>
      <c r="B332" s="62" t="s">
        <v>1935</v>
      </c>
      <c r="C332" s="61" t="s">
        <v>1936</v>
      </c>
      <c r="D332" s="62" t="s">
        <v>1489</v>
      </c>
      <c r="E332" s="64" t="s">
        <v>1345</v>
      </c>
    </row>
    <row r="333" spans="1:5" hidden="1" x14ac:dyDescent="0.35">
      <c r="A333" s="61" t="s">
        <v>1688</v>
      </c>
      <c r="B333" s="62" t="s">
        <v>1689</v>
      </c>
      <c r="C333" s="61" t="s">
        <v>1690</v>
      </c>
      <c r="D333" s="62" t="s">
        <v>686</v>
      </c>
      <c r="E333" s="64" t="s">
        <v>1345</v>
      </c>
    </row>
    <row r="334" spans="1:5" hidden="1" x14ac:dyDescent="0.35">
      <c r="A334" s="61" t="s">
        <v>398</v>
      </c>
      <c r="B334" s="62" t="s">
        <v>399</v>
      </c>
      <c r="C334" s="61" t="s">
        <v>400</v>
      </c>
      <c r="D334" s="62" t="s">
        <v>367</v>
      </c>
      <c r="E334" s="64" t="s">
        <v>316</v>
      </c>
    </row>
    <row r="335" spans="1:5" hidden="1" x14ac:dyDescent="0.35">
      <c r="A335" s="72">
        <v>1922447</v>
      </c>
      <c r="B335" s="74" t="s">
        <v>2212</v>
      </c>
      <c r="C335" s="76" t="s">
        <v>2213</v>
      </c>
      <c r="D335" s="66" t="s">
        <v>2232</v>
      </c>
      <c r="E335" s="77" t="s">
        <v>1345</v>
      </c>
    </row>
    <row r="336" spans="1:5" hidden="1" x14ac:dyDescent="0.35">
      <c r="A336" s="61" t="s">
        <v>1654</v>
      </c>
      <c r="B336" s="62" t="s">
        <v>1655</v>
      </c>
      <c r="C336" s="61" t="s">
        <v>1656</v>
      </c>
      <c r="D336" s="62" t="s">
        <v>334</v>
      </c>
      <c r="E336" s="64" t="s">
        <v>1345</v>
      </c>
    </row>
    <row r="337" spans="1:5" hidden="1" x14ac:dyDescent="0.35">
      <c r="A337" s="61" t="s">
        <v>1508</v>
      </c>
      <c r="B337" s="62" t="s">
        <v>1509</v>
      </c>
      <c r="C337" s="61" t="s">
        <v>1510</v>
      </c>
      <c r="D337" s="62" t="s">
        <v>345</v>
      </c>
      <c r="E337" s="64" t="s">
        <v>1345</v>
      </c>
    </row>
    <row r="338" spans="1:5" hidden="1" x14ac:dyDescent="0.35">
      <c r="A338" s="61" t="s">
        <v>364</v>
      </c>
      <c r="B338" s="62" t="s">
        <v>365</v>
      </c>
      <c r="C338" s="61" t="s">
        <v>366</v>
      </c>
      <c r="D338" s="62" t="s">
        <v>367</v>
      </c>
      <c r="E338" s="64" t="s">
        <v>316</v>
      </c>
    </row>
    <row r="339" spans="1:5" x14ac:dyDescent="0.35">
      <c r="A339" s="61" t="s">
        <v>890</v>
      </c>
      <c r="B339" s="62" t="s">
        <v>891</v>
      </c>
      <c r="C339" s="61" t="s">
        <v>892</v>
      </c>
      <c r="D339" s="62" t="s">
        <v>751</v>
      </c>
      <c r="E339" s="64" t="s">
        <v>316</v>
      </c>
    </row>
    <row r="340" spans="1:5" hidden="1" x14ac:dyDescent="0.35">
      <c r="A340" s="61" t="s">
        <v>531</v>
      </c>
      <c r="B340" s="62" t="s">
        <v>532</v>
      </c>
      <c r="C340" s="61" t="s">
        <v>533</v>
      </c>
      <c r="D340" s="62" t="s">
        <v>481</v>
      </c>
      <c r="E340" s="64" t="s">
        <v>316</v>
      </c>
    </row>
    <row r="341" spans="1:5" hidden="1" x14ac:dyDescent="0.35">
      <c r="A341" s="61" t="s">
        <v>624</v>
      </c>
      <c r="B341" s="62" t="s">
        <v>625</v>
      </c>
      <c r="C341" s="61" t="s">
        <v>626</v>
      </c>
      <c r="D341" s="62" t="s">
        <v>334</v>
      </c>
      <c r="E341" s="64" t="s">
        <v>316</v>
      </c>
    </row>
    <row r="342" spans="1:5" hidden="1" x14ac:dyDescent="0.35">
      <c r="A342" s="61" t="s">
        <v>1832</v>
      </c>
      <c r="B342" s="62" t="s">
        <v>1833</v>
      </c>
      <c r="C342" s="61" t="s">
        <v>1834</v>
      </c>
      <c r="D342" s="62" t="s">
        <v>382</v>
      </c>
      <c r="E342" s="65" t="s">
        <v>1345</v>
      </c>
    </row>
    <row r="343" spans="1:5" hidden="1" x14ac:dyDescent="0.35">
      <c r="A343" s="61" t="s">
        <v>570</v>
      </c>
      <c r="B343" s="62" t="s">
        <v>571</v>
      </c>
      <c r="C343" s="61" t="s">
        <v>572</v>
      </c>
      <c r="D343" s="62" t="s">
        <v>450</v>
      </c>
      <c r="E343" s="63" t="s">
        <v>316</v>
      </c>
    </row>
    <row r="344" spans="1:5" hidden="1" x14ac:dyDescent="0.35">
      <c r="A344" s="61" t="s">
        <v>818</v>
      </c>
      <c r="B344" s="62" t="s">
        <v>819</v>
      </c>
      <c r="C344" s="61" t="s">
        <v>820</v>
      </c>
      <c r="D344" s="62" t="s">
        <v>338</v>
      </c>
      <c r="E344" s="64" t="s">
        <v>316</v>
      </c>
    </row>
    <row r="345" spans="1:5" hidden="1" x14ac:dyDescent="0.35">
      <c r="A345" s="61" t="s">
        <v>1425</v>
      </c>
      <c r="B345" s="62" t="s">
        <v>1426</v>
      </c>
      <c r="C345" s="61" t="s">
        <v>118</v>
      </c>
      <c r="D345" s="62" t="s">
        <v>341</v>
      </c>
      <c r="E345" s="64" t="s">
        <v>1345</v>
      </c>
    </row>
    <row r="346" spans="1:5" hidden="1" x14ac:dyDescent="0.35">
      <c r="A346" s="61" t="s">
        <v>2042</v>
      </c>
      <c r="B346" s="62" t="s">
        <v>2043</v>
      </c>
      <c r="C346" s="61" t="s">
        <v>2044</v>
      </c>
      <c r="D346" s="62" t="s">
        <v>1532</v>
      </c>
      <c r="E346" s="64" t="s">
        <v>1345</v>
      </c>
    </row>
    <row r="347" spans="1:5" hidden="1" x14ac:dyDescent="0.35">
      <c r="A347" s="61" t="s">
        <v>1940</v>
      </c>
      <c r="B347" s="62" t="s">
        <v>1941</v>
      </c>
      <c r="C347" s="61" t="s">
        <v>1942</v>
      </c>
      <c r="D347" s="62" t="s">
        <v>1489</v>
      </c>
      <c r="E347" s="64" t="s">
        <v>1345</v>
      </c>
    </row>
    <row r="348" spans="1:5" hidden="1" x14ac:dyDescent="0.35">
      <c r="A348" s="61" t="s">
        <v>1859</v>
      </c>
      <c r="B348" s="62" t="s">
        <v>1860</v>
      </c>
      <c r="C348" s="61" t="s">
        <v>1861</v>
      </c>
      <c r="D348" s="62" t="s">
        <v>1430</v>
      </c>
      <c r="E348" s="64" t="s">
        <v>1345</v>
      </c>
    </row>
    <row r="349" spans="1:5" customFormat="1" hidden="1" x14ac:dyDescent="0.35">
      <c r="A349" s="51" t="s">
        <v>1106</v>
      </c>
      <c r="B349" s="52" t="s">
        <v>1107</v>
      </c>
      <c r="C349" s="51" t="s">
        <v>1108</v>
      </c>
      <c r="D349" s="52" t="s">
        <v>1058</v>
      </c>
      <c r="E349" s="53" t="s">
        <v>1050</v>
      </c>
    </row>
    <row r="350" spans="1:5" hidden="1" x14ac:dyDescent="0.35">
      <c r="A350" s="61" t="s">
        <v>776</v>
      </c>
      <c r="B350" s="62" t="s">
        <v>777</v>
      </c>
      <c r="C350" s="61" t="s">
        <v>778</v>
      </c>
      <c r="D350" s="62" t="s">
        <v>775</v>
      </c>
      <c r="E350" s="64" t="s">
        <v>316</v>
      </c>
    </row>
    <row r="351" spans="1:5" hidden="1" x14ac:dyDescent="0.35">
      <c r="A351" s="61" t="s">
        <v>1466</v>
      </c>
      <c r="B351" s="62" t="s">
        <v>1467</v>
      </c>
      <c r="C351" s="61" t="s">
        <v>117</v>
      </c>
      <c r="D351" s="62" t="s">
        <v>319</v>
      </c>
      <c r="E351" s="64" t="s">
        <v>1345</v>
      </c>
    </row>
    <row r="352" spans="1:5" hidden="1" x14ac:dyDescent="0.35">
      <c r="A352" s="61" t="s">
        <v>1564</v>
      </c>
      <c r="B352" s="62" t="s">
        <v>1565</v>
      </c>
      <c r="C352" s="61" t="s">
        <v>1566</v>
      </c>
      <c r="D352" s="62" t="s">
        <v>1551</v>
      </c>
      <c r="E352" s="64" t="s">
        <v>1345</v>
      </c>
    </row>
    <row r="353" spans="1:5" hidden="1" x14ac:dyDescent="0.35">
      <c r="A353" s="61" t="s">
        <v>1431</v>
      </c>
      <c r="B353" s="62" t="s">
        <v>1432</v>
      </c>
      <c r="C353" s="61" t="s">
        <v>1433</v>
      </c>
      <c r="D353" s="62" t="s">
        <v>349</v>
      </c>
      <c r="E353" s="64" t="s">
        <v>1345</v>
      </c>
    </row>
    <row r="354" spans="1:5" hidden="1" x14ac:dyDescent="0.35">
      <c r="A354" s="61" t="s">
        <v>1349</v>
      </c>
      <c r="B354" s="62" t="s">
        <v>1350</v>
      </c>
      <c r="C354" s="61" t="s">
        <v>116</v>
      </c>
      <c r="D354" s="62" t="s">
        <v>1054</v>
      </c>
      <c r="E354" s="64" t="s">
        <v>1345</v>
      </c>
    </row>
    <row r="355" spans="1:5" x14ac:dyDescent="0.35">
      <c r="A355" s="61" t="s">
        <v>851</v>
      </c>
      <c r="B355" s="62" t="s">
        <v>852</v>
      </c>
      <c r="C355" s="61" t="s">
        <v>853</v>
      </c>
      <c r="D355" s="62" t="s">
        <v>751</v>
      </c>
      <c r="E355" s="64" t="s">
        <v>316</v>
      </c>
    </row>
    <row r="356" spans="1:5" customFormat="1" hidden="1" x14ac:dyDescent="0.35">
      <c r="A356" s="51" t="s">
        <v>1165</v>
      </c>
      <c r="B356" s="52" t="s">
        <v>1166</v>
      </c>
      <c r="C356" s="51" t="s">
        <v>1167</v>
      </c>
      <c r="D356" s="52" t="s">
        <v>1146</v>
      </c>
      <c r="E356" s="53" t="s">
        <v>1142</v>
      </c>
    </row>
    <row r="357" spans="1:5" hidden="1" x14ac:dyDescent="0.35">
      <c r="A357" s="61" t="s">
        <v>1814</v>
      </c>
      <c r="B357" s="62" t="s">
        <v>1815</v>
      </c>
      <c r="C357" s="61" t="s">
        <v>1816</v>
      </c>
      <c r="D357" s="62" t="s">
        <v>1551</v>
      </c>
      <c r="E357" s="64" t="s">
        <v>1345</v>
      </c>
    </row>
    <row r="358" spans="1:5" hidden="1" x14ac:dyDescent="0.35">
      <c r="A358" s="61" t="s">
        <v>1731</v>
      </c>
      <c r="B358" s="62" t="s">
        <v>1732</v>
      </c>
      <c r="C358" s="61" t="s">
        <v>1733</v>
      </c>
      <c r="D358" s="62" t="s">
        <v>367</v>
      </c>
      <c r="E358" s="64" t="s">
        <v>1345</v>
      </c>
    </row>
    <row r="359" spans="1:5" hidden="1" x14ac:dyDescent="0.35">
      <c r="A359" s="61" t="s">
        <v>1354</v>
      </c>
      <c r="B359" s="62" t="s">
        <v>1355</v>
      </c>
      <c r="C359" s="61" t="s">
        <v>1356</v>
      </c>
      <c r="D359" s="62" t="s">
        <v>357</v>
      </c>
      <c r="E359" s="64" t="s">
        <v>1345</v>
      </c>
    </row>
    <row r="360" spans="1:5" hidden="1" x14ac:dyDescent="0.35">
      <c r="A360" s="61" t="s">
        <v>1820</v>
      </c>
      <c r="B360" s="62" t="s">
        <v>1821</v>
      </c>
      <c r="C360" s="61" t="s">
        <v>1822</v>
      </c>
      <c r="D360" s="62" t="s">
        <v>327</v>
      </c>
      <c r="E360" s="64" t="s">
        <v>1345</v>
      </c>
    </row>
    <row r="361" spans="1:5" hidden="1" x14ac:dyDescent="0.35">
      <c r="A361" s="61" t="s">
        <v>752</v>
      </c>
      <c r="B361" s="62" t="s">
        <v>753</v>
      </c>
      <c r="C361" s="61" t="s">
        <v>754</v>
      </c>
      <c r="D361" s="62" t="s">
        <v>367</v>
      </c>
      <c r="E361" s="64" t="s">
        <v>316</v>
      </c>
    </row>
    <row r="362" spans="1:5" customFormat="1" hidden="1" x14ac:dyDescent="0.35">
      <c r="A362" s="51" t="s">
        <v>1158</v>
      </c>
      <c r="B362" s="52" t="s">
        <v>1159</v>
      </c>
      <c r="C362" s="51" t="s">
        <v>1160</v>
      </c>
      <c r="D362" s="52" t="s">
        <v>1157</v>
      </c>
      <c r="E362" s="53" t="s">
        <v>1142</v>
      </c>
    </row>
    <row r="363" spans="1:5" hidden="1" x14ac:dyDescent="0.35">
      <c r="A363" s="72">
        <v>1922524</v>
      </c>
      <c r="B363" s="74" t="s">
        <v>2210</v>
      </c>
      <c r="C363" s="76" t="s">
        <v>2211</v>
      </c>
      <c r="D363" s="66" t="s">
        <v>2232</v>
      </c>
      <c r="E363" s="77" t="s">
        <v>1345</v>
      </c>
    </row>
    <row r="364" spans="1:5" hidden="1" x14ac:dyDescent="0.35">
      <c r="A364" s="61" t="s">
        <v>1850</v>
      </c>
      <c r="B364" s="62" t="s">
        <v>1851</v>
      </c>
      <c r="C364" s="61" t="s">
        <v>1852</v>
      </c>
      <c r="D364" s="62" t="s">
        <v>327</v>
      </c>
      <c r="E364" s="64" t="s">
        <v>1345</v>
      </c>
    </row>
    <row r="365" spans="1:5" hidden="1" x14ac:dyDescent="0.35">
      <c r="A365" s="61" t="s">
        <v>454</v>
      </c>
      <c r="B365" s="62" t="s">
        <v>455</v>
      </c>
      <c r="C365" s="61" t="s">
        <v>456</v>
      </c>
      <c r="D365" s="62" t="s">
        <v>457</v>
      </c>
      <c r="E365" s="64" t="s">
        <v>316</v>
      </c>
    </row>
    <row r="366" spans="1:5" hidden="1" x14ac:dyDescent="0.35">
      <c r="A366" s="61" t="s">
        <v>1865</v>
      </c>
      <c r="B366" s="62" t="s">
        <v>1866</v>
      </c>
      <c r="C366" s="61" t="s">
        <v>1867</v>
      </c>
      <c r="D366" s="62" t="s">
        <v>1430</v>
      </c>
      <c r="E366" s="64" t="s">
        <v>1345</v>
      </c>
    </row>
    <row r="367" spans="1:5" customFormat="1" hidden="1" x14ac:dyDescent="0.35">
      <c r="A367" s="51" t="s">
        <v>1306</v>
      </c>
      <c r="B367" s="52" t="s">
        <v>1307</v>
      </c>
      <c r="C367" s="51" t="s">
        <v>1308</v>
      </c>
      <c r="D367" s="52" t="s">
        <v>1157</v>
      </c>
      <c r="E367" s="53" t="s">
        <v>1142</v>
      </c>
    </row>
    <row r="368" spans="1:5" customFormat="1" hidden="1" x14ac:dyDescent="0.35">
      <c r="A368" s="51" t="s">
        <v>1264</v>
      </c>
      <c r="B368" s="52" t="s">
        <v>1265</v>
      </c>
      <c r="C368" s="51" t="s">
        <v>1266</v>
      </c>
      <c r="D368" s="52" t="s">
        <v>1146</v>
      </c>
      <c r="E368" s="53" t="s">
        <v>1142</v>
      </c>
    </row>
    <row r="369" spans="1:5" hidden="1" x14ac:dyDescent="0.35">
      <c r="A369" s="61" t="s">
        <v>478</v>
      </c>
      <c r="B369" s="62" t="s">
        <v>479</v>
      </c>
      <c r="C369" s="61" t="s">
        <v>480</v>
      </c>
      <c r="D369" s="62" t="s">
        <v>481</v>
      </c>
      <c r="E369" s="64" t="s">
        <v>316</v>
      </c>
    </row>
    <row r="370" spans="1:5" hidden="1" x14ac:dyDescent="0.35">
      <c r="A370" s="61" t="s">
        <v>965</v>
      </c>
      <c r="B370" s="62" t="s">
        <v>966</v>
      </c>
      <c r="C370" s="61" t="s">
        <v>967</v>
      </c>
      <c r="D370" s="62" t="s">
        <v>447</v>
      </c>
      <c r="E370" s="64" t="s">
        <v>316</v>
      </c>
    </row>
    <row r="371" spans="1:5" customFormat="1" hidden="1" x14ac:dyDescent="0.35">
      <c r="A371" s="51" t="s">
        <v>1258</v>
      </c>
      <c r="B371" s="52" t="s">
        <v>1259</v>
      </c>
      <c r="C371" s="51" t="s">
        <v>1260</v>
      </c>
      <c r="D371" s="52" t="s">
        <v>1157</v>
      </c>
      <c r="E371" s="53" t="s">
        <v>1142</v>
      </c>
    </row>
    <row r="372" spans="1:5" hidden="1" x14ac:dyDescent="0.35">
      <c r="A372" s="61" t="s">
        <v>324</v>
      </c>
      <c r="B372" s="62" t="s">
        <v>325</v>
      </c>
      <c r="C372" s="61" t="s">
        <v>326</v>
      </c>
      <c r="D372" s="62" t="s">
        <v>327</v>
      </c>
      <c r="E372" s="64" t="s">
        <v>316</v>
      </c>
    </row>
    <row r="373" spans="1:5" hidden="1" x14ac:dyDescent="0.35">
      <c r="A373" s="61" t="s">
        <v>519</v>
      </c>
      <c r="B373" s="62" t="s">
        <v>520</v>
      </c>
      <c r="C373" s="61" t="s">
        <v>521</v>
      </c>
      <c r="D373" s="62" t="s">
        <v>327</v>
      </c>
      <c r="E373" s="64" t="s">
        <v>316</v>
      </c>
    </row>
    <row r="374" spans="1:5" hidden="1" x14ac:dyDescent="0.35">
      <c r="A374" s="61" t="s">
        <v>968</v>
      </c>
      <c r="B374" s="62" t="s">
        <v>969</v>
      </c>
      <c r="C374" s="61" t="s">
        <v>970</v>
      </c>
      <c r="D374" s="62" t="s">
        <v>447</v>
      </c>
      <c r="E374" s="64" t="s">
        <v>316</v>
      </c>
    </row>
    <row r="375" spans="1:5" hidden="1" x14ac:dyDescent="0.35">
      <c r="A375" s="61" t="s">
        <v>1726</v>
      </c>
      <c r="B375" s="62" t="s">
        <v>1727</v>
      </c>
      <c r="C375" s="61" t="s">
        <v>193</v>
      </c>
      <c r="D375" s="62" t="s">
        <v>457</v>
      </c>
      <c r="E375" s="64" t="s">
        <v>1345</v>
      </c>
    </row>
    <row r="376" spans="1:5" hidden="1" x14ac:dyDescent="0.35">
      <c r="A376" s="61" t="s">
        <v>784</v>
      </c>
      <c r="B376" s="62" t="s">
        <v>785</v>
      </c>
      <c r="C376" s="61" t="s">
        <v>786</v>
      </c>
      <c r="D376" s="62" t="s">
        <v>787</v>
      </c>
      <c r="E376" s="64" t="s">
        <v>316</v>
      </c>
    </row>
    <row r="377" spans="1:5" hidden="1" x14ac:dyDescent="0.35">
      <c r="A377" s="61" t="s">
        <v>1742</v>
      </c>
      <c r="B377" s="62" t="s">
        <v>1743</v>
      </c>
      <c r="C377" s="61" t="s">
        <v>1744</v>
      </c>
      <c r="D377" s="62" t="s">
        <v>1551</v>
      </c>
      <c r="E377" s="64" t="s">
        <v>1345</v>
      </c>
    </row>
    <row r="378" spans="1:5" hidden="1" x14ac:dyDescent="0.35">
      <c r="A378" s="61" t="s">
        <v>1648</v>
      </c>
      <c r="B378" s="62" t="s">
        <v>1649</v>
      </c>
      <c r="C378" s="61" t="s">
        <v>1650</v>
      </c>
      <c r="D378" s="62" t="s">
        <v>686</v>
      </c>
      <c r="E378" s="64" t="s">
        <v>1345</v>
      </c>
    </row>
    <row r="379" spans="1:5" hidden="1" x14ac:dyDescent="0.35">
      <c r="A379" s="61" t="s">
        <v>1371</v>
      </c>
      <c r="B379" s="62" t="s">
        <v>1372</v>
      </c>
      <c r="C379" s="61" t="s">
        <v>1373</v>
      </c>
      <c r="D379" s="62" t="s">
        <v>327</v>
      </c>
      <c r="E379" s="64" t="s">
        <v>1345</v>
      </c>
    </row>
    <row r="380" spans="1:5" hidden="1" x14ac:dyDescent="0.35">
      <c r="A380" s="61" t="s">
        <v>1422</v>
      </c>
      <c r="B380" s="62" t="s">
        <v>1423</v>
      </c>
      <c r="C380" s="61" t="s">
        <v>1424</v>
      </c>
      <c r="D380" s="62" t="s">
        <v>1164</v>
      </c>
      <c r="E380" s="64" t="s">
        <v>1345</v>
      </c>
    </row>
    <row r="381" spans="1:5" hidden="1" x14ac:dyDescent="0.35">
      <c r="A381" s="61" t="s">
        <v>920</v>
      </c>
      <c r="B381" s="62" t="s">
        <v>921</v>
      </c>
      <c r="C381" s="61" t="s">
        <v>922</v>
      </c>
      <c r="D381" s="62" t="s">
        <v>375</v>
      </c>
      <c r="E381" s="64" t="s">
        <v>316</v>
      </c>
    </row>
    <row r="382" spans="1:5" hidden="1" x14ac:dyDescent="0.35">
      <c r="A382" s="61" t="s">
        <v>723</v>
      </c>
      <c r="B382" s="62" t="s">
        <v>724</v>
      </c>
      <c r="C382" s="61" t="s">
        <v>725</v>
      </c>
      <c r="D382" s="62" t="s">
        <v>656</v>
      </c>
      <c r="E382" s="64" t="s">
        <v>316</v>
      </c>
    </row>
    <row r="383" spans="1:5" hidden="1" x14ac:dyDescent="0.35">
      <c r="A383" s="61" t="s">
        <v>2027</v>
      </c>
      <c r="B383" s="62" t="s">
        <v>2028</v>
      </c>
      <c r="C383" s="61" t="s">
        <v>2029</v>
      </c>
      <c r="D383" s="62" t="s">
        <v>1532</v>
      </c>
      <c r="E383" s="64" t="s">
        <v>1345</v>
      </c>
    </row>
    <row r="384" spans="1:5" hidden="1" x14ac:dyDescent="0.35">
      <c r="A384" s="61" t="s">
        <v>406</v>
      </c>
      <c r="B384" s="62" t="s">
        <v>407</v>
      </c>
      <c r="C384" s="61" t="s">
        <v>408</v>
      </c>
      <c r="D384" s="62" t="s">
        <v>357</v>
      </c>
      <c r="E384" s="64" t="s">
        <v>316</v>
      </c>
    </row>
    <row r="385" spans="1:5" x14ac:dyDescent="0.35">
      <c r="A385" s="61" t="s">
        <v>860</v>
      </c>
      <c r="B385" s="62" t="s">
        <v>861</v>
      </c>
      <c r="C385" s="61" t="s">
        <v>862</v>
      </c>
      <c r="D385" s="62" t="s">
        <v>751</v>
      </c>
      <c r="E385" s="64" t="s">
        <v>316</v>
      </c>
    </row>
    <row r="386" spans="1:5" customFormat="1" hidden="1" x14ac:dyDescent="0.35">
      <c r="A386" s="51" t="s">
        <v>1249</v>
      </c>
      <c r="B386" s="52" t="s">
        <v>1250</v>
      </c>
      <c r="C386" s="51" t="s">
        <v>1251</v>
      </c>
      <c r="D386" s="52" t="s">
        <v>1157</v>
      </c>
      <c r="E386" s="53" t="s">
        <v>1142</v>
      </c>
    </row>
    <row r="387" spans="1:5" customFormat="1" hidden="1" x14ac:dyDescent="0.35">
      <c r="A387" s="51" t="s">
        <v>1228</v>
      </c>
      <c r="B387" s="52" t="s">
        <v>1229</v>
      </c>
      <c r="C387" s="51" t="s">
        <v>1230</v>
      </c>
      <c r="D387" s="52" t="s">
        <v>1146</v>
      </c>
      <c r="E387" s="53" t="s">
        <v>1142</v>
      </c>
    </row>
    <row r="388" spans="1:5" hidden="1" x14ac:dyDescent="0.35">
      <c r="A388" s="61" t="s">
        <v>1772</v>
      </c>
      <c r="B388" s="62" t="s">
        <v>1773</v>
      </c>
      <c r="C388" s="61" t="s">
        <v>1774</v>
      </c>
      <c r="D388" s="62" t="s">
        <v>327</v>
      </c>
      <c r="E388" s="64" t="s">
        <v>1345</v>
      </c>
    </row>
    <row r="389" spans="1:5" hidden="1" x14ac:dyDescent="0.35">
      <c r="A389" s="61" t="s">
        <v>1486</v>
      </c>
      <c r="B389" s="62" t="s">
        <v>1487</v>
      </c>
      <c r="C389" s="61" t="s">
        <v>1488</v>
      </c>
      <c r="D389" s="62" t="s">
        <v>1489</v>
      </c>
      <c r="E389" s="64" t="s">
        <v>1345</v>
      </c>
    </row>
    <row r="390" spans="1:5" hidden="1" x14ac:dyDescent="0.35">
      <c r="A390" s="61" t="s">
        <v>1734</v>
      </c>
      <c r="B390" s="62" t="s">
        <v>1735</v>
      </c>
      <c r="C390" s="61" t="s">
        <v>194</v>
      </c>
      <c r="D390" s="66" t="s">
        <v>2081</v>
      </c>
      <c r="E390" s="64" t="s">
        <v>1345</v>
      </c>
    </row>
    <row r="391" spans="1:5" hidden="1" x14ac:dyDescent="0.35">
      <c r="A391" s="61" t="s">
        <v>1394</v>
      </c>
      <c r="B391" s="62" t="s">
        <v>1395</v>
      </c>
      <c r="C391" s="61" t="s">
        <v>1396</v>
      </c>
      <c r="D391" s="62" t="s">
        <v>363</v>
      </c>
      <c r="E391" s="64" t="s">
        <v>1345</v>
      </c>
    </row>
    <row r="392" spans="1:5" hidden="1" x14ac:dyDescent="0.35">
      <c r="A392" s="61" t="s">
        <v>1410</v>
      </c>
      <c r="B392" s="62" t="s">
        <v>1411</v>
      </c>
      <c r="C392" s="61" t="s">
        <v>115</v>
      </c>
      <c r="D392" s="62" t="s">
        <v>349</v>
      </c>
      <c r="E392" s="64" t="s">
        <v>1345</v>
      </c>
    </row>
    <row r="393" spans="1:5" hidden="1" x14ac:dyDescent="0.35">
      <c r="A393" s="61" t="s">
        <v>671</v>
      </c>
      <c r="B393" s="62" t="s">
        <v>672</v>
      </c>
      <c r="C393" s="61" t="s">
        <v>673</v>
      </c>
      <c r="D393" s="62" t="s">
        <v>371</v>
      </c>
      <c r="E393" s="64" t="s">
        <v>316</v>
      </c>
    </row>
    <row r="394" spans="1:5" hidden="1" x14ac:dyDescent="0.35">
      <c r="A394" s="61" t="s">
        <v>726</v>
      </c>
      <c r="B394" s="62" t="s">
        <v>727</v>
      </c>
      <c r="C394" s="61" t="s">
        <v>195</v>
      </c>
      <c r="D394" s="62" t="s">
        <v>397</v>
      </c>
      <c r="E394" s="64" t="s">
        <v>316</v>
      </c>
    </row>
    <row r="395" spans="1:5" hidden="1" x14ac:dyDescent="0.35">
      <c r="A395" s="61" t="s">
        <v>696</v>
      </c>
      <c r="B395" s="62" t="s">
        <v>697</v>
      </c>
      <c r="C395" s="61" t="s">
        <v>698</v>
      </c>
      <c r="D395" s="62" t="s">
        <v>656</v>
      </c>
      <c r="E395" s="64" t="s">
        <v>316</v>
      </c>
    </row>
    <row r="396" spans="1:5" hidden="1" x14ac:dyDescent="0.35">
      <c r="A396" s="61" t="s">
        <v>589</v>
      </c>
      <c r="B396" s="62" t="s">
        <v>590</v>
      </c>
      <c r="C396" s="61" t="s">
        <v>591</v>
      </c>
      <c r="D396" s="62" t="s">
        <v>397</v>
      </c>
      <c r="E396" s="64" t="s">
        <v>316</v>
      </c>
    </row>
    <row r="397" spans="1:5" hidden="1" x14ac:dyDescent="0.35">
      <c r="A397" s="61" t="s">
        <v>1412</v>
      </c>
      <c r="B397" s="62" t="s">
        <v>1413</v>
      </c>
      <c r="C397" s="61" t="s">
        <v>1414</v>
      </c>
      <c r="D397" s="62" t="s">
        <v>686</v>
      </c>
      <c r="E397" s="64" t="s">
        <v>1345</v>
      </c>
    </row>
    <row r="398" spans="1:5" x14ac:dyDescent="0.35">
      <c r="A398" s="61" t="s">
        <v>893</v>
      </c>
      <c r="B398" s="62" t="s">
        <v>894</v>
      </c>
      <c r="C398" s="61" t="s">
        <v>895</v>
      </c>
      <c r="D398" s="62" t="s">
        <v>751</v>
      </c>
      <c r="E398" s="64" t="s">
        <v>316</v>
      </c>
    </row>
    <row r="399" spans="1:5" hidden="1" x14ac:dyDescent="0.35">
      <c r="A399" s="61" t="s">
        <v>651</v>
      </c>
      <c r="B399" s="62" t="s">
        <v>652</v>
      </c>
      <c r="C399" s="61" t="s">
        <v>196</v>
      </c>
      <c r="D399" s="62" t="s">
        <v>397</v>
      </c>
      <c r="E399" s="64" t="s">
        <v>316</v>
      </c>
    </row>
    <row r="400" spans="1:5" hidden="1" x14ac:dyDescent="0.35">
      <c r="A400" s="61" t="s">
        <v>1645</v>
      </c>
      <c r="B400" s="62" t="s">
        <v>1646</v>
      </c>
      <c r="C400" s="61" t="s">
        <v>1647</v>
      </c>
      <c r="D400" s="62" t="s">
        <v>357</v>
      </c>
      <c r="E400" s="64" t="s">
        <v>1345</v>
      </c>
    </row>
    <row r="401" spans="1:5" hidden="1" x14ac:dyDescent="0.35">
      <c r="A401" s="61" t="s">
        <v>1672</v>
      </c>
      <c r="B401" s="62" t="s">
        <v>1673</v>
      </c>
      <c r="C401" s="61" t="s">
        <v>197</v>
      </c>
      <c r="D401" s="62" t="s">
        <v>457</v>
      </c>
      <c r="E401" s="64" t="s">
        <v>1345</v>
      </c>
    </row>
    <row r="402" spans="1:5" customFormat="1" hidden="1" x14ac:dyDescent="0.35">
      <c r="A402" s="51" t="s">
        <v>1255</v>
      </c>
      <c r="B402" s="52" t="s">
        <v>1256</v>
      </c>
      <c r="C402" s="51" t="s">
        <v>1257</v>
      </c>
      <c r="D402" s="52" t="s">
        <v>1146</v>
      </c>
      <c r="E402" s="53" t="s">
        <v>1142</v>
      </c>
    </row>
    <row r="403" spans="1:5" customFormat="1" hidden="1" x14ac:dyDescent="0.35">
      <c r="A403" s="51" t="s">
        <v>1225</v>
      </c>
      <c r="B403" s="52" t="s">
        <v>1226</v>
      </c>
      <c r="C403" s="51" t="s">
        <v>1227</v>
      </c>
      <c r="D403" s="52" t="s">
        <v>1146</v>
      </c>
      <c r="E403" s="53" t="s">
        <v>1142</v>
      </c>
    </row>
    <row r="404" spans="1:5" customFormat="1" hidden="1" x14ac:dyDescent="0.35">
      <c r="A404" s="51" t="s">
        <v>1177</v>
      </c>
      <c r="B404" s="52" t="s">
        <v>1178</v>
      </c>
      <c r="C404" s="51" t="s">
        <v>1179</v>
      </c>
      <c r="D404" s="52" t="s">
        <v>1157</v>
      </c>
      <c r="E404" s="53" t="s">
        <v>1142</v>
      </c>
    </row>
    <row r="405" spans="1:5" hidden="1" x14ac:dyDescent="0.35">
      <c r="A405" s="61" t="s">
        <v>953</v>
      </c>
      <c r="B405" s="62" t="s">
        <v>954</v>
      </c>
      <c r="C405" s="61" t="s">
        <v>955</v>
      </c>
      <c r="D405" s="62" t="s">
        <v>447</v>
      </c>
      <c r="E405" s="64" t="s">
        <v>316</v>
      </c>
    </row>
    <row r="406" spans="1:5" customFormat="1" hidden="1" x14ac:dyDescent="0.35">
      <c r="A406" s="51" t="s">
        <v>1252</v>
      </c>
      <c r="B406" s="52" t="s">
        <v>1253</v>
      </c>
      <c r="C406" s="51" t="s">
        <v>1254</v>
      </c>
      <c r="D406" s="52" t="s">
        <v>1146</v>
      </c>
      <c r="E406" s="53" t="s">
        <v>1142</v>
      </c>
    </row>
    <row r="407" spans="1:5" hidden="1" x14ac:dyDescent="0.35">
      <c r="A407" s="61" t="s">
        <v>482</v>
      </c>
      <c r="B407" s="62" t="s">
        <v>483</v>
      </c>
      <c r="C407" s="61" t="s">
        <v>484</v>
      </c>
      <c r="D407" s="62" t="s">
        <v>481</v>
      </c>
      <c r="E407" s="64" t="s">
        <v>316</v>
      </c>
    </row>
    <row r="408" spans="1:5" hidden="1" x14ac:dyDescent="0.35">
      <c r="A408" s="61" t="s">
        <v>1973</v>
      </c>
      <c r="B408" s="62" t="s">
        <v>1974</v>
      </c>
      <c r="C408" s="61" t="s">
        <v>1975</v>
      </c>
      <c r="D408" s="62" t="s">
        <v>1476</v>
      </c>
      <c r="E408" s="64" t="s">
        <v>1345</v>
      </c>
    </row>
    <row r="409" spans="1:5" hidden="1" x14ac:dyDescent="0.35">
      <c r="A409" s="61" t="s">
        <v>501</v>
      </c>
      <c r="B409" s="62" t="s">
        <v>502</v>
      </c>
      <c r="C409" s="61" t="s">
        <v>503</v>
      </c>
      <c r="D409" s="62" t="s">
        <v>363</v>
      </c>
      <c r="E409" s="64" t="s">
        <v>316</v>
      </c>
    </row>
    <row r="410" spans="1:5" hidden="1" x14ac:dyDescent="0.35">
      <c r="A410" s="61" t="s">
        <v>1715</v>
      </c>
      <c r="B410" s="62" t="s">
        <v>1716</v>
      </c>
      <c r="C410" s="61" t="s">
        <v>1717</v>
      </c>
      <c r="D410" s="62" t="s">
        <v>1551</v>
      </c>
      <c r="E410" s="64" t="s">
        <v>1345</v>
      </c>
    </row>
    <row r="411" spans="1:5" hidden="1" x14ac:dyDescent="0.35">
      <c r="A411" s="61">
        <v>2122536</v>
      </c>
      <c r="B411" s="62" t="s">
        <v>1699</v>
      </c>
      <c r="C411" s="61" t="s">
        <v>198</v>
      </c>
      <c r="D411" s="62" t="s">
        <v>2081</v>
      </c>
      <c r="E411" s="64" t="s">
        <v>1345</v>
      </c>
    </row>
    <row r="412" spans="1:5" customFormat="1" hidden="1" x14ac:dyDescent="0.35">
      <c r="A412" s="51" t="s">
        <v>1100</v>
      </c>
      <c r="B412" s="52" t="s">
        <v>1101</v>
      </c>
      <c r="C412" s="51" t="s">
        <v>1102</v>
      </c>
      <c r="D412" s="52" t="s">
        <v>1058</v>
      </c>
      <c r="E412" s="53" t="s">
        <v>1050</v>
      </c>
    </row>
    <row r="413" spans="1:5" hidden="1" x14ac:dyDescent="0.35">
      <c r="A413" s="61" t="s">
        <v>2060</v>
      </c>
      <c r="B413" s="62" t="s">
        <v>2061</v>
      </c>
      <c r="C413" s="61" t="s">
        <v>2062</v>
      </c>
      <c r="D413" s="62" t="s">
        <v>357</v>
      </c>
      <c r="E413" s="64" t="s">
        <v>1345</v>
      </c>
    </row>
    <row r="414" spans="1:5" hidden="1" x14ac:dyDescent="0.35">
      <c r="A414" s="61" t="s">
        <v>1570</v>
      </c>
      <c r="B414" s="62" t="s">
        <v>1571</v>
      </c>
      <c r="C414" s="61" t="s">
        <v>1572</v>
      </c>
      <c r="D414" s="62" t="s">
        <v>367</v>
      </c>
      <c r="E414" s="64" t="s">
        <v>1345</v>
      </c>
    </row>
    <row r="415" spans="1:5" hidden="1" x14ac:dyDescent="0.35">
      <c r="A415" s="61" t="s">
        <v>769</v>
      </c>
      <c r="B415" s="62" t="s">
        <v>770</v>
      </c>
      <c r="C415" s="61" t="s">
        <v>771</v>
      </c>
      <c r="D415" s="62" t="s">
        <v>338</v>
      </c>
      <c r="E415" s="64" t="s">
        <v>316</v>
      </c>
    </row>
    <row r="416" spans="1:5" hidden="1" x14ac:dyDescent="0.35">
      <c r="A416" s="61" t="s">
        <v>573</v>
      </c>
      <c r="B416" s="62" t="s">
        <v>574</v>
      </c>
      <c r="C416" s="61" t="s">
        <v>575</v>
      </c>
      <c r="D416" s="62" t="s">
        <v>371</v>
      </c>
      <c r="E416" s="64" t="s">
        <v>316</v>
      </c>
    </row>
    <row r="417" spans="1:5" hidden="1" x14ac:dyDescent="0.35">
      <c r="A417" s="61" t="s">
        <v>827</v>
      </c>
      <c r="B417" s="62" t="s">
        <v>828</v>
      </c>
      <c r="C417" s="61" t="s">
        <v>829</v>
      </c>
      <c r="D417" s="62" t="s">
        <v>327</v>
      </c>
      <c r="E417" s="64" t="s">
        <v>316</v>
      </c>
    </row>
    <row r="418" spans="1:5" hidden="1" x14ac:dyDescent="0.35">
      <c r="A418" s="61" t="s">
        <v>905</v>
      </c>
      <c r="B418" s="62" t="s">
        <v>906</v>
      </c>
      <c r="C418" s="61" t="s">
        <v>907</v>
      </c>
      <c r="D418" s="62" t="s">
        <v>375</v>
      </c>
      <c r="E418" s="64" t="s">
        <v>316</v>
      </c>
    </row>
    <row r="419" spans="1:5" customFormat="1" hidden="1" x14ac:dyDescent="0.35">
      <c r="A419" s="51" t="s">
        <v>1112</v>
      </c>
      <c r="B419" s="52" t="s">
        <v>1113</v>
      </c>
      <c r="C419" s="51" t="s">
        <v>1114</v>
      </c>
      <c r="D419" s="52" t="s">
        <v>686</v>
      </c>
      <c r="E419" s="53" t="s">
        <v>1050</v>
      </c>
    </row>
    <row r="420" spans="1:5" hidden="1" x14ac:dyDescent="0.35">
      <c r="A420" s="61" t="s">
        <v>1555</v>
      </c>
      <c r="B420" s="62" t="s">
        <v>1556</v>
      </c>
      <c r="C420" s="61" t="s">
        <v>1557</v>
      </c>
      <c r="D420" s="62" t="s">
        <v>1551</v>
      </c>
      <c r="E420" s="64" t="s">
        <v>1345</v>
      </c>
    </row>
    <row r="421" spans="1:5" x14ac:dyDescent="0.35">
      <c r="A421" s="61" t="s">
        <v>839</v>
      </c>
      <c r="B421" s="62" t="s">
        <v>840</v>
      </c>
      <c r="C421" s="61" t="s">
        <v>841</v>
      </c>
      <c r="D421" s="62" t="s">
        <v>751</v>
      </c>
      <c r="E421" s="64" t="s">
        <v>316</v>
      </c>
    </row>
    <row r="422" spans="1:5" hidden="1" x14ac:dyDescent="0.35">
      <c r="A422" s="61" t="s">
        <v>358</v>
      </c>
      <c r="B422" s="62" t="s">
        <v>359</v>
      </c>
      <c r="C422" s="61" t="s">
        <v>114</v>
      </c>
      <c r="D422" s="62" t="s">
        <v>330</v>
      </c>
      <c r="E422" s="64" t="s">
        <v>316</v>
      </c>
    </row>
    <row r="423" spans="1:5" hidden="1" x14ac:dyDescent="0.35">
      <c r="A423" s="61" t="s">
        <v>1694</v>
      </c>
      <c r="B423" s="62" t="s">
        <v>1695</v>
      </c>
      <c r="C423" s="61" t="s">
        <v>1696</v>
      </c>
      <c r="D423" s="62" t="s">
        <v>1551</v>
      </c>
      <c r="E423" s="64" t="s">
        <v>1345</v>
      </c>
    </row>
    <row r="424" spans="1:5" hidden="1" x14ac:dyDescent="0.35">
      <c r="A424" s="72">
        <v>2162683</v>
      </c>
      <c r="B424" s="74" t="s">
        <v>2228</v>
      </c>
      <c r="C424" s="76" t="s">
        <v>2229</v>
      </c>
      <c r="D424" s="66" t="s">
        <v>2232</v>
      </c>
      <c r="E424" s="77" t="s">
        <v>1345</v>
      </c>
    </row>
    <row r="425" spans="1:5" hidden="1" x14ac:dyDescent="0.35">
      <c r="A425" s="61" t="s">
        <v>902</v>
      </c>
      <c r="B425" s="62" t="s">
        <v>903</v>
      </c>
      <c r="C425" s="61" t="s">
        <v>904</v>
      </c>
      <c r="D425" s="62" t="s">
        <v>375</v>
      </c>
      <c r="E425" s="64" t="s">
        <v>316</v>
      </c>
    </row>
    <row r="426" spans="1:5" customFormat="1" hidden="1" x14ac:dyDescent="0.35">
      <c r="A426" s="51" t="s">
        <v>1285</v>
      </c>
      <c r="B426" s="52" t="s">
        <v>1286</v>
      </c>
      <c r="C426" s="51" t="s">
        <v>1287</v>
      </c>
      <c r="D426" s="52" t="s">
        <v>1157</v>
      </c>
      <c r="E426" s="53" t="s">
        <v>1142</v>
      </c>
    </row>
    <row r="427" spans="1:5" hidden="1" x14ac:dyDescent="0.35">
      <c r="A427" s="61" t="s">
        <v>1623</v>
      </c>
      <c r="B427" s="62" t="s">
        <v>1624</v>
      </c>
      <c r="C427" s="61" t="s">
        <v>184</v>
      </c>
      <c r="D427" s="62" t="s">
        <v>357</v>
      </c>
      <c r="E427" s="64" t="s">
        <v>1345</v>
      </c>
    </row>
    <row r="428" spans="1:5" hidden="1" x14ac:dyDescent="0.35">
      <c r="A428" s="61" t="s">
        <v>772</v>
      </c>
      <c r="B428" s="62" t="s">
        <v>773</v>
      </c>
      <c r="C428" s="61" t="s">
        <v>774</v>
      </c>
      <c r="D428" s="62" t="s">
        <v>775</v>
      </c>
      <c r="E428" s="64" t="s">
        <v>316</v>
      </c>
    </row>
    <row r="429" spans="1:5" hidden="1" x14ac:dyDescent="0.35">
      <c r="A429" s="61" t="s">
        <v>788</v>
      </c>
      <c r="B429" s="62" t="s">
        <v>789</v>
      </c>
      <c r="C429" s="61" t="s">
        <v>790</v>
      </c>
      <c r="D429" s="62" t="s">
        <v>457</v>
      </c>
      <c r="E429" s="64" t="s">
        <v>316</v>
      </c>
    </row>
    <row r="430" spans="1:5" hidden="1" x14ac:dyDescent="0.35">
      <c r="A430" s="61" t="s">
        <v>513</v>
      </c>
      <c r="B430" s="62" t="s">
        <v>514</v>
      </c>
      <c r="C430" s="61" t="s">
        <v>515</v>
      </c>
      <c r="D430" s="62" t="s">
        <v>481</v>
      </c>
      <c r="E430" s="64" t="s">
        <v>316</v>
      </c>
    </row>
    <row r="431" spans="1:5" hidden="1" x14ac:dyDescent="0.35">
      <c r="A431" s="61" t="s">
        <v>426</v>
      </c>
      <c r="B431" s="62" t="s">
        <v>427</v>
      </c>
      <c r="C431" s="61" t="s">
        <v>428</v>
      </c>
      <c r="D431" s="62" t="s">
        <v>367</v>
      </c>
      <c r="E431" s="64" t="s">
        <v>316</v>
      </c>
    </row>
    <row r="432" spans="1:5" hidden="1" x14ac:dyDescent="0.35">
      <c r="A432" s="61" t="s">
        <v>2036</v>
      </c>
      <c r="B432" s="62" t="s">
        <v>2037</v>
      </c>
      <c r="C432" s="61" t="s">
        <v>2038</v>
      </c>
      <c r="D432" s="62" t="s">
        <v>1532</v>
      </c>
      <c r="E432" s="64" t="s">
        <v>1345</v>
      </c>
    </row>
    <row r="433" spans="1:5" hidden="1" x14ac:dyDescent="0.35">
      <c r="A433" s="61" t="s">
        <v>355</v>
      </c>
      <c r="B433" s="62" t="s">
        <v>356</v>
      </c>
      <c r="C433" s="61" t="s">
        <v>113</v>
      </c>
      <c r="D433" s="62" t="s">
        <v>357</v>
      </c>
      <c r="E433" s="64" t="s">
        <v>316</v>
      </c>
    </row>
    <row r="434" spans="1:5" customFormat="1" hidden="1" x14ac:dyDescent="0.35">
      <c r="A434" s="51" t="s">
        <v>1174</v>
      </c>
      <c r="B434" s="52" t="s">
        <v>1175</v>
      </c>
      <c r="C434" s="51" t="s">
        <v>1176</v>
      </c>
      <c r="D434" s="52" t="s">
        <v>1157</v>
      </c>
      <c r="E434" s="53" t="s">
        <v>1142</v>
      </c>
    </row>
    <row r="435" spans="1:5" hidden="1" x14ac:dyDescent="0.35">
      <c r="A435" s="61" t="s">
        <v>2000</v>
      </c>
      <c r="B435" s="62" t="s">
        <v>2001</v>
      </c>
      <c r="C435" s="61" t="s">
        <v>2002</v>
      </c>
      <c r="D435" s="62" t="s">
        <v>1476</v>
      </c>
      <c r="E435" s="64" t="s">
        <v>1345</v>
      </c>
    </row>
    <row r="436" spans="1:5" hidden="1" x14ac:dyDescent="0.35">
      <c r="A436" s="61" t="s">
        <v>1988</v>
      </c>
      <c r="B436" s="62" t="s">
        <v>1989</v>
      </c>
      <c r="C436" s="61" t="s">
        <v>1990</v>
      </c>
      <c r="D436" s="62" t="s">
        <v>1532</v>
      </c>
      <c r="E436" s="64" t="s">
        <v>1345</v>
      </c>
    </row>
    <row r="437" spans="1:5" hidden="1" x14ac:dyDescent="0.35">
      <c r="A437" s="61" t="s">
        <v>1008</v>
      </c>
      <c r="B437" s="62" t="s">
        <v>1009</v>
      </c>
      <c r="C437" s="61" t="s">
        <v>1010</v>
      </c>
      <c r="D437" s="62" t="s">
        <v>1001</v>
      </c>
      <c r="E437" s="64" t="s">
        <v>316</v>
      </c>
    </row>
    <row r="438" spans="1:5" hidden="1" x14ac:dyDescent="0.35">
      <c r="A438" s="61" t="s">
        <v>1620</v>
      </c>
      <c r="B438" s="62" t="s">
        <v>1621</v>
      </c>
      <c r="C438" s="61" t="s">
        <v>1622</v>
      </c>
      <c r="D438" s="62" t="s">
        <v>357</v>
      </c>
      <c r="E438" s="64" t="s">
        <v>1345</v>
      </c>
    </row>
    <row r="439" spans="1:5" hidden="1" x14ac:dyDescent="0.35">
      <c r="A439" s="61" t="s">
        <v>926</v>
      </c>
      <c r="B439" s="62" t="s">
        <v>927</v>
      </c>
      <c r="C439" s="61" t="s">
        <v>928</v>
      </c>
      <c r="D439" s="62" t="s">
        <v>375</v>
      </c>
      <c r="E439" s="64" t="s">
        <v>316</v>
      </c>
    </row>
    <row r="440" spans="1:5" hidden="1" x14ac:dyDescent="0.35">
      <c r="A440" s="61" t="s">
        <v>728</v>
      </c>
      <c r="B440" s="62" t="s">
        <v>729</v>
      </c>
      <c r="C440" s="61" t="s">
        <v>730</v>
      </c>
      <c r="D440" s="62" t="s">
        <v>656</v>
      </c>
      <c r="E440" s="64" t="s">
        <v>316</v>
      </c>
    </row>
    <row r="441" spans="1:5" hidden="1" x14ac:dyDescent="0.35">
      <c r="A441" s="61" t="s">
        <v>610</v>
      </c>
      <c r="B441" s="62" t="s">
        <v>611</v>
      </c>
      <c r="C441" s="61" t="s">
        <v>612</v>
      </c>
      <c r="D441" s="62" t="s">
        <v>450</v>
      </c>
      <c r="E441" s="64" t="s">
        <v>316</v>
      </c>
    </row>
    <row r="442" spans="1:5" hidden="1" x14ac:dyDescent="0.35">
      <c r="A442" s="61" t="s">
        <v>1502</v>
      </c>
      <c r="B442" s="62" t="s">
        <v>1503</v>
      </c>
      <c r="C442" s="61" t="s">
        <v>1504</v>
      </c>
      <c r="D442" s="62" t="s">
        <v>345</v>
      </c>
      <c r="E442" s="64" t="s">
        <v>1345</v>
      </c>
    </row>
    <row r="443" spans="1:5" hidden="1" x14ac:dyDescent="0.35">
      <c r="A443" s="61" t="s">
        <v>604</v>
      </c>
      <c r="B443" s="62" t="s">
        <v>605</v>
      </c>
      <c r="C443" s="61" t="s">
        <v>606</v>
      </c>
      <c r="D443" s="62" t="s">
        <v>481</v>
      </c>
      <c r="E443" s="64" t="s">
        <v>316</v>
      </c>
    </row>
    <row r="444" spans="1:5" hidden="1" x14ac:dyDescent="0.35">
      <c r="A444" s="61" t="s">
        <v>498</v>
      </c>
      <c r="B444" s="62" t="s">
        <v>499</v>
      </c>
      <c r="C444" s="61" t="s">
        <v>500</v>
      </c>
      <c r="D444" s="62" t="s">
        <v>481</v>
      </c>
      <c r="E444" s="64" t="s">
        <v>316</v>
      </c>
    </row>
    <row r="445" spans="1:5" hidden="1" x14ac:dyDescent="0.35">
      <c r="A445" s="61" t="s">
        <v>745</v>
      </c>
      <c r="B445" s="62" t="s">
        <v>746</v>
      </c>
      <c r="C445" s="61" t="s">
        <v>747</v>
      </c>
      <c r="D445" s="62" t="s">
        <v>656</v>
      </c>
      <c r="E445" s="64" t="s">
        <v>316</v>
      </c>
    </row>
    <row r="446" spans="1:5" hidden="1" x14ac:dyDescent="0.35">
      <c r="A446" s="61" t="s">
        <v>1588</v>
      </c>
      <c r="B446" s="62" t="s">
        <v>1589</v>
      </c>
      <c r="C446" s="61" t="s">
        <v>1590</v>
      </c>
      <c r="D446" s="66" t="s">
        <v>2081</v>
      </c>
      <c r="E446" s="64" t="s">
        <v>1345</v>
      </c>
    </row>
    <row r="447" spans="1:5" customFormat="1" hidden="1" x14ac:dyDescent="0.35">
      <c r="A447" s="51" t="s">
        <v>1336</v>
      </c>
      <c r="B447" s="52" t="s">
        <v>1337</v>
      </c>
      <c r="C447" s="51" t="s">
        <v>1338</v>
      </c>
      <c r="D447" s="52" t="s">
        <v>1153</v>
      </c>
      <c r="E447" s="53" t="s">
        <v>1142</v>
      </c>
    </row>
    <row r="448" spans="1:5" hidden="1" x14ac:dyDescent="0.35">
      <c r="A448" s="61" t="s">
        <v>2048</v>
      </c>
      <c r="B448" s="62" t="s">
        <v>2049</v>
      </c>
      <c r="C448" s="61" t="s">
        <v>2050</v>
      </c>
      <c r="D448" s="62" t="s">
        <v>1532</v>
      </c>
      <c r="E448" s="64" t="s">
        <v>1345</v>
      </c>
    </row>
    <row r="449" spans="1:5" hidden="1" x14ac:dyDescent="0.35">
      <c r="A449" s="61" t="s">
        <v>598</v>
      </c>
      <c r="B449" s="62" t="s">
        <v>599</v>
      </c>
      <c r="C449" s="61" t="s">
        <v>600</v>
      </c>
      <c r="D449" s="62" t="s">
        <v>481</v>
      </c>
      <c r="E449" s="64" t="s">
        <v>316</v>
      </c>
    </row>
    <row r="450" spans="1:5" hidden="1" x14ac:dyDescent="0.35">
      <c r="A450" s="61" t="s">
        <v>736</v>
      </c>
      <c r="B450" s="62" t="s">
        <v>737</v>
      </c>
      <c r="C450" s="61" t="s">
        <v>738</v>
      </c>
      <c r="D450" s="62" t="s">
        <v>338</v>
      </c>
      <c r="E450" s="64" t="s">
        <v>316</v>
      </c>
    </row>
    <row r="451" spans="1:5" hidden="1" x14ac:dyDescent="0.35">
      <c r="A451" s="61" t="s">
        <v>690</v>
      </c>
      <c r="B451" s="62" t="s">
        <v>691</v>
      </c>
      <c r="C451" s="61" t="s">
        <v>692</v>
      </c>
      <c r="D451" s="62" t="s">
        <v>656</v>
      </c>
      <c r="E451" s="64" t="s">
        <v>316</v>
      </c>
    </row>
    <row r="452" spans="1:5" hidden="1" x14ac:dyDescent="0.35">
      <c r="A452" s="61" t="s">
        <v>950</v>
      </c>
      <c r="B452" s="62" t="s">
        <v>951</v>
      </c>
      <c r="C452" s="61" t="s">
        <v>952</v>
      </c>
      <c r="D452" s="62" t="s">
        <v>375</v>
      </c>
      <c r="E452" s="64" t="s">
        <v>316</v>
      </c>
    </row>
    <row r="453" spans="1:5" hidden="1" x14ac:dyDescent="0.35">
      <c r="A453" s="61" t="s">
        <v>995</v>
      </c>
      <c r="B453" s="62" t="s">
        <v>996</v>
      </c>
      <c r="C453" s="61" t="s">
        <v>997</v>
      </c>
      <c r="D453" s="62" t="s">
        <v>447</v>
      </c>
      <c r="E453" s="64" t="s">
        <v>316</v>
      </c>
    </row>
    <row r="454" spans="1:5" hidden="1" x14ac:dyDescent="0.35">
      <c r="A454" s="61" t="s">
        <v>1871</v>
      </c>
      <c r="B454" s="62" t="s">
        <v>1872</v>
      </c>
      <c r="C454" s="61" t="s">
        <v>1873</v>
      </c>
      <c r="D454" s="62" t="s">
        <v>1430</v>
      </c>
      <c r="E454" s="64" t="s">
        <v>1345</v>
      </c>
    </row>
    <row r="455" spans="1:5" hidden="1" x14ac:dyDescent="0.35">
      <c r="A455" s="61" t="s">
        <v>1415</v>
      </c>
      <c r="B455" s="62" t="s">
        <v>1416</v>
      </c>
      <c r="C455" s="61" t="s">
        <v>1417</v>
      </c>
      <c r="D455" s="62" t="s">
        <v>1058</v>
      </c>
      <c r="E455" s="64" t="s">
        <v>1345</v>
      </c>
    </row>
    <row r="456" spans="1:5" hidden="1" x14ac:dyDescent="0.35">
      <c r="A456" s="61" t="s">
        <v>1597</v>
      </c>
      <c r="B456" s="62" t="s">
        <v>1598</v>
      </c>
      <c r="C456" s="61" t="s">
        <v>1599</v>
      </c>
      <c r="D456" s="62" t="s">
        <v>686</v>
      </c>
      <c r="E456" s="64" t="s">
        <v>1345</v>
      </c>
    </row>
    <row r="457" spans="1:5" hidden="1" x14ac:dyDescent="0.35">
      <c r="A457" s="61" t="s">
        <v>1357</v>
      </c>
      <c r="B457" s="62" t="s">
        <v>1358</v>
      </c>
      <c r="C457" s="61" t="s">
        <v>1359</v>
      </c>
      <c r="D457" s="62" t="s">
        <v>1360</v>
      </c>
      <c r="E457" s="64" t="s">
        <v>1345</v>
      </c>
    </row>
    <row r="458" spans="1:5" customFormat="1" hidden="1" x14ac:dyDescent="0.35">
      <c r="A458" s="51" t="s">
        <v>1318</v>
      </c>
      <c r="B458" s="52" t="s">
        <v>1319</v>
      </c>
      <c r="C458" s="51" t="s">
        <v>1320</v>
      </c>
      <c r="D458" s="52" t="s">
        <v>1157</v>
      </c>
      <c r="E458" s="53" t="s">
        <v>1142</v>
      </c>
    </row>
    <row r="459" spans="1:5" customFormat="1" hidden="1" x14ac:dyDescent="0.35">
      <c r="A459" s="51" t="s">
        <v>1270</v>
      </c>
      <c r="B459" s="52" t="s">
        <v>1271</v>
      </c>
      <c r="C459" s="51" t="s">
        <v>1272</v>
      </c>
      <c r="D459" s="52" t="s">
        <v>1153</v>
      </c>
      <c r="E459" s="53" t="s">
        <v>1142</v>
      </c>
    </row>
    <row r="460" spans="1:5" customFormat="1" hidden="1" x14ac:dyDescent="0.35">
      <c r="A460" s="51" t="s">
        <v>1294</v>
      </c>
      <c r="B460" s="52" t="s">
        <v>1295</v>
      </c>
      <c r="C460" s="51" t="s">
        <v>1296</v>
      </c>
      <c r="D460" s="52" t="s">
        <v>1157</v>
      </c>
      <c r="E460" s="53" t="s">
        <v>1142</v>
      </c>
    </row>
    <row r="461" spans="1:5" customFormat="1" hidden="1" x14ac:dyDescent="0.35">
      <c r="A461" s="51" t="s">
        <v>1180</v>
      </c>
      <c r="B461" s="52" t="s">
        <v>1181</v>
      </c>
      <c r="C461" s="51" t="s">
        <v>1182</v>
      </c>
      <c r="D461" s="52" t="s">
        <v>1157</v>
      </c>
      <c r="E461" s="53" t="s">
        <v>1142</v>
      </c>
    </row>
    <row r="462" spans="1:5" hidden="1" x14ac:dyDescent="0.35">
      <c r="A462" s="61" t="s">
        <v>2012</v>
      </c>
      <c r="B462" s="62" t="s">
        <v>2013</v>
      </c>
      <c r="C462" s="61" t="s">
        <v>2014</v>
      </c>
      <c r="D462" s="62" t="s">
        <v>1532</v>
      </c>
      <c r="E462" s="64" t="s">
        <v>1345</v>
      </c>
    </row>
    <row r="463" spans="1:5" hidden="1" x14ac:dyDescent="0.35">
      <c r="A463" s="61" t="s">
        <v>320</v>
      </c>
      <c r="B463" s="62" t="s">
        <v>321</v>
      </c>
      <c r="C463" s="61" t="s">
        <v>322</v>
      </c>
      <c r="D463" s="62" t="s">
        <v>323</v>
      </c>
      <c r="E463" s="64" t="s">
        <v>316</v>
      </c>
    </row>
    <row r="464" spans="1:5" hidden="1" x14ac:dyDescent="0.35">
      <c r="A464" s="61" t="s">
        <v>2006</v>
      </c>
      <c r="B464" s="62" t="s">
        <v>2007</v>
      </c>
      <c r="C464" s="61" t="s">
        <v>2008</v>
      </c>
      <c r="D464" s="62" t="s">
        <v>1532</v>
      </c>
      <c r="E464" s="64" t="s">
        <v>1345</v>
      </c>
    </row>
    <row r="465" spans="1:5" customFormat="1" hidden="1" x14ac:dyDescent="0.35">
      <c r="A465" s="51" t="s">
        <v>1327</v>
      </c>
      <c r="B465" s="52" t="s">
        <v>1328</v>
      </c>
      <c r="C465" s="51" t="s">
        <v>1329</v>
      </c>
      <c r="D465" s="52" t="s">
        <v>1153</v>
      </c>
      <c r="E465" s="53" t="s">
        <v>1142</v>
      </c>
    </row>
    <row r="466" spans="1:5" customFormat="1" hidden="1" x14ac:dyDescent="0.35">
      <c r="A466" s="51" t="s">
        <v>1147</v>
      </c>
      <c r="B466" s="52" t="s">
        <v>1148</v>
      </c>
      <c r="C466" s="51" t="s">
        <v>1149</v>
      </c>
      <c r="D466" s="52" t="s">
        <v>1146</v>
      </c>
      <c r="E466" s="53" t="s">
        <v>1142</v>
      </c>
    </row>
    <row r="467" spans="1:5" customFormat="1" hidden="1" x14ac:dyDescent="0.35">
      <c r="A467" s="51" t="s">
        <v>1279</v>
      </c>
      <c r="B467" s="52" t="s">
        <v>1280</v>
      </c>
      <c r="C467" s="51" t="s">
        <v>1281</v>
      </c>
      <c r="D467" s="52" t="s">
        <v>1157</v>
      </c>
      <c r="E467" s="53" t="s">
        <v>1142</v>
      </c>
    </row>
    <row r="468" spans="1:5" customFormat="1" hidden="1" x14ac:dyDescent="0.35">
      <c r="A468" s="51" t="s">
        <v>1234</v>
      </c>
      <c r="B468" s="52" t="s">
        <v>1235</v>
      </c>
      <c r="C468" s="51" t="s">
        <v>1236</v>
      </c>
      <c r="D468" s="52" t="s">
        <v>1153</v>
      </c>
      <c r="E468" s="53" t="s">
        <v>1142</v>
      </c>
    </row>
    <row r="469" spans="1:5" customFormat="1" hidden="1" x14ac:dyDescent="0.35">
      <c r="A469" s="51" t="s">
        <v>1291</v>
      </c>
      <c r="B469" s="52" t="s">
        <v>1292</v>
      </c>
      <c r="C469" s="51" t="s">
        <v>1293</v>
      </c>
      <c r="D469" s="52" t="s">
        <v>1157</v>
      </c>
      <c r="E469" s="53" t="s">
        <v>1142</v>
      </c>
    </row>
    <row r="470" spans="1:5" customFormat="1" hidden="1" x14ac:dyDescent="0.35">
      <c r="A470" s="51" t="s">
        <v>1333</v>
      </c>
      <c r="B470" s="52" t="s">
        <v>1334</v>
      </c>
      <c r="C470" s="51" t="s">
        <v>1335</v>
      </c>
      <c r="D470" s="52" t="s">
        <v>1153</v>
      </c>
      <c r="E470" s="53" t="s">
        <v>1142</v>
      </c>
    </row>
    <row r="471" spans="1:5" hidden="1" x14ac:dyDescent="0.35">
      <c r="A471" s="61" t="s">
        <v>423</v>
      </c>
      <c r="B471" s="62" t="s">
        <v>424</v>
      </c>
      <c r="C471" s="61" t="s">
        <v>425</v>
      </c>
      <c r="D471" s="62" t="s">
        <v>345</v>
      </c>
      <c r="E471" s="64" t="s">
        <v>316</v>
      </c>
    </row>
    <row r="472" spans="1:5" hidden="1" x14ac:dyDescent="0.35">
      <c r="A472" s="61" t="s">
        <v>1703</v>
      </c>
      <c r="B472" s="62" t="s">
        <v>1704</v>
      </c>
      <c r="C472" s="61" t="s">
        <v>200</v>
      </c>
      <c r="D472" s="66" t="s">
        <v>2081</v>
      </c>
      <c r="E472" s="64" t="s">
        <v>1345</v>
      </c>
    </row>
    <row r="473" spans="1:5" hidden="1" x14ac:dyDescent="0.35">
      <c r="A473" s="61" t="s">
        <v>1784</v>
      </c>
      <c r="B473" s="62" t="s">
        <v>1785</v>
      </c>
      <c r="C473" s="61" t="s">
        <v>1786</v>
      </c>
      <c r="D473" s="62" t="s">
        <v>382</v>
      </c>
      <c r="E473" s="64" t="s">
        <v>1345</v>
      </c>
    </row>
    <row r="474" spans="1:5" hidden="1" x14ac:dyDescent="0.35">
      <c r="A474" s="61" t="s">
        <v>1029</v>
      </c>
      <c r="B474" s="62" t="s">
        <v>1030</v>
      </c>
      <c r="C474" s="61" t="s">
        <v>1031</v>
      </c>
      <c r="D474" s="62" t="s">
        <v>1001</v>
      </c>
      <c r="E474" s="64" t="s">
        <v>316</v>
      </c>
    </row>
    <row r="475" spans="1:5" customFormat="1" hidden="1" x14ac:dyDescent="0.35">
      <c r="A475" s="51" t="s">
        <v>1267</v>
      </c>
      <c r="B475" s="52" t="s">
        <v>1268</v>
      </c>
      <c r="C475" s="51" t="s">
        <v>1269</v>
      </c>
      <c r="D475" s="52" t="s">
        <v>1157</v>
      </c>
      <c r="E475" s="53" t="s">
        <v>1142</v>
      </c>
    </row>
    <row r="476" spans="1:5" hidden="1" x14ac:dyDescent="0.35">
      <c r="A476" s="61" t="s">
        <v>1682</v>
      </c>
      <c r="B476" s="62" t="s">
        <v>1683</v>
      </c>
      <c r="C476" s="61" t="s">
        <v>1684</v>
      </c>
      <c r="D476" s="62" t="s">
        <v>457</v>
      </c>
      <c r="E476" s="64" t="s">
        <v>1345</v>
      </c>
    </row>
    <row r="477" spans="1:5" hidden="1" x14ac:dyDescent="0.35">
      <c r="A477" s="61" t="s">
        <v>1754</v>
      </c>
      <c r="B477" s="62" t="s">
        <v>1755</v>
      </c>
      <c r="C477" s="61" t="s">
        <v>1756</v>
      </c>
      <c r="D477" s="62" t="s">
        <v>1714</v>
      </c>
      <c r="E477" s="64" t="s">
        <v>1345</v>
      </c>
    </row>
    <row r="478" spans="1:5" hidden="1" x14ac:dyDescent="0.35">
      <c r="A478" s="61" t="s">
        <v>1386</v>
      </c>
      <c r="B478" s="62" t="s">
        <v>1387</v>
      </c>
      <c r="C478" s="61" t="s">
        <v>1388</v>
      </c>
      <c r="D478" s="62" t="s">
        <v>334</v>
      </c>
      <c r="E478" s="64" t="s">
        <v>1345</v>
      </c>
    </row>
    <row r="479" spans="1:5" hidden="1" x14ac:dyDescent="0.35">
      <c r="A479" s="61" t="s">
        <v>1038</v>
      </c>
      <c r="B479" s="62" t="s">
        <v>1039</v>
      </c>
      <c r="C479" s="61" t="s">
        <v>1040</v>
      </c>
      <c r="D479" s="62" t="s">
        <v>1001</v>
      </c>
      <c r="E479" s="64" t="s">
        <v>316</v>
      </c>
    </row>
    <row r="480" spans="1:5" hidden="1" x14ac:dyDescent="0.35">
      <c r="A480" s="61" t="s">
        <v>386</v>
      </c>
      <c r="B480" s="62" t="s">
        <v>387</v>
      </c>
      <c r="C480" s="61" t="s">
        <v>388</v>
      </c>
      <c r="D480" s="62" t="s">
        <v>382</v>
      </c>
      <c r="E480" s="64" t="s">
        <v>316</v>
      </c>
    </row>
    <row r="481" spans="1:5" hidden="1" x14ac:dyDescent="0.35">
      <c r="A481" s="61" t="s">
        <v>1991</v>
      </c>
      <c r="B481" s="62" t="s">
        <v>1992</v>
      </c>
      <c r="C481" s="61" t="s">
        <v>1993</v>
      </c>
      <c r="D481" s="62" t="s">
        <v>1532</v>
      </c>
      <c r="E481" s="64" t="s">
        <v>1345</v>
      </c>
    </row>
    <row r="482" spans="1:5" hidden="1" x14ac:dyDescent="0.35">
      <c r="A482" s="61" t="s">
        <v>947</v>
      </c>
      <c r="B482" s="62" t="s">
        <v>948</v>
      </c>
      <c r="C482" s="61" t="s">
        <v>949</v>
      </c>
      <c r="D482" s="62" t="s">
        <v>375</v>
      </c>
      <c r="E482" s="64" t="s">
        <v>316</v>
      </c>
    </row>
    <row r="483" spans="1:5" hidden="1" x14ac:dyDescent="0.35">
      <c r="A483" s="61" t="s">
        <v>504</v>
      </c>
      <c r="B483" s="62" t="s">
        <v>505</v>
      </c>
      <c r="C483" s="61" t="s">
        <v>506</v>
      </c>
      <c r="D483" s="62" t="s">
        <v>363</v>
      </c>
      <c r="E483" s="64" t="s">
        <v>316</v>
      </c>
    </row>
    <row r="484" spans="1:5" hidden="1" x14ac:dyDescent="0.35">
      <c r="A484" s="61" t="s">
        <v>1835</v>
      </c>
      <c r="B484" s="62" t="s">
        <v>1836</v>
      </c>
      <c r="C484" s="61" t="s">
        <v>1837</v>
      </c>
      <c r="D484" s="62" t="s">
        <v>371</v>
      </c>
      <c r="E484" s="64" t="s">
        <v>1345</v>
      </c>
    </row>
    <row r="485" spans="1:5" hidden="1" x14ac:dyDescent="0.35">
      <c r="A485" s="61" t="s">
        <v>1723</v>
      </c>
      <c r="B485" s="62" t="s">
        <v>1724</v>
      </c>
      <c r="C485" s="61" t="s">
        <v>1725</v>
      </c>
      <c r="D485" s="62" t="s">
        <v>1551</v>
      </c>
      <c r="E485" s="64" t="s">
        <v>1345</v>
      </c>
    </row>
    <row r="486" spans="1:5" hidden="1" x14ac:dyDescent="0.35">
      <c r="A486" s="61" t="s">
        <v>1985</v>
      </c>
      <c r="B486" s="62" t="s">
        <v>1986</v>
      </c>
      <c r="C486" s="61" t="s">
        <v>1987</v>
      </c>
      <c r="D486" s="62" t="s">
        <v>1532</v>
      </c>
      <c r="E486" s="64" t="s">
        <v>1345</v>
      </c>
    </row>
    <row r="487" spans="1:5" hidden="1" x14ac:dyDescent="0.35">
      <c r="A487" s="61" t="s">
        <v>782</v>
      </c>
      <c r="B487" s="62" t="s">
        <v>783</v>
      </c>
      <c r="C487" s="61" t="s">
        <v>201</v>
      </c>
      <c r="D487" s="62" t="s">
        <v>397</v>
      </c>
      <c r="E487" s="64" t="s">
        <v>316</v>
      </c>
    </row>
    <row r="488" spans="1:5" customFormat="1" hidden="1" x14ac:dyDescent="0.35">
      <c r="A488" s="51" t="s">
        <v>1321</v>
      </c>
      <c r="B488" s="52" t="s">
        <v>1322</v>
      </c>
      <c r="C488" s="51" t="s">
        <v>1323</v>
      </c>
      <c r="D488" s="52" t="s">
        <v>1153</v>
      </c>
      <c r="E488" s="53" t="s">
        <v>1142</v>
      </c>
    </row>
    <row r="489" spans="1:5" customFormat="1" hidden="1" x14ac:dyDescent="0.35">
      <c r="A489" s="51" t="s">
        <v>1243</v>
      </c>
      <c r="B489" s="52" t="s">
        <v>1244</v>
      </c>
      <c r="C489" s="51" t="s">
        <v>1245</v>
      </c>
      <c r="D489" s="52" t="s">
        <v>1146</v>
      </c>
      <c r="E489" s="53" t="s">
        <v>1142</v>
      </c>
    </row>
    <row r="490" spans="1:5" customFormat="1" hidden="1" x14ac:dyDescent="0.35">
      <c r="A490" s="51" t="s">
        <v>1246</v>
      </c>
      <c r="B490" s="52" t="s">
        <v>1247</v>
      </c>
      <c r="C490" s="51" t="s">
        <v>1248</v>
      </c>
      <c r="D490" s="52" t="s">
        <v>1157</v>
      </c>
      <c r="E490" s="53" t="s">
        <v>1142</v>
      </c>
    </row>
    <row r="491" spans="1:5" hidden="1" x14ac:dyDescent="0.35">
      <c r="A491" s="61" t="s">
        <v>824</v>
      </c>
      <c r="B491" s="62" t="s">
        <v>825</v>
      </c>
      <c r="C491" s="61" t="s">
        <v>826</v>
      </c>
      <c r="D491" s="62" t="s">
        <v>338</v>
      </c>
      <c r="E491" s="64" t="s">
        <v>316</v>
      </c>
    </row>
    <row r="492" spans="1:5" hidden="1" x14ac:dyDescent="0.35">
      <c r="A492" s="61" t="s">
        <v>420</v>
      </c>
      <c r="B492" s="62" t="s">
        <v>421</v>
      </c>
      <c r="C492" s="61" t="s">
        <v>422</v>
      </c>
      <c r="D492" s="62" t="s">
        <v>349</v>
      </c>
      <c r="E492" s="64" t="s">
        <v>316</v>
      </c>
    </row>
    <row r="493" spans="1:5" hidden="1" x14ac:dyDescent="0.35">
      <c r="A493" s="61" t="s">
        <v>1539</v>
      </c>
      <c r="B493" s="62" t="s">
        <v>1540</v>
      </c>
      <c r="C493" s="61" t="s">
        <v>1541</v>
      </c>
      <c r="D493" s="62" t="s">
        <v>1054</v>
      </c>
      <c r="E493" s="64" t="s">
        <v>1345</v>
      </c>
    </row>
    <row r="494" spans="1:5" hidden="1" x14ac:dyDescent="0.35">
      <c r="A494" s="61" t="s">
        <v>932</v>
      </c>
      <c r="B494" s="62" t="s">
        <v>933</v>
      </c>
      <c r="C494" s="61" t="s">
        <v>934</v>
      </c>
      <c r="D494" s="62" t="s">
        <v>375</v>
      </c>
      <c r="E494" s="64" t="s">
        <v>316</v>
      </c>
    </row>
    <row r="495" spans="1:5" customFormat="1" hidden="1" x14ac:dyDescent="0.35">
      <c r="A495" s="51" t="s">
        <v>1068</v>
      </c>
      <c r="B495" s="52" t="s">
        <v>1069</v>
      </c>
      <c r="C495" s="51" t="s">
        <v>1070</v>
      </c>
      <c r="D495" s="52" t="s">
        <v>775</v>
      </c>
      <c r="E495" s="53" t="s">
        <v>1050</v>
      </c>
    </row>
    <row r="496" spans="1:5" x14ac:dyDescent="0.35">
      <c r="A496" s="61" t="s">
        <v>748</v>
      </c>
      <c r="B496" s="62" t="s">
        <v>749</v>
      </c>
      <c r="C496" s="61" t="s">
        <v>750</v>
      </c>
      <c r="D496" s="62" t="s">
        <v>751</v>
      </c>
      <c r="E496" s="64" t="s">
        <v>316</v>
      </c>
    </row>
    <row r="497" spans="1:5" hidden="1" x14ac:dyDescent="0.35">
      <c r="A497" s="61" t="s">
        <v>683</v>
      </c>
      <c r="B497" s="62" t="s">
        <v>684</v>
      </c>
      <c r="C497" s="61" t="s">
        <v>685</v>
      </c>
      <c r="D497" s="62" t="s">
        <v>686</v>
      </c>
      <c r="E497" s="64" t="s">
        <v>316</v>
      </c>
    </row>
    <row r="498" spans="1:5" hidden="1" x14ac:dyDescent="0.35">
      <c r="A498" s="61" t="s">
        <v>618</v>
      </c>
      <c r="B498" s="62" t="s">
        <v>619</v>
      </c>
      <c r="C498" s="61" t="s">
        <v>620</v>
      </c>
      <c r="D498" s="62" t="s">
        <v>397</v>
      </c>
      <c r="E498" s="64" t="s">
        <v>316</v>
      </c>
    </row>
    <row r="499" spans="1:5" hidden="1" x14ac:dyDescent="0.35">
      <c r="A499" s="61" t="s">
        <v>487</v>
      </c>
      <c r="B499" s="62" t="s">
        <v>488</v>
      </c>
      <c r="C499" s="61" t="s">
        <v>489</v>
      </c>
      <c r="D499" s="62" t="s">
        <v>357</v>
      </c>
      <c r="E499" s="64" t="s">
        <v>316</v>
      </c>
    </row>
    <row r="500" spans="1:5" customFormat="1" hidden="1" x14ac:dyDescent="0.35">
      <c r="A500" s="51" t="s">
        <v>1330</v>
      </c>
      <c r="B500" s="52" t="s">
        <v>1331</v>
      </c>
      <c r="C500" s="51" t="s">
        <v>1332</v>
      </c>
      <c r="D500" s="52" t="s">
        <v>1153</v>
      </c>
      <c r="E500" s="53" t="s">
        <v>1142</v>
      </c>
    </row>
    <row r="501" spans="1:5" hidden="1" x14ac:dyDescent="0.35">
      <c r="A501" s="61" t="s">
        <v>1603</v>
      </c>
      <c r="B501" s="62" t="s">
        <v>1604</v>
      </c>
      <c r="C501" s="61" t="s">
        <v>1605</v>
      </c>
      <c r="D501" s="62" t="s">
        <v>481</v>
      </c>
      <c r="E501" s="64" t="s">
        <v>1345</v>
      </c>
    </row>
    <row r="502" spans="1:5" hidden="1" x14ac:dyDescent="0.35">
      <c r="A502" s="61" t="s">
        <v>1676</v>
      </c>
      <c r="B502" s="62" t="s">
        <v>1677</v>
      </c>
      <c r="C502" s="61" t="s">
        <v>1678</v>
      </c>
      <c r="D502" s="62" t="s">
        <v>457</v>
      </c>
      <c r="E502" s="64" t="s">
        <v>1345</v>
      </c>
    </row>
    <row r="503" spans="1:5" hidden="1" x14ac:dyDescent="0.35">
      <c r="A503" s="61" t="s">
        <v>2021</v>
      </c>
      <c r="B503" s="62" t="s">
        <v>2022</v>
      </c>
      <c r="C503" s="61" t="s">
        <v>2023</v>
      </c>
      <c r="D503" s="62" t="s">
        <v>1532</v>
      </c>
      <c r="E503" s="64" t="s">
        <v>1345</v>
      </c>
    </row>
    <row r="504" spans="1:5" customFormat="1" hidden="1" x14ac:dyDescent="0.35">
      <c r="A504" s="51" t="s">
        <v>1339</v>
      </c>
      <c r="B504" s="52" t="s">
        <v>1340</v>
      </c>
      <c r="C504" s="51" t="s">
        <v>1341</v>
      </c>
      <c r="D504" s="52" t="s">
        <v>1153</v>
      </c>
      <c r="E504" s="53" t="s">
        <v>1142</v>
      </c>
    </row>
    <row r="505" spans="1:5" hidden="1" x14ac:dyDescent="0.35">
      <c r="A505" s="61" t="s">
        <v>1567</v>
      </c>
      <c r="B505" s="62" t="s">
        <v>1568</v>
      </c>
      <c r="C505" s="61" t="s">
        <v>1569</v>
      </c>
      <c r="D505" s="62" t="s">
        <v>457</v>
      </c>
      <c r="E505" s="64" t="s">
        <v>1345</v>
      </c>
    </row>
    <row r="506" spans="1:5" hidden="1" x14ac:dyDescent="0.35">
      <c r="A506" s="61" t="s">
        <v>1697</v>
      </c>
      <c r="B506" s="62" t="s">
        <v>1698</v>
      </c>
      <c r="C506" s="61" t="s">
        <v>203</v>
      </c>
      <c r="D506" s="66" t="s">
        <v>2081</v>
      </c>
      <c r="E506" s="64" t="s">
        <v>1345</v>
      </c>
    </row>
    <row r="507" spans="1:5" hidden="1" x14ac:dyDescent="0.35">
      <c r="A507" s="61" t="s">
        <v>1700</v>
      </c>
      <c r="B507" s="62" t="s">
        <v>1701</v>
      </c>
      <c r="C507" s="61" t="s">
        <v>1702</v>
      </c>
      <c r="D507" s="62" t="s">
        <v>457</v>
      </c>
      <c r="E507" s="64" t="s">
        <v>1345</v>
      </c>
    </row>
    <row r="508" spans="1:5" hidden="1" x14ac:dyDescent="0.35">
      <c r="A508" s="61" t="s">
        <v>1522</v>
      </c>
      <c r="B508" s="62" t="s">
        <v>1523</v>
      </c>
      <c r="C508" s="61" t="s">
        <v>111</v>
      </c>
      <c r="D508" s="62" t="s">
        <v>319</v>
      </c>
      <c r="E508" s="64" t="s">
        <v>1345</v>
      </c>
    </row>
    <row r="509" spans="1:5" hidden="1" x14ac:dyDescent="0.35">
      <c r="A509" s="61" t="s">
        <v>1817</v>
      </c>
      <c r="B509" s="62" t="s">
        <v>1818</v>
      </c>
      <c r="C509" s="61" t="s">
        <v>1819</v>
      </c>
      <c r="D509" s="62" t="s">
        <v>1714</v>
      </c>
      <c r="E509" s="64" t="s">
        <v>1345</v>
      </c>
    </row>
    <row r="510" spans="1:5" hidden="1" x14ac:dyDescent="0.35">
      <c r="A510" s="61" t="s">
        <v>1368</v>
      </c>
      <c r="B510" s="62" t="s">
        <v>1369</v>
      </c>
      <c r="C510" s="61" t="s">
        <v>1370</v>
      </c>
      <c r="D510" s="62" t="s">
        <v>1054</v>
      </c>
      <c r="E510" s="64" t="s">
        <v>1345</v>
      </c>
    </row>
    <row r="511" spans="1:5" customFormat="1" hidden="1" x14ac:dyDescent="0.35">
      <c r="A511" s="51" t="s">
        <v>1324</v>
      </c>
      <c r="B511" s="52" t="s">
        <v>1325</v>
      </c>
      <c r="C511" s="51" t="s">
        <v>1326</v>
      </c>
      <c r="D511" s="52" t="s">
        <v>1153</v>
      </c>
      <c r="E511" s="53" t="s">
        <v>1142</v>
      </c>
    </row>
    <row r="512" spans="1:5" customFormat="1" hidden="1" x14ac:dyDescent="0.35">
      <c r="A512" s="51" t="s">
        <v>1288</v>
      </c>
      <c r="B512" s="52" t="s">
        <v>1289</v>
      </c>
      <c r="C512" s="51" t="s">
        <v>1290</v>
      </c>
      <c r="D512" s="52" t="s">
        <v>1157</v>
      </c>
      <c r="E512" s="53" t="s">
        <v>1142</v>
      </c>
    </row>
    <row r="513" spans="1:5" hidden="1" x14ac:dyDescent="0.35">
      <c r="A513" s="61" t="s">
        <v>645</v>
      </c>
      <c r="B513" s="62" t="s">
        <v>646</v>
      </c>
      <c r="C513" s="61" t="s">
        <v>647</v>
      </c>
      <c r="D513" s="62" t="s">
        <v>371</v>
      </c>
      <c r="E513" s="64" t="s">
        <v>316</v>
      </c>
    </row>
    <row r="514" spans="1:5" customFormat="1" hidden="1" x14ac:dyDescent="0.35">
      <c r="A514" s="51" t="s">
        <v>1213</v>
      </c>
      <c r="B514" s="52" t="s">
        <v>1214</v>
      </c>
      <c r="C514" s="51" t="s">
        <v>1215</v>
      </c>
      <c r="D514" s="52" t="s">
        <v>1146</v>
      </c>
      <c r="E514" s="53" t="s">
        <v>1142</v>
      </c>
    </row>
    <row r="515" spans="1:5" hidden="1" x14ac:dyDescent="0.35">
      <c r="A515" s="61" t="s">
        <v>1811</v>
      </c>
      <c r="B515" s="62" t="s">
        <v>1812</v>
      </c>
      <c r="C515" s="61" t="s">
        <v>1813</v>
      </c>
      <c r="D515" s="62" t="s">
        <v>371</v>
      </c>
      <c r="E515" s="64" t="s">
        <v>1345</v>
      </c>
    </row>
    <row r="516" spans="1:5" hidden="1" x14ac:dyDescent="0.35">
      <c r="A516" s="61" t="s">
        <v>1660</v>
      </c>
      <c r="B516" s="62" t="s">
        <v>1661</v>
      </c>
      <c r="C516" s="61" t="s">
        <v>1662</v>
      </c>
      <c r="D516" s="62" t="s">
        <v>334</v>
      </c>
      <c r="E516" s="64" t="s">
        <v>1345</v>
      </c>
    </row>
    <row r="517" spans="1:5" hidden="1" x14ac:dyDescent="0.35">
      <c r="A517" s="61" t="s">
        <v>1997</v>
      </c>
      <c r="B517" s="62" t="s">
        <v>1998</v>
      </c>
      <c r="C517" s="61" t="s">
        <v>1999</v>
      </c>
      <c r="D517" s="62" t="s">
        <v>1532</v>
      </c>
      <c r="E517" s="64" t="s">
        <v>1345</v>
      </c>
    </row>
    <row r="518" spans="1:5" hidden="1" x14ac:dyDescent="0.35">
      <c r="A518" s="61" t="s">
        <v>812</v>
      </c>
      <c r="B518" s="62" t="s">
        <v>813</v>
      </c>
      <c r="C518" s="61" t="s">
        <v>814</v>
      </c>
      <c r="D518" s="62" t="s">
        <v>481</v>
      </c>
      <c r="E518" s="64" t="s">
        <v>316</v>
      </c>
    </row>
    <row r="519" spans="1:5" hidden="1" x14ac:dyDescent="0.35">
      <c r="A519" s="61" t="s">
        <v>914</v>
      </c>
      <c r="B519" s="62" t="s">
        <v>915</v>
      </c>
      <c r="C519" s="61" t="s">
        <v>916</v>
      </c>
      <c r="D519" s="62" t="s">
        <v>375</v>
      </c>
      <c r="E519" s="64" t="s">
        <v>316</v>
      </c>
    </row>
    <row r="520" spans="1:5" hidden="1" x14ac:dyDescent="0.35">
      <c r="A520" s="61" t="s">
        <v>379</v>
      </c>
      <c r="B520" s="62" t="s">
        <v>380</v>
      </c>
      <c r="C520" s="61" t="s">
        <v>381</v>
      </c>
      <c r="D520" s="62" t="s">
        <v>382</v>
      </c>
      <c r="E520" s="64" t="s">
        <v>316</v>
      </c>
    </row>
    <row r="521" spans="1:5" hidden="1" x14ac:dyDescent="0.35">
      <c r="A521" s="61" t="s">
        <v>472</v>
      </c>
      <c r="B521" s="62" t="s">
        <v>473</v>
      </c>
      <c r="C521" s="61" t="s">
        <v>474</v>
      </c>
      <c r="D521" s="62" t="s">
        <v>450</v>
      </c>
      <c r="E521" s="64" t="s">
        <v>316</v>
      </c>
    </row>
    <row r="522" spans="1:5" hidden="1" x14ac:dyDescent="0.35">
      <c r="A522" s="61" t="s">
        <v>983</v>
      </c>
      <c r="B522" s="62" t="s">
        <v>984</v>
      </c>
      <c r="C522" s="61" t="s">
        <v>985</v>
      </c>
      <c r="D522" s="62" t="s">
        <v>447</v>
      </c>
      <c r="E522" s="64" t="s">
        <v>316</v>
      </c>
    </row>
    <row r="523" spans="1:5" hidden="1" x14ac:dyDescent="0.35">
      <c r="A523" s="61" t="s">
        <v>1579</v>
      </c>
      <c r="B523" s="62" t="s">
        <v>1580</v>
      </c>
      <c r="C523" s="61" t="s">
        <v>1581</v>
      </c>
      <c r="D523" s="62" t="s">
        <v>367</v>
      </c>
      <c r="E523" s="64" t="s">
        <v>1345</v>
      </c>
    </row>
    <row r="524" spans="1:5" hidden="1" x14ac:dyDescent="0.35">
      <c r="A524" s="61" t="s">
        <v>1760</v>
      </c>
      <c r="B524" s="62" t="s">
        <v>1761</v>
      </c>
      <c r="C524" s="61" t="s">
        <v>1762</v>
      </c>
      <c r="D524" s="62" t="s">
        <v>1714</v>
      </c>
      <c r="E524" s="64" t="s">
        <v>1345</v>
      </c>
    </row>
    <row r="525" spans="1:5" hidden="1" x14ac:dyDescent="0.35">
      <c r="A525" s="61" t="s">
        <v>1826</v>
      </c>
      <c r="B525" s="62" t="s">
        <v>1827</v>
      </c>
      <c r="C525" s="61" t="s">
        <v>1828</v>
      </c>
      <c r="D525" s="62" t="s">
        <v>371</v>
      </c>
      <c r="E525" s="64" t="s">
        <v>1345</v>
      </c>
    </row>
    <row r="526" spans="1:5" hidden="1" x14ac:dyDescent="0.35">
      <c r="A526" s="61" t="s">
        <v>1705</v>
      </c>
      <c r="B526" s="62" t="s">
        <v>1706</v>
      </c>
      <c r="C526" s="61" t="s">
        <v>1707</v>
      </c>
      <c r="D526" s="62" t="s">
        <v>357</v>
      </c>
      <c r="E526" s="64" t="s">
        <v>1345</v>
      </c>
    </row>
    <row r="527" spans="1:5" hidden="1" x14ac:dyDescent="0.35">
      <c r="A527" s="61" t="s">
        <v>2030</v>
      </c>
      <c r="B527" s="62" t="s">
        <v>2031</v>
      </c>
      <c r="C527" s="61" t="s">
        <v>2032</v>
      </c>
      <c r="D527" s="62" t="s">
        <v>1532</v>
      </c>
      <c r="E527" s="64" t="s">
        <v>1345</v>
      </c>
    </row>
    <row r="528" spans="1:5" hidden="1" x14ac:dyDescent="0.35">
      <c r="A528" s="61" t="s">
        <v>510</v>
      </c>
      <c r="B528" s="62" t="s">
        <v>511</v>
      </c>
      <c r="C528" s="61" t="s">
        <v>512</v>
      </c>
      <c r="D528" s="62" t="s">
        <v>345</v>
      </c>
      <c r="E528" s="64" t="s">
        <v>316</v>
      </c>
    </row>
    <row r="529" spans="1:5" hidden="1" x14ac:dyDescent="0.35">
      <c r="A529" s="61" t="s">
        <v>1407</v>
      </c>
      <c r="B529" s="62" t="s">
        <v>1408</v>
      </c>
      <c r="C529" s="61" t="s">
        <v>1409</v>
      </c>
      <c r="D529" s="62" t="s">
        <v>775</v>
      </c>
      <c r="E529" s="64" t="s">
        <v>1345</v>
      </c>
    </row>
    <row r="530" spans="1:5" x14ac:dyDescent="0.35">
      <c r="A530" s="61" t="s">
        <v>896</v>
      </c>
      <c r="B530" s="62" t="s">
        <v>897</v>
      </c>
      <c r="C530" s="61" t="s">
        <v>898</v>
      </c>
      <c r="D530" s="62" t="s">
        <v>751</v>
      </c>
      <c r="E530" s="64" t="s">
        <v>316</v>
      </c>
    </row>
    <row r="531" spans="1:5" customFormat="1" hidden="1" x14ac:dyDescent="0.35">
      <c r="A531" s="51" t="s">
        <v>1124</v>
      </c>
      <c r="B531" s="52" t="s">
        <v>1125</v>
      </c>
      <c r="C531" s="51" t="s">
        <v>1126</v>
      </c>
      <c r="D531" s="52" t="s">
        <v>334</v>
      </c>
      <c r="E531" s="53" t="s">
        <v>1050</v>
      </c>
    </row>
    <row r="532" spans="1:5" hidden="1" x14ac:dyDescent="0.35">
      <c r="A532" s="61" t="s">
        <v>1044</v>
      </c>
      <c r="B532" s="62" t="s">
        <v>1045</v>
      </c>
      <c r="C532" s="61" t="s">
        <v>1046</v>
      </c>
      <c r="D532" s="62" t="s">
        <v>1001</v>
      </c>
      <c r="E532" s="64" t="s">
        <v>316</v>
      </c>
    </row>
    <row r="533" spans="1:5" x14ac:dyDescent="0.35">
      <c r="A533" s="61" t="s">
        <v>866</v>
      </c>
      <c r="B533" s="62" t="s">
        <v>867</v>
      </c>
      <c r="C533" s="61" t="s">
        <v>868</v>
      </c>
      <c r="D533" s="62" t="s">
        <v>751</v>
      </c>
      <c r="E533" s="64" t="s">
        <v>316</v>
      </c>
    </row>
    <row r="534" spans="1:5" hidden="1" x14ac:dyDescent="0.35">
      <c r="A534" s="61" t="s">
        <v>1952</v>
      </c>
      <c r="B534" s="62" t="s">
        <v>1953</v>
      </c>
      <c r="C534" s="61" t="s">
        <v>1954</v>
      </c>
      <c r="D534" s="62" t="s">
        <v>1532</v>
      </c>
      <c r="E534" s="64" t="s">
        <v>1345</v>
      </c>
    </row>
    <row r="535" spans="1:5" hidden="1" x14ac:dyDescent="0.35">
      <c r="A535" s="61" t="s">
        <v>989</v>
      </c>
      <c r="B535" s="62" t="s">
        <v>990</v>
      </c>
      <c r="C535" s="61" t="s">
        <v>991</v>
      </c>
      <c r="D535" s="62" t="s">
        <v>447</v>
      </c>
      <c r="E535" s="64" t="s">
        <v>316</v>
      </c>
    </row>
    <row r="536" spans="1:5" hidden="1" x14ac:dyDescent="0.35">
      <c r="A536" s="61" t="s">
        <v>1736</v>
      </c>
      <c r="B536" s="62" t="s">
        <v>1737</v>
      </c>
      <c r="C536" s="61" t="s">
        <v>1738</v>
      </c>
      <c r="D536" s="62" t="s">
        <v>371</v>
      </c>
      <c r="E536" s="64" t="s">
        <v>1345</v>
      </c>
    </row>
    <row r="537" spans="1:5" hidden="1" x14ac:dyDescent="0.35">
      <c r="A537" s="61" t="s">
        <v>547</v>
      </c>
      <c r="B537" s="62" t="s">
        <v>548</v>
      </c>
      <c r="C537" s="61" t="s">
        <v>549</v>
      </c>
      <c r="D537" s="62" t="s">
        <v>450</v>
      </c>
      <c r="E537" s="64" t="s">
        <v>316</v>
      </c>
    </row>
    <row r="538" spans="1:5" hidden="1" x14ac:dyDescent="0.35">
      <c r="A538" s="61" t="s">
        <v>469</v>
      </c>
      <c r="B538" s="62" t="s">
        <v>470</v>
      </c>
      <c r="C538" s="61" t="s">
        <v>471</v>
      </c>
      <c r="D538" s="62" t="s">
        <v>371</v>
      </c>
      <c r="E538" s="64" t="s">
        <v>316</v>
      </c>
    </row>
    <row r="539" spans="1:5" hidden="1" x14ac:dyDescent="0.35">
      <c r="A539" s="61" t="s">
        <v>938</v>
      </c>
      <c r="B539" s="62" t="s">
        <v>939</v>
      </c>
      <c r="C539" s="61" t="s">
        <v>940</v>
      </c>
      <c r="D539" s="62" t="s">
        <v>375</v>
      </c>
      <c r="E539" s="64" t="s">
        <v>316</v>
      </c>
    </row>
    <row r="540" spans="1:5" customFormat="1" hidden="1" x14ac:dyDescent="0.35">
      <c r="A540" s="51" t="s">
        <v>1198</v>
      </c>
      <c r="B540" s="52" t="s">
        <v>1199</v>
      </c>
      <c r="C540" s="51" t="s">
        <v>1200</v>
      </c>
      <c r="D540" s="52" t="s">
        <v>1157</v>
      </c>
      <c r="E540" s="53" t="s">
        <v>1142</v>
      </c>
    </row>
    <row r="541" spans="1:5" hidden="1" x14ac:dyDescent="0.35">
      <c r="A541" s="61" t="s">
        <v>1964</v>
      </c>
      <c r="B541" s="62" t="s">
        <v>1965</v>
      </c>
      <c r="C541" s="61" t="s">
        <v>1966</v>
      </c>
      <c r="D541" s="62" t="s">
        <v>1532</v>
      </c>
      <c r="E541" s="64" t="s">
        <v>1345</v>
      </c>
    </row>
    <row r="542" spans="1:5" customFormat="1" hidden="1" x14ac:dyDescent="0.35">
      <c r="A542" s="51" t="s">
        <v>1136</v>
      </c>
      <c r="B542" s="52" t="s">
        <v>1137</v>
      </c>
      <c r="C542" s="51" t="s">
        <v>1138</v>
      </c>
      <c r="D542" s="52" t="s">
        <v>382</v>
      </c>
      <c r="E542" s="53" t="s">
        <v>1050</v>
      </c>
    </row>
    <row r="543" spans="1:5" customFormat="1" hidden="1" x14ac:dyDescent="0.35">
      <c r="A543" s="51" t="s">
        <v>1071</v>
      </c>
      <c r="B543" s="52" t="s">
        <v>1072</v>
      </c>
      <c r="C543" s="51" t="s">
        <v>1073</v>
      </c>
      <c r="D543" s="52" t="s">
        <v>1058</v>
      </c>
      <c r="E543" s="53" t="s">
        <v>1050</v>
      </c>
    </row>
    <row r="544" spans="1:5" hidden="1" x14ac:dyDescent="0.35">
      <c r="A544" s="61" t="s">
        <v>1041</v>
      </c>
      <c r="B544" s="62" t="s">
        <v>1042</v>
      </c>
      <c r="C544" s="61" t="s">
        <v>1043</v>
      </c>
      <c r="D544" s="62" t="s">
        <v>1001</v>
      </c>
      <c r="E544" s="64" t="s">
        <v>316</v>
      </c>
    </row>
    <row r="545" spans="1:5" hidden="1" x14ac:dyDescent="0.35">
      <c r="A545" s="61" t="s">
        <v>414</v>
      </c>
      <c r="B545" s="62" t="s">
        <v>415</v>
      </c>
      <c r="C545" s="61" t="s">
        <v>416</v>
      </c>
      <c r="D545" s="62" t="s">
        <v>371</v>
      </c>
      <c r="E545" s="64" t="s">
        <v>316</v>
      </c>
    </row>
    <row r="546" spans="1:5" hidden="1" x14ac:dyDescent="0.35">
      <c r="A546" s="61" t="s">
        <v>797</v>
      </c>
      <c r="B546" s="62" t="s">
        <v>798</v>
      </c>
      <c r="C546" s="61" t="s">
        <v>799</v>
      </c>
      <c r="D546" s="62" t="s">
        <v>382</v>
      </c>
      <c r="E546" s="64" t="s">
        <v>316</v>
      </c>
    </row>
    <row r="547" spans="1:5" hidden="1" x14ac:dyDescent="0.35">
      <c r="A547" s="61" t="s">
        <v>929</v>
      </c>
      <c r="B547" s="62" t="s">
        <v>930</v>
      </c>
      <c r="C547" s="61" t="s">
        <v>931</v>
      </c>
      <c r="D547" s="62" t="s">
        <v>375</v>
      </c>
      <c r="E547" s="64" t="s">
        <v>316</v>
      </c>
    </row>
    <row r="548" spans="1:5" hidden="1" x14ac:dyDescent="0.35">
      <c r="A548" s="61" t="s">
        <v>2009</v>
      </c>
      <c r="B548" s="62" t="s">
        <v>2010</v>
      </c>
      <c r="C548" s="61" t="s">
        <v>2011</v>
      </c>
      <c r="D548" s="62" t="s">
        <v>1532</v>
      </c>
      <c r="E548" s="64" t="s">
        <v>1345</v>
      </c>
    </row>
    <row r="549" spans="1:5" hidden="1" x14ac:dyDescent="0.35">
      <c r="A549" s="61" t="s">
        <v>1631</v>
      </c>
      <c r="B549" s="62" t="s">
        <v>1632</v>
      </c>
      <c r="C549" s="61" t="s">
        <v>1633</v>
      </c>
      <c r="D549" s="62" t="s">
        <v>1551</v>
      </c>
      <c r="E549" s="64" t="s">
        <v>1345</v>
      </c>
    </row>
    <row r="550" spans="1:5" hidden="1" x14ac:dyDescent="0.35">
      <c r="A550" s="61" t="s">
        <v>1496</v>
      </c>
      <c r="B550" s="62" t="s">
        <v>1497</v>
      </c>
      <c r="C550" s="61" t="s">
        <v>1498</v>
      </c>
      <c r="D550" s="62" t="s">
        <v>363</v>
      </c>
      <c r="E550" s="64" t="s">
        <v>1345</v>
      </c>
    </row>
    <row r="551" spans="1:5" hidden="1" x14ac:dyDescent="0.35">
      <c r="A551" s="61" t="s">
        <v>1910</v>
      </c>
      <c r="B551" s="62" t="s">
        <v>1911</v>
      </c>
      <c r="C551" s="61" t="s">
        <v>1912</v>
      </c>
      <c r="D551" s="62" t="s">
        <v>1489</v>
      </c>
      <c r="E551" s="64" t="s">
        <v>1345</v>
      </c>
    </row>
    <row r="552" spans="1:5" hidden="1" x14ac:dyDescent="0.35">
      <c r="A552" s="61" t="s">
        <v>944</v>
      </c>
      <c r="B552" s="62" t="s">
        <v>945</v>
      </c>
      <c r="C552" s="61" t="s">
        <v>946</v>
      </c>
      <c r="D552" s="62" t="s">
        <v>375</v>
      </c>
      <c r="E552" s="64" t="s">
        <v>316</v>
      </c>
    </row>
    <row r="553" spans="1:5" customFormat="1" hidden="1" x14ac:dyDescent="0.35">
      <c r="A553" s="51" t="s">
        <v>1161</v>
      </c>
      <c r="B553" s="52" t="s">
        <v>1162</v>
      </c>
      <c r="C553" s="51" t="s">
        <v>1163</v>
      </c>
      <c r="D553" s="52" t="s">
        <v>1164</v>
      </c>
      <c r="E553" s="53" t="s">
        <v>1142</v>
      </c>
    </row>
    <row r="554" spans="1:5" hidden="1" x14ac:dyDescent="0.35">
      <c r="A554" s="61" t="s">
        <v>1391</v>
      </c>
      <c r="B554" s="62" t="s">
        <v>1392</v>
      </c>
      <c r="C554" s="61" t="s">
        <v>1393</v>
      </c>
      <c r="D554" s="62" t="s">
        <v>345</v>
      </c>
      <c r="E554" s="64" t="s">
        <v>1345</v>
      </c>
    </row>
    <row r="555" spans="1:5" hidden="1" x14ac:dyDescent="0.35">
      <c r="A555" s="61" t="s">
        <v>1380</v>
      </c>
      <c r="B555" s="62" t="s">
        <v>1381</v>
      </c>
      <c r="C555" s="61" t="s">
        <v>1382</v>
      </c>
      <c r="D555" s="62" t="s">
        <v>357</v>
      </c>
      <c r="E555" s="64" t="s">
        <v>1345</v>
      </c>
    </row>
    <row r="556" spans="1:5" hidden="1" x14ac:dyDescent="0.35">
      <c r="A556" s="61" t="s">
        <v>971</v>
      </c>
      <c r="B556" s="62" t="s">
        <v>972</v>
      </c>
      <c r="C556" s="61" t="s">
        <v>973</v>
      </c>
      <c r="D556" s="62" t="s">
        <v>447</v>
      </c>
      <c r="E556" s="64" t="s">
        <v>316</v>
      </c>
    </row>
    <row r="557" spans="1:5" hidden="1" x14ac:dyDescent="0.35">
      <c r="A557" s="61" t="s">
        <v>720</v>
      </c>
      <c r="B557" s="62" t="s">
        <v>721</v>
      </c>
      <c r="C557" s="61" t="s">
        <v>722</v>
      </c>
      <c r="D557" s="62" t="s">
        <v>656</v>
      </c>
      <c r="E557" s="64" t="s">
        <v>316</v>
      </c>
    </row>
    <row r="558" spans="1:5" hidden="1" x14ac:dyDescent="0.35">
      <c r="A558" s="61" t="s">
        <v>977</v>
      </c>
      <c r="B558" s="62" t="s">
        <v>978</v>
      </c>
      <c r="C558" s="61" t="s">
        <v>979</v>
      </c>
      <c r="D558" s="62" t="s">
        <v>447</v>
      </c>
      <c r="E558" s="64" t="s">
        <v>316</v>
      </c>
    </row>
    <row r="559" spans="1:5" hidden="1" x14ac:dyDescent="0.35">
      <c r="A559" s="61" t="s">
        <v>401</v>
      </c>
      <c r="B559" s="62" t="s">
        <v>402</v>
      </c>
      <c r="C559" s="61" t="s">
        <v>403</v>
      </c>
      <c r="D559" s="62" t="s">
        <v>345</v>
      </c>
      <c r="E559" s="64" t="s">
        <v>316</v>
      </c>
    </row>
    <row r="560" spans="1:5" hidden="1" x14ac:dyDescent="0.35">
      <c r="A560" s="61" t="s">
        <v>1775</v>
      </c>
      <c r="B560" s="62" t="s">
        <v>1776</v>
      </c>
      <c r="C560" s="61" t="s">
        <v>1777</v>
      </c>
      <c r="D560" s="62" t="s">
        <v>1714</v>
      </c>
      <c r="E560" s="64" t="s">
        <v>1345</v>
      </c>
    </row>
    <row r="561" spans="1:5" hidden="1" x14ac:dyDescent="0.35">
      <c r="A561" s="61" t="s">
        <v>2045</v>
      </c>
      <c r="B561" s="62" t="s">
        <v>2046</v>
      </c>
      <c r="C561" s="61" t="s">
        <v>2047</v>
      </c>
      <c r="D561" s="62" t="s">
        <v>1532</v>
      </c>
      <c r="E561" s="64" t="s">
        <v>1345</v>
      </c>
    </row>
    <row r="562" spans="1:5" customFormat="1" hidden="1" x14ac:dyDescent="0.35">
      <c r="A562" s="51" t="s">
        <v>1195</v>
      </c>
      <c r="B562" s="52" t="s">
        <v>1196</v>
      </c>
      <c r="C562" s="51" t="s">
        <v>1197</v>
      </c>
      <c r="D562" s="52" t="s">
        <v>1157</v>
      </c>
      <c r="E562" s="53" t="s">
        <v>1142</v>
      </c>
    </row>
    <row r="563" spans="1:5" hidden="1" x14ac:dyDescent="0.35">
      <c r="A563" s="61" t="s">
        <v>592</v>
      </c>
      <c r="B563" s="62" t="s">
        <v>593</v>
      </c>
      <c r="C563" s="61" t="s">
        <v>594</v>
      </c>
      <c r="D563" s="62" t="s">
        <v>367</v>
      </c>
      <c r="E563" s="64" t="s">
        <v>316</v>
      </c>
    </row>
    <row r="564" spans="1:5" hidden="1" x14ac:dyDescent="0.35">
      <c r="A564" s="61" t="s">
        <v>705</v>
      </c>
      <c r="B564" s="62" t="s">
        <v>706</v>
      </c>
      <c r="C564" s="61" t="s">
        <v>707</v>
      </c>
      <c r="D564" s="62" t="s">
        <v>656</v>
      </c>
      <c r="E564" s="64" t="s">
        <v>316</v>
      </c>
    </row>
    <row r="565" spans="1:5" hidden="1" x14ac:dyDescent="0.35">
      <c r="A565" s="61" t="s">
        <v>1937</v>
      </c>
      <c r="B565" s="62" t="s">
        <v>1938</v>
      </c>
      <c r="C565" s="61" t="s">
        <v>1939</v>
      </c>
      <c r="D565" s="62" t="s">
        <v>1489</v>
      </c>
      <c r="E565" s="64" t="s">
        <v>1345</v>
      </c>
    </row>
    <row r="566" spans="1:5" hidden="1" x14ac:dyDescent="0.35">
      <c r="A566" s="61" t="s">
        <v>1877</v>
      </c>
      <c r="B566" s="62" t="s">
        <v>1878</v>
      </c>
      <c r="C566" s="61" t="s">
        <v>1879</v>
      </c>
      <c r="D566" s="62" t="s">
        <v>1430</v>
      </c>
      <c r="E566" s="64" t="s">
        <v>1345</v>
      </c>
    </row>
    <row r="567" spans="1:5" hidden="1" x14ac:dyDescent="0.35">
      <c r="A567" s="61" t="s">
        <v>959</v>
      </c>
      <c r="B567" s="62" t="s">
        <v>960</v>
      </c>
      <c r="C567" s="61" t="s">
        <v>961</v>
      </c>
      <c r="D567" s="62" t="s">
        <v>447</v>
      </c>
      <c r="E567" s="64" t="s">
        <v>316</v>
      </c>
    </row>
    <row r="568" spans="1:5" hidden="1" x14ac:dyDescent="0.35">
      <c r="A568" s="61" t="s">
        <v>389</v>
      </c>
      <c r="B568" s="62" t="s">
        <v>390</v>
      </c>
      <c r="C568" s="61" t="s">
        <v>391</v>
      </c>
      <c r="D568" s="62" t="s">
        <v>323</v>
      </c>
      <c r="E568" s="64" t="s">
        <v>316</v>
      </c>
    </row>
    <row r="569" spans="1:5" hidden="1" x14ac:dyDescent="0.35">
      <c r="A569" s="61" t="s">
        <v>794</v>
      </c>
      <c r="B569" s="62" t="s">
        <v>795</v>
      </c>
      <c r="C569" s="61" t="s">
        <v>796</v>
      </c>
      <c r="D569" s="62" t="s">
        <v>327</v>
      </c>
      <c r="E569" s="64" t="s">
        <v>316</v>
      </c>
    </row>
    <row r="570" spans="1:5" hidden="1" x14ac:dyDescent="0.35">
      <c r="A570" s="61" t="s">
        <v>1026</v>
      </c>
      <c r="B570" s="62" t="s">
        <v>1027</v>
      </c>
      <c r="C570" s="61" t="s">
        <v>1028</v>
      </c>
      <c r="D570" s="62" t="s">
        <v>1001</v>
      </c>
      <c r="E570" s="64" t="s">
        <v>316</v>
      </c>
    </row>
    <row r="571" spans="1:5" hidden="1" x14ac:dyDescent="0.35">
      <c r="A571" s="61" t="s">
        <v>1685</v>
      </c>
      <c r="B571" s="62" t="s">
        <v>1686</v>
      </c>
      <c r="C571" s="61" t="s">
        <v>1687</v>
      </c>
      <c r="D571" s="62" t="s">
        <v>1430</v>
      </c>
      <c r="E571" s="64" t="s">
        <v>1345</v>
      </c>
    </row>
    <row r="572" spans="1:5" hidden="1" x14ac:dyDescent="0.35">
      <c r="A572" s="61" t="s">
        <v>1844</v>
      </c>
      <c r="B572" s="62" t="s">
        <v>1845</v>
      </c>
      <c r="C572" s="61" t="s">
        <v>1846</v>
      </c>
      <c r="D572" s="62" t="s">
        <v>1714</v>
      </c>
      <c r="E572" s="64" t="s">
        <v>1345</v>
      </c>
    </row>
    <row r="573" spans="1:5" customFormat="1" hidden="1" x14ac:dyDescent="0.35">
      <c r="A573" s="51" t="s">
        <v>1051</v>
      </c>
      <c r="B573" s="52" t="s">
        <v>1052</v>
      </c>
      <c r="C573" s="51" t="s">
        <v>1053</v>
      </c>
      <c r="D573" s="52" t="s">
        <v>1054</v>
      </c>
      <c r="E573" s="53" t="s">
        <v>1050</v>
      </c>
    </row>
    <row r="574" spans="1:5" hidden="1" x14ac:dyDescent="0.35">
      <c r="A574" s="61" t="s">
        <v>1787</v>
      </c>
      <c r="B574" s="62" t="s">
        <v>1788</v>
      </c>
      <c r="C574" s="61" t="s">
        <v>1789</v>
      </c>
      <c r="D574" s="62" t="s">
        <v>1714</v>
      </c>
      <c r="E574" s="64" t="s">
        <v>1345</v>
      </c>
    </row>
    <row r="575" spans="1:5" hidden="1" x14ac:dyDescent="0.35">
      <c r="A575" s="61" t="s">
        <v>1524</v>
      </c>
      <c r="B575" s="62" t="s">
        <v>1525</v>
      </c>
      <c r="C575" s="61" t="s">
        <v>124</v>
      </c>
      <c r="D575" s="62" t="s">
        <v>341</v>
      </c>
      <c r="E575" s="64" t="s">
        <v>1345</v>
      </c>
    </row>
    <row r="576" spans="1:5" hidden="1" x14ac:dyDescent="0.35">
      <c r="A576" s="61" t="s">
        <v>581</v>
      </c>
      <c r="B576" s="62" t="s">
        <v>582</v>
      </c>
      <c r="C576" s="61" t="s">
        <v>204</v>
      </c>
      <c r="D576" s="62" t="s">
        <v>450</v>
      </c>
      <c r="E576" s="64" t="s">
        <v>316</v>
      </c>
    </row>
    <row r="577" spans="1:5" hidden="1" x14ac:dyDescent="0.35">
      <c r="A577" s="61" t="s">
        <v>629</v>
      </c>
      <c r="B577" s="62" t="s">
        <v>630</v>
      </c>
      <c r="C577" s="61" t="s">
        <v>122</v>
      </c>
      <c r="D577" s="62" t="s">
        <v>394</v>
      </c>
      <c r="E577" s="64" t="s">
        <v>316</v>
      </c>
    </row>
    <row r="578" spans="1:5" hidden="1" x14ac:dyDescent="0.35">
      <c r="A578" s="61" t="s">
        <v>578</v>
      </c>
      <c r="B578" s="62" t="s">
        <v>579</v>
      </c>
      <c r="C578" s="61" t="s">
        <v>580</v>
      </c>
      <c r="D578" s="62" t="s">
        <v>450</v>
      </c>
      <c r="E578" s="64" t="s">
        <v>316</v>
      </c>
    </row>
    <row r="579" spans="1:5" hidden="1" x14ac:dyDescent="0.35">
      <c r="A579" s="61" t="s">
        <v>1591</v>
      </c>
      <c r="B579" s="62" t="s">
        <v>1592</v>
      </c>
      <c r="C579" s="61" t="s">
        <v>1593</v>
      </c>
      <c r="D579" s="62" t="s">
        <v>367</v>
      </c>
      <c r="E579" s="64" t="s">
        <v>1345</v>
      </c>
    </row>
    <row r="580" spans="1:5" hidden="1" x14ac:dyDescent="0.35">
      <c r="A580" s="61" t="s">
        <v>490</v>
      </c>
      <c r="B580" s="62" t="s">
        <v>491</v>
      </c>
      <c r="C580" s="61" t="s">
        <v>492</v>
      </c>
      <c r="D580" s="62" t="s">
        <v>481</v>
      </c>
      <c r="E580" s="64" t="s">
        <v>316</v>
      </c>
    </row>
    <row r="581" spans="1:5" hidden="1" x14ac:dyDescent="0.35">
      <c r="A581" s="61" t="s">
        <v>821</v>
      </c>
      <c r="B581" s="62" t="s">
        <v>822</v>
      </c>
      <c r="C581" s="61" t="s">
        <v>823</v>
      </c>
      <c r="D581" s="62" t="s">
        <v>686</v>
      </c>
      <c r="E581" s="64" t="s">
        <v>316</v>
      </c>
    </row>
    <row r="582" spans="1:5" hidden="1" x14ac:dyDescent="0.35">
      <c r="A582" s="61" t="s">
        <v>441</v>
      </c>
      <c r="B582" s="62" t="s">
        <v>442</v>
      </c>
      <c r="C582" s="61" t="s">
        <v>443</v>
      </c>
      <c r="D582" s="62" t="s">
        <v>345</v>
      </c>
      <c r="E582" s="64" t="s">
        <v>316</v>
      </c>
    </row>
    <row r="583" spans="1:5" hidden="1" x14ac:dyDescent="0.35">
      <c r="A583" s="61" t="s">
        <v>2018</v>
      </c>
      <c r="B583" s="62" t="s">
        <v>2019</v>
      </c>
      <c r="C583" s="61" t="s">
        <v>2020</v>
      </c>
      <c r="D583" s="62" t="s">
        <v>1532</v>
      </c>
      <c r="E583" s="64" t="s">
        <v>1345</v>
      </c>
    </row>
    <row r="584" spans="1:5" customFormat="1" hidden="1" x14ac:dyDescent="0.35">
      <c r="A584" s="51" t="s">
        <v>1121</v>
      </c>
      <c r="B584" s="52" t="s">
        <v>1122</v>
      </c>
      <c r="C584" s="51" t="s">
        <v>1123</v>
      </c>
      <c r="D584" s="52" t="s">
        <v>334</v>
      </c>
      <c r="E584" s="53" t="s">
        <v>1050</v>
      </c>
    </row>
    <row r="585" spans="1:5" hidden="1" x14ac:dyDescent="0.35">
      <c r="A585" s="61" t="s">
        <v>1594</v>
      </c>
      <c r="B585" s="62" t="s">
        <v>1595</v>
      </c>
      <c r="C585" s="61" t="s">
        <v>1596</v>
      </c>
      <c r="D585" s="62" t="s">
        <v>686</v>
      </c>
      <c r="E585" s="64" t="s">
        <v>1345</v>
      </c>
    </row>
    <row r="586" spans="1:5" hidden="1" x14ac:dyDescent="0.35">
      <c r="A586" s="61" t="s">
        <v>742</v>
      </c>
      <c r="B586" s="62" t="s">
        <v>743</v>
      </c>
      <c r="C586" s="61" t="s">
        <v>744</v>
      </c>
      <c r="D586" s="62" t="s">
        <v>338</v>
      </c>
      <c r="E586" s="64" t="s">
        <v>316</v>
      </c>
    </row>
    <row r="587" spans="1:5" customFormat="1" hidden="1" x14ac:dyDescent="0.35">
      <c r="A587" s="51" t="s">
        <v>1055</v>
      </c>
      <c r="B587" s="52" t="s">
        <v>1056</v>
      </c>
      <c r="C587" s="51" t="s">
        <v>1057</v>
      </c>
      <c r="D587" s="52" t="s">
        <v>1058</v>
      </c>
      <c r="E587" s="53" t="s">
        <v>1050</v>
      </c>
    </row>
    <row r="588" spans="1:5" hidden="1" x14ac:dyDescent="0.35">
      <c r="A588" s="61" t="s">
        <v>372</v>
      </c>
      <c r="B588" s="67" t="s">
        <v>373</v>
      </c>
      <c r="C588" s="61" t="s">
        <v>374</v>
      </c>
      <c r="D588" s="67" t="s">
        <v>375</v>
      </c>
      <c r="E588" s="65" t="s">
        <v>316</v>
      </c>
    </row>
    <row r="589" spans="1:5" hidden="1" x14ac:dyDescent="0.35">
      <c r="A589" s="73" t="s">
        <v>739</v>
      </c>
      <c r="B589" s="75" t="s">
        <v>740</v>
      </c>
      <c r="C589" s="73" t="s">
        <v>741</v>
      </c>
      <c r="D589" s="75" t="s">
        <v>457</v>
      </c>
      <c r="E589" s="65" t="s">
        <v>316</v>
      </c>
    </row>
    <row r="590" spans="1:5" hidden="1" x14ac:dyDescent="0.35">
      <c r="A590" s="68">
        <v>2133869</v>
      </c>
      <c r="B590" s="69" t="s">
        <v>2220</v>
      </c>
      <c r="C590" s="69" t="s">
        <v>2221</v>
      </c>
      <c r="D590" s="70" t="s">
        <v>2232</v>
      </c>
      <c r="E590" s="71" t="s">
        <v>1345</v>
      </c>
    </row>
    <row r="591" spans="1:5" hidden="1" x14ac:dyDescent="0.35">
      <c r="A591" s="73" t="s">
        <v>1477</v>
      </c>
      <c r="B591" s="75" t="s">
        <v>1478</v>
      </c>
      <c r="C591" s="73" t="s">
        <v>1479</v>
      </c>
      <c r="D591" s="75" t="s">
        <v>367</v>
      </c>
      <c r="E591" s="65" t="s">
        <v>1345</v>
      </c>
    </row>
    <row r="592" spans="1:5" hidden="1" x14ac:dyDescent="0.35">
      <c r="A592" s="73" t="s">
        <v>809</v>
      </c>
      <c r="B592" s="75" t="s">
        <v>810</v>
      </c>
      <c r="C592" s="73" t="s">
        <v>811</v>
      </c>
      <c r="D592" s="75" t="s">
        <v>327</v>
      </c>
      <c r="E592" s="65" t="s">
        <v>316</v>
      </c>
    </row>
    <row r="593" spans="1:5" x14ac:dyDescent="0.35">
      <c r="A593" s="73" t="s">
        <v>848</v>
      </c>
      <c r="B593" s="75" t="s">
        <v>849</v>
      </c>
      <c r="C593" s="73" t="s">
        <v>850</v>
      </c>
      <c r="D593" s="75" t="s">
        <v>751</v>
      </c>
      <c r="E593" s="65" t="s">
        <v>316</v>
      </c>
    </row>
    <row r="594" spans="1:5" hidden="1" x14ac:dyDescent="0.35">
      <c r="A594" s="73" t="s">
        <v>507</v>
      </c>
      <c r="B594" s="75" t="s">
        <v>508</v>
      </c>
      <c r="C594" s="73" t="s">
        <v>509</v>
      </c>
      <c r="D594" s="75" t="s">
        <v>345</v>
      </c>
      <c r="E594" s="65" t="s">
        <v>316</v>
      </c>
    </row>
    <row r="595" spans="1:5" hidden="1" x14ac:dyDescent="0.35">
      <c r="A595" s="73" t="s">
        <v>1366</v>
      </c>
      <c r="B595" s="75" t="s">
        <v>1367</v>
      </c>
      <c r="C595" s="73" t="s">
        <v>110</v>
      </c>
      <c r="D595" s="75" t="s">
        <v>341</v>
      </c>
      <c r="E595" s="65" t="s">
        <v>1345</v>
      </c>
    </row>
    <row r="596" spans="1:5" hidden="1" x14ac:dyDescent="0.35">
      <c r="A596" s="73" t="s">
        <v>1919</v>
      </c>
      <c r="B596" s="75" t="s">
        <v>1920</v>
      </c>
      <c r="C596" s="73" t="s">
        <v>1921</v>
      </c>
      <c r="D596" s="75" t="s">
        <v>1489</v>
      </c>
      <c r="E596" s="65" t="s">
        <v>1345</v>
      </c>
    </row>
    <row r="597" spans="1:5" hidden="1" x14ac:dyDescent="0.35">
      <c r="A597" s="73" t="s">
        <v>1799</v>
      </c>
      <c r="B597" s="75" t="s">
        <v>1800</v>
      </c>
      <c r="C597" s="73" t="s">
        <v>1801</v>
      </c>
      <c r="D597" s="75" t="s">
        <v>1714</v>
      </c>
      <c r="E597" s="65" t="s">
        <v>1345</v>
      </c>
    </row>
    <row r="598" spans="1:5" hidden="1" x14ac:dyDescent="0.35">
      <c r="A598" s="73" t="s">
        <v>1880</v>
      </c>
      <c r="B598" s="75" t="s">
        <v>1881</v>
      </c>
      <c r="C598" s="73" t="s">
        <v>1882</v>
      </c>
      <c r="D598" s="75" t="s">
        <v>1430</v>
      </c>
      <c r="E598" s="65" t="s">
        <v>1345</v>
      </c>
    </row>
    <row r="599" spans="1:5" hidden="1" x14ac:dyDescent="0.35">
      <c r="A599" s="73" t="s">
        <v>779</v>
      </c>
      <c r="B599" s="75" t="s">
        <v>780</v>
      </c>
      <c r="C599" s="73" t="s">
        <v>781</v>
      </c>
      <c r="D599" s="75" t="s">
        <v>338</v>
      </c>
      <c r="E599" s="65" t="s">
        <v>316</v>
      </c>
    </row>
    <row r="600" spans="1:5" hidden="1" x14ac:dyDescent="0.35">
      <c r="A600" s="73" t="s">
        <v>1925</v>
      </c>
      <c r="B600" s="75" t="s">
        <v>1926</v>
      </c>
      <c r="C600" s="73" t="s">
        <v>1927</v>
      </c>
      <c r="D600" s="75" t="s">
        <v>1489</v>
      </c>
      <c r="E600" s="65" t="s">
        <v>1345</v>
      </c>
    </row>
  </sheetData>
  <autoFilter ref="A1:E600" xr:uid="{6BF46753-5CA3-484B-AF09-788123F77F33}">
    <filterColumn colId="3">
      <filters>
        <filter val="Leou Alven Narito Comendador"/>
      </filters>
    </filterColumn>
    <filterColumn colId="4">
      <filters>
        <filter val="CEBU"/>
        <filter val="QC"/>
      </filters>
    </filterColumn>
  </autoFilter>
  <sortState xmlns:xlrd2="http://schemas.microsoft.com/office/spreadsheetml/2017/richdata2" ref="A2:E600">
    <sortCondition ref="C54:C600"/>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25557-9074-4BDB-B672-1702E4CD6740}">
  <dimension ref="B1:F188"/>
  <sheetViews>
    <sheetView workbookViewId="0">
      <selection activeCell="B1" sqref="B1:F188"/>
    </sheetView>
  </sheetViews>
  <sheetFormatPr defaultRowHeight="13" x14ac:dyDescent="0.3"/>
  <cols>
    <col min="1" max="1" width="8.7265625" style="217"/>
    <col min="2" max="2" width="11.36328125" style="217" customWidth="1"/>
    <col min="3" max="3" width="8.7265625" style="217"/>
    <col min="4" max="4" width="14.26953125" style="217" bestFit="1" customWidth="1"/>
    <col min="5" max="5" width="11.1796875" style="217" customWidth="1"/>
    <col min="6" max="6" width="26.6328125" style="217" bestFit="1" customWidth="1"/>
    <col min="7" max="16384" width="8.7265625" style="217"/>
  </cols>
  <sheetData>
    <row r="1" spans="2:6" x14ac:dyDescent="0.3">
      <c r="B1" s="219" t="s">
        <v>2315</v>
      </c>
      <c r="C1" s="219" t="s">
        <v>2645</v>
      </c>
      <c r="D1" s="219" t="s">
        <v>2646</v>
      </c>
      <c r="E1" s="219" t="s">
        <v>313</v>
      </c>
      <c r="F1" s="219" t="s">
        <v>2647</v>
      </c>
    </row>
    <row r="2" spans="2:6" x14ac:dyDescent="0.3">
      <c r="B2" s="218">
        <v>2258045</v>
      </c>
      <c r="C2" s="220" t="s">
        <v>2850</v>
      </c>
      <c r="D2" s="220" t="s">
        <v>2851</v>
      </c>
      <c r="E2" s="220" t="s">
        <v>1890</v>
      </c>
      <c r="F2" s="220" t="s">
        <v>2692</v>
      </c>
    </row>
    <row r="3" spans="2:6" x14ac:dyDescent="0.3">
      <c r="B3" s="218">
        <v>2236076</v>
      </c>
      <c r="C3" s="220" t="s">
        <v>2852</v>
      </c>
      <c r="D3" s="220" t="s">
        <v>2853</v>
      </c>
      <c r="E3" s="220" t="s">
        <v>876</v>
      </c>
      <c r="F3" s="220" t="s">
        <v>2854</v>
      </c>
    </row>
    <row r="4" spans="2:6" x14ac:dyDescent="0.3">
      <c r="B4" s="218">
        <v>2244051</v>
      </c>
      <c r="C4" s="220" t="s">
        <v>2855</v>
      </c>
      <c r="D4" s="220" t="s">
        <v>2856</v>
      </c>
      <c r="E4" s="220" t="s">
        <v>918</v>
      </c>
      <c r="F4" s="220" t="s">
        <v>2702</v>
      </c>
    </row>
    <row r="5" spans="2:6" x14ac:dyDescent="0.3">
      <c r="B5" s="218">
        <v>2258026</v>
      </c>
      <c r="C5" s="220" t="s">
        <v>2857</v>
      </c>
      <c r="D5" s="220" t="s">
        <v>2858</v>
      </c>
      <c r="E5" s="220" t="s">
        <v>1884</v>
      </c>
      <c r="F5" s="220" t="s">
        <v>2688</v>
      </c>
    </row>
    <row r="6" spans="2:6" x14ac:dyDescent="0.3">
      <c r="B6" s="218">
        <v>2282142</v>
      </c>
      <c r="C6" s="220" t="s">
        <v>2859</v>
      </c>
      <c r="D6" s="220" t="s">
        <v>2860</v>
      </c>
      <c r="E6" s="220" t="s">
        <v>2809</v>
      </c>
      <c r="F6" s="220" t="s">
        <v>2664</v>
      </c>
    </row>
    <row r="7" spans="2:6" x14ac:dyDescent="0.3">
      <c r="B7" s="218">
        <v>2254054</v>
      </c>
      <c r="C7" s="220" t="s">
        <v>2861</v>
      </c>
      <c r="D7" s="220" t="s">
        <v>2862</v>
      </c>
      <c r="E7" s="220" t="s">
        <v>987</v>
      </c>
      <c r="F7" s="220" t="s">
        <v>2766</v>
      </c>
    </row>
    <row r="8" spans="2:6" x14ac:dyDescent="0.3">
      <c r="B8" s="218">
        <v>2280903</v>
      </c>
      <c r="C8" s="220" t="s">
        <v>2863</v>
      </c>
      <c r="D8" s="220" t="s">
        <v>2864</v>
      </c>
      <c r="E8" s="220" t="s">
        <v>1980</v>
      </c>
      <c r="F8" s="220" t="s">
        <v>2672</v>
      </c>
    </row>
    <row r="9" spans="2:6" x14ac:dyDescent="0.3">
      <c r="B9" s="218">
        <v>2260762</v>
      </c>
      <c r="C9" s="220" t="s">
        <v>2865</v>
      </c>
      <c r="D9" s="220" t="s">
        <v>2866</v>
      </c>
      <c r="E9" s="220" t="s">
        <v>1048</v>
      </c>
      <c r="F9" s="220" t="s">
        <v>2785</v>
      </c>
    </row>
    <row r="10" spans="2:6" x14ac:dyDescent="0.3">
      <c r="B10" s="218">
        <v>1516082</v>
      </c>
      <c r="C10" s="220" t="s">
        <v>2867</v>
      </c>
      <c r="D10" s="220" t="s">
        <v>2868</v>
      </c>
      <c r="E10" s="220" t="s">
        <v>1474</v>
      </c>
      <c r="F10" s="220" t="s">
        <v>2675</v>
      </c>
    </row>
    <row r="11" spans="2:6" x14ac:dyDescent="0.3">
      <c r="B11" s="218">
        <v>2243233</v>
      </c>
      <c r="C11" s="220" t="s">
        <v>2869</v>
      </c>
      <c r="D11" s="220" t="s">
        <v>2870</v>
      </c>
      <c r="E11" s="220" t="s">
        <v>1779</v>
      </c>
      <c r="F11" s="220" t="s">
        <v>2717</v>
      </c>
    </row>
    <row r="12" spans="2:6" x14ac:dyDescent="0.3">
      <c r="B12" s="218">
        <v>2258531</v>
      </c>
      <c r="C12" s="220" t="s">
        <v>2871</v>
      </c>
      <c r="D12" s="220" t="s">
        <v>2872</v>
      </c>
      <c r="E12" s="220" t="s">
        <v>1914</v>
      </c>
      <c r="F12" s="220" t="s">
        <v>2648</v>
      </c>
    </row>
    <row r="13" spans="2:6" x14ac:dyDescent="0.3">
      <c r="B13" s="218">
        <v>2282068</v>
      </c>
      <c r="C13" s="220" t="s">
        <v>2873</v>
      </c>
      <c r="D13" s="220" t="s">
        <v>2874</v>
      </c>
      <c r="E13" s="220" t="s">
        <v>2810</v>
      </c>
      <c r="F13" s="220" t="s">
        <v>2665</v>
      </c>
    </row>
    <row r="14" spans="2:6" x14ac:dyDescent="0.3">
      <c r="B14" s="218">
        <v>2258576</v>
      </c>
      <c r="C14" s="220" t="s">
        <v>2875</v>
      </c>
      <c r="D14" s="220" t="s">
        <v>2876</v>
      </c>
      <c r="E14" s="220" t="s">
        <v>1021</v>
      </c>
      <c r="F14" s="220" t="s">
        <v>2784</v>
      </c>
    </row>
    <row r="15" spans="2:6" x14ac:dyDescent="0.3">
      <c r="B15" s="218">
        <v>2233004</v>
      </c>
      <c r="C15" s="220" t="s">
        <v>2877</v>
      </c>
      <c r="D15" s="220" t="s">
        <v>2878</v>
      </c>
      <c r="E15" s="220" t="s">
        <v>846</v>
      </c>
      <c r="F15" s="220" t="s">
        <v>2879</v>
      </c>
    </row>
    <row r="16" spans="2:6" x14ac:dyDescent="0.3">
      <c r="B16" s="218" t="s">
        <v>2803</v>
      </c>
      <c r="C16" s="220" t="s">
        <v>2880</v>
      </c>
      <c r="D16" s="220" t="s">
        <v>2881</v>
      </c>
      <c r="E16" s="220" t="s">
        <v>2804</v>
      </c>
      <c r="F16" s="220" t="s">
        <v>2805</v>
      </c>
    </row>
    <row r="17" spans="2:6" x14ac:dyDescent="0.3">
      <c r="B17" s="218">
        <v>2236085</v>
      </c>
      <c r="C17" s="220" t="s">
        <v>2882</v>
      </c>
      <c r="D17" s="220" t="s">
        <v>2883</v>
      </c>
      <c r="E17" s="220" t="s">
        <v>882</v>
      </c>
      <c r="F17" s="220" t="s">
        <v>2884</v>
      </c>
    </row>
    <row r="18" spans="2:6" x14ac:dyDescent="0.3">
      <c r="B18" s="218">
        <v>2244267</v>
      </c>
      <c r="C18" s="220" t="s">
        <v>2885</v>
      </c>
      <c r="D18" s="220" t="s">
        <v>2886</v>
      </c>
      <c r="E18" s="220" t="s">
        <v>936</v>
      </c>
      <c r="F18" s="220" t="s">
        <v>2701</v>
      </c>
    </row>
    <row r="19" spans="2:6" x14ac:dyDescent="0.3">
      <c r="B19" s="218">
        <v>2244256</v>
      </c>
      <c r="C19" s="220" t="s">
        <v>2887</v>
      </c>
      <c r="D19" s="220" t="s">
        <v>2888</v>
      </c>
      <c r="E19" s="220" t="s">
        <v>924</v>
      </c>
      <c r="F19" s="220" t="s">
        <v>2708</v>
      </c>
    </row>
    <row r="20" spans="2:6" x14ac:dyDescent="0.3">
      <c r="B20" s="218">
        <v>2280878</v>
      </c>
      <c r="C20" s="220" t="s">
        <v>2889</v>
      </c>
      <c r="D20" s="220" t="s">
        <v>2890</v>
      </c>
      <c r="E20" s="220" t="s">
        <v>2811</v>
      </c>
      <c r="F20" s="220" t="s">
        <v>2666</v>
      </c>
    </row>
    <row r="21" spans="2:6" x14ac:dyDescent="0.3">
      <c r="B21" s="218">
        <v>2236030</v>
      </c>
      <c r="C21" s="220" t="s">
        <v>2891</v>
      </c>
      <c r="D21" s="220" t="s">
        <v>2892</v>
      </c>
      <c r="E21" s="220" t="s">
        <v>873</v>
      </c>
      <c r="F21" s="220" t="s">
        <v>2893</v>
      </c>
    </row>
    <row r="22" spans="2:6" x14ac:dyDescent="0.3">
      <c r="B22" s="218">
        <v>2282018</v>
      </c>
      <c r="C22" s="220" t="s">
        <v>2894</v>
      </c>
      <c r="D22" s="220" t="s">
        <v>2895</v>
      </c>
      <c r="E22" s="220" t="s">
        <v>1995</v>
      </c>
      <c r="F22" s="220" t="s">
        <v>2676</v>
      </c>
    </row>
    <row r="23" spans="2:6" x14ac:dyDescent="0.3">
      <c r="B23" s="218">
        <v>2280863</v>
      </c>
      <c r="C23" s="220" t="s">
        <v>2896</v>
      </c>
      <c r="D23" s="220" t="s">
        <v>2897</v>
      </c>
      <c r="E23" s="220" t="s">
        <v>1962</v>
      </c>
      <c r="F23" s="220" t="s">
        <v>2677</v>
      </c>
    </row>
    <row r="24" spans="2:6" x14ac:dyDescent="0.3">
      <c r="B24" s="218">
        <v>2243209</v>
      </c>
      <c r="C24" s="220" t="s">
        <v>2898</v>
      </c>
      <c r="D24" s="220" t="s">
        <v>2899</v>
      </c>
      <c r="E24" s="220" t="s">
        <v>1758</v>
      </c>
      <c r="F24" s="220" t="s">
        <v>2718</v>
      </c>
    </row>
    <row r="25" spans="2:6" x14ac:dyDescent="0.3">
      <c r="B25" s="218">
        <v>2243245</v>
      </c>
      <c r="C25" s="220" t="s">
        <v>2900</v>
      </c>
      <c r="D25" s="220" t="s">
        <v>2901</v>
      </c>
      <c r="E25" s="220" t="s">
        <v>1791</v>
      </c>
      <c r="F25" s="220" t="s">
        <v>2719</v>
      </c>
    </row>
    <row r="26" spans="2:6" x14ac:dyDescent="0.3">
      <c r="B26" s="218">
        <v>2258553</v>
      </c>
      <c r="C26" s="220" t="s">
        <v>2902</v>
      </c>
      <c r="D26" s="220" t="s">
        <v>2903</v>
      </c>
      <c r="E26" s="220" t="s">
        <v>1917</v>
      </c>
      <c r="F26" s="220" t="s">
        <v>2649</v>
      </c>
    </row>
    <row r="27" spans="2:6" x14ac:dyDescent="0.3">
      <c r="B27" s="218">
        <v>2244612</v>
      </c>
      <c r="C27" s="220" t="s">
        <v>2904</v>
      </c>
      <c r="D27" s="220" t="s">
        <v>2905</v>
      </c>
      <c r="E27" s="220" t="s">
        <v>942</v>
      </c>
      <c r="F27" s="220" t="s">
        <v>2715</v>
      </c>
    </row>
    <row r="28" spans="2:6" x14ac:dyDescent="0.3">
      <c r="B28" s="218">
        <v>2258037</v>
      </c>
      <c r="C28" s="220" t="s">
        <v>2906</v>
      </c>
      <c r="D28" s="220" t="s">
        <v>2907</v>
      </c>
      <c r="E28" s="220" t="s">
        <v>1887</v>
      </c>
      <c r="F28" s="220" t="s">
        <v>2690</v>
      </c>
    </row>
    <row r="29" spans="2:6" x14ac:dyDescent="0.3">
      <c r="B29" s="218">
        <v>2244735</v>
      </c>
      <c r="C29" s="220" t="s">
        <v>2908</v>
      </c>
      <c r="D29" s="220" t="s">
        <v>2909</v>
      </c>
      <c r="E29" s="220" t="s">
        <v>2720</v>
      </c>
      <c r="F29" s="220" t="s">
        <v>2721</v>
      </c>
    </row>
    <row r="30" spans="2:6" x14ac:dyDescent="0.3">
      <c r="B30" s="218">
        <v>1478991</v>
      </c>
      <c r="C30" s="220" t="s">
        <v>2910</v>
      </c>
      <c r="D30" s="220" t="s">
        <v>2911</v>
      </c>
      <c r="E30" s="220" t="s">
        <v>1471</v>
      </c>
      <c r="F30" s="220" t="s">
        <v>2783</v>
      </c>
    </row>
    <row r="31" spans="2:6" x14ac:dyDescent="0.3">
      <c r="B31" s="218">
        <v>2250957</v>
      </c>
      <c r="C31" s="220" t="s">
        <v>2912</v>
      </c>
      <c r="D31" s="220" t="s">
        <v>2913</v>
      </c>
      <c r="E31" s="220" t="s">
        <v>1857</v>
      </c>
      <c r="F31" s="220" t="s">
        <v>2740</v>
      </c>
    </row>
    <row r="32" spans="2:6" x14ac:dyDescent="0.3">
      <c r="B32" s="218" t="s">
        <v>1907</v>
      </c>
      <c r="C32" s="220" t="s">
        <v>2914</v>
      </c>
      <c r="D32" s="220" t="s">
        <v>2915</v>
      </c>
      <c r="E32" s="220" t="s">
        <v>1908</v>
      </c>
      <c r="F32" s="220" t="s">
        <v>2650</v>
      </c>
    </row>
    <row r="33" spans="2:6" x14ac:dyDescent="0.3">
      <c r="B33" s="218">
        <v>2236087</v>
      </c>
      <c r="C33" s="220" t="s">
        <v>2916</v>
      </c>
      <c r="D33" s="220" t="s">
        <v>2917</v>
      </c>
      <c r="E33" s="220" t="s">
        <v>888</v>
      </c>
      <c r="F33" s="220" t="s">
        <v>2918</v>
      </c>
    </row>
    <row r="34" spans="2:6" x14ac:dyDescent="0.3">
      <c r="B34" s="218">
        <v>2280854</v>
      </c>
      <c r="C34" s="220" t="s">
        <v>2919</v>
      </c>
      <c r="D34" s="220" t="s">
        <v>2920</v>
      </c>
      <c r="E34" s="220" t="s">
        <v>2812</v>
      </c>
      <c r="F34" s="220" t="s">
        <v>2673</v>
      </c>
    </row>
    <row r="35" spans="2:6" x14ac:dyDescent="0.3">
      <c r="B35" s="218">
        <v>2235984</v>
      </c>
      <c r="C35" s="220" t="s">
        <v>2921</v>
      </c>
      <c r="D35" s="220" t="s">
        <v>2922</v>
      </c>
      <c r="E35" s="220" t="s">
        <v>864</v>
      </c>
      <c r="F35" s="220" t="s">
        <v>2923</v>
      </c>
    </row>
    <row r="36" spans="2:6" x14ac:dyDescent="0.3">
      <c r="B36" s="218">
        <v>2258577</v>
      </c>
      <c r="C36" s="220" t="s">
        <v>2924</v>
      </c>
      <c r="D36" s="220" t="s">
        <v>2925</v>
      </c>
      <c r="E36" s="220" t="s">
        <v>1024</v>
      </c>
      <c r="F36" s="220" t="s">
        <v>2789</v>
      </c>
    </row>
    <row r="37" spans="2:6" x14ac:dyDescent="0.3">
      <c r="B37" s="218">
        <v>1763503</v>
      </c>
      <c r="C37" s="220" t="s">
        <v>2926</v>
      </c>
      <c r="D37" s="220" t="s">
        <v>2927</v>
      </c>
      <c r="E37" s="220" t="s">
        <v>2722</v>
      </c>
      <c r="F37" s="220" t="s">
        <v>2723</v>
      </c>
    </row>
    <row r="38" spans="2:6" x14ac:dyDescent="0.3">
      <c r="B38" s="218">
        <v>2243261</v>
      </c>
      <c r="C38" s="220" t="s">
        <v>2928</v>
      </c>
      <c r="D38" s="220" t="s">
        <v>2929</v>
      </c>
      <c r="E38" s="220" t="s">
        <v>900</v>
      </c>
      <c r="F38" s="220" t="s">
        <v>2714</v>
      </c>
    </row>
    <row r="39" spans="2:6" x14ac:dyDescent="0.3">
      <c r="B39" s="218">
        <v>2258006</v>
      </c>
      <c r="C39" s="220" t="s">
        <v>2930</v>
      </c>
      <c r="D39" s="220" t="s">
        <v>2931</v>
      </c>
      <c r="E39" s="220" t="s">
        <v>1863</v>
      </c>
      <c r="F39" s="220" t="s">
        <v>2683</v>
      </c>
    </row>
    <row r="40" spans="2:6" x14ac:dyDescent="0.3">
      <c r="B40" s="218">
        <v>2254045</v>
      </c>
      <c r="C40" s="220" t="s">
        <v>2932</v>
      </c>
      <c r="D40" s="220" t="s">
        <v>2933</v>
      </c>
      <c r="E40" s="220" t="s">
        <v>963</v>
      </c>
      <c r="F40" s="220" t="s">
        <v>2775</v>
      </c>
    </row>
    <row r="41" spans="2:6" x14ac:dyDescent="0.3">
      <c r="B41" s="218">
        <v>2236081</v>
      </c>
      <c r="C41" s="220" t="s">
        <v>2934</v>
      </c>
      <c r="D41" s="220" t="s">
        <v>2935</v>
      </c>
      <c r="E41" s="220" t="s">
        <v>879</v>
      </c>
      <c r="F41" s="220" t="s">
        <v>2936</v>
      </c>
    </row>
    <row r="42" spans="2:6" x14ac:dyDescent="0.3">
      <c r="B42" s="218">
        <v>2281274</v>
      </c>
      <c r="C42" s="220" t="s">
        <v>2937</v>
      </c>
      <c r="D42" s="220" t="s">
        <v>2938</v>
      </c>
      <c r="E42" s="220" t="s">
        <v>2813</v>
      </c>
      <c r="F42" s="220" t="s">
        <v>2814</v>
      </c>
    </row>
    <row r="43" spans="2:6" x14ac:dyDescent="0.3">
      <c r="B43" s="218">
        <v>2280861</v>
      </c>
      <c r="C43" s="220" t="s">
        <v>2939</v>
      </c>
      <c r="D43" s="220" t="s">
        <v>2940</v>
      </c>
      <c r="E43" s="220" t="s">
        <v>1959</v>
      </c>
      <c r="F43" s="220" t="s">
        <v>2669</v>
      </c>
    </row>
    <row r="44" spans="2:6" x14ac:dyDescent="0.3">
      <c r="B44" s="218">
        <v>2250934</v>
      </c>
      <c r="C44" s="220" t="s">
        <v>2941</v>
      </c>
      <c r="D44" s="220" t="s">
        <v>2942</v>
      </c>
      <c r="E44" s="220" t="s">
        <v>1848</v>
      </c>
      <c r="F44" s="220" t="s">
        <v>2741</v>
      </c>
    </row>
    <row r="45" spans="2:6" x14ac:dyDescent="0.3">
      <c r="B45" s="218">
        <v>2258074</v>
      </c>
      <c r="C45" s="220" t="s">
        <v>2943</v>
      </c>
      <c r="D45" s="220" t="s">
        <v>2944</v>
      </c>
      <c r="E45" s="220" t="s">
        <v>1905</v>
      </c>
      <c r="F45" s="220" t="s">
        <v>2782</v>
      </c>
    </row>
    <row r="46" spans="2:6" x14ac:dyDescent="0.3">
      <c r="B46" s="218">
        <v>2282130</v>
      </c>
      <c r="C46" s="220" t="s">
        <v>2945</v>
      </c>
      <c r="D46" s="220" t="s">
        <v>2946</v>
      </c>
      <c r="E46" s="220" t="s">
        <v>2016</v>
      </c>
      <c r="F46" s="220" t="s">
        <v>2674</v>
      </c>
    </row>
    <row r="47" spans="2:6" x14ac:dyDescent="0.3">
      <c r="B47" s="218">
        <v>2258010</v>
      </c>
      <c r="C47" s="220" t="s">
        <v>2947</v>
      </c>
      <c r="D47" s="220" t="s">
        <v>2948</v>
      </c>
      <c r="E47" s="220" t="s">
        <v>1869</v>
      </c>
      <c r="F47" s="220" t="s">
        <v>2685</v>
      </c>
    </row>
    <row r="48" spans="2:6" x14ac:dyDescent="0.3">
      <c r="B48" s="218">
        <v>2247420</v>
      </c>
      <c r="C48" s="220" t="s">
        <v>2949</v>
      </c>
      <c r="D48" s="220" t="s">
        <v>2950</v>
      </c>
      <c r="E48" s="220" t="s">
        <v>1824</v>
      </c>
      <c r="F48" s="220" t="s">
        <v>2742</v>
      </c>
    </row>
    <row r="49" spans="2:6" x14ac:dyDescent="0.3">
      <c r="B49" s="218">
        <v>2160029</v>
      </c>
      <c r="C49" s="220" t="s">
        <v>2951</v>
      </c>
      <c r="D49" s="220" t="s">
        <v>2952</v>
      </c>
      <c r="E49" s="220" t="s">
        <v>1752</v>
      </c>
      <c r="F49" s="220" t="s">
        <v>2667</v>
      </c>
    </row>
    <row r="50" spans="2:6" x14ac:dyDescent="0.3">
      <c r="B50" s="218">
        <v>2243226</v>
      </c>
      <c r="C50" s="220" t="s">
        <v>2953</v>
      </c>
      <c r="D50" s="220" t="s">
        <v>2954</v>
      </c>
      <c r="E50" s="220" t="s">
        <v>1770</v>
      </c>
      <c r="F50" s="220" t="s">
        <v>2724</v>
      </c>
    </row>
    <row r="51" spans="2:6" x14ac:dyDescent="0.3">
      <c r="B51" s="218" t="s">
        <v>1931</v>
      </c>
      <c r="C51" s="220" t="s">
        <v>2955</v>
      </c>
      <c r="D51" s="220" t="s">
        <v>2956</v>
      </c>
      <c r="E51" s="220" t="s">
        <v>1932</v>
      </c>
      <c r="F51" s="220" t="s">
        <v>2651</v>
      </c>
    </row>
    <row r="52" spans="2:6" x14ac:dyDescent="0.3">
      <c r="B52" s="218">
        <v>2250954</v>
      </c>
      <c r="C52" s="220" t="s">
        <v>2957</v>
      </c>
      <c r="D52" s="220" t="s">
        <v>2958</v>
      </c>
      <c r="E52" s="220" t="s">
        <v>1854</v>
      </c>
      <c r="F52" s="220" t="s">
        <v>2743</v>
      </c>
    </row>
    <row r="53" spans="2:6" x14ac:dyDescent="0.3">
      <c r="B53" s="218">
        <v>2235972</v>
      </c>
      <c r="C53" s="220" t="s">
        <v>2959</v>
      </c>
      <c r="D53" s="220" t="s">
        <v>2960</v>
      </c>
      <c r="E53" s="220" t="s">
        <v>858</v>
      </c>
      <c r="F53" s="220" t="s">
        <v>2961</v>
      </c>
    </row>
    <row r="54" spans="2:6" x14ac:dyDescent="0.3">
      <c r="B54" s="218">
        <v>2258592</v>
      </c>
      <c r="C54" s="220" t="s">
        <v>2962</v>
      </c>
      <c r="D54" s="220" t="s">
        <v>2963</v>
      </c>
      <c r="E54" s="220" t="s">
        <v>1033</v>
      </c>
      <c r="F54" s="220" t="s">
        <v>2799</v>
      </c>
    </row>
    <row r="55" spans="2:6" x14ac:dyDescent="0.3">
      <c r="B55" s="218">
        <v>2232917</v>
      </c>
      <c r="C55" s="220" t="s">
        <v>2847</v>
      </c>
      <c r="D55" s="220" t="s">
        <v>2848</v>
      </c>
      <c r="E55" s="220" t="s">
        <v>843</v>
      </c>
      <c r="F55" s="220" t="s">
        <v>2849</v>
      </c>
    </row>
    <row r="56" spans="2:6" x14ac:dyDescent="0.3">
      <c r="B56" s="218" t="s">
        <v>1946</v>
      </c>
      <c r="C56" s="220" t="s">
        <v>2964</v>
      </c>
      <c r="D56" s="220" t="s">
        <v>2965</v>
      </c>
      <c r="E56" s="220" t="s">
        <v>1947</v>
      </c>
      <c r="F56" s="220" t="s">
        <v>2652</v>
      </c>
    </row>
    <row r="57" spans="2:6" x14ac:dyDescent="0.3">
      <c r="B57" s="218">
        <v>2280893</v>
      </c>
      <c r="C57" s="220" t="s">
        <v>2966</v>
      </c>
      <c r="D57" s="220" t="s">
        <v>2967</v>
      </c>
      <c r="E57" s="220" t="s">
        <v>1971</v>
      </c>
      <c r="F57" s="220" t="s">
        <v>2670</v>
      </c>
    </row>
    <row r="58" spans="2:6" x14ac:dyDescent="0.3">
      <c r="B58" s="218">
        <v>2254049</v>
      </c>
      <c r="C58" s="220" t="s">
        <v>2968</v>
      </c>
      <c r="D58" s="220" t="s">
        <v>2969</v>
      </c>
      <c r="E58" s="220" t="s">
        <v>975</v>
      </c>
      <c r="F58" s="220" t="s">
        <v>2773</v>
      </c>
    </row>
    <row r="59" spans="2:6" x14ac:dyDescent="0.3">
      <c r="B59" s="218">
        <v>2250913</v>
      </c>
      <c r="C59" s="220" t="s">
        <v>2970</v>
      </c>
      <c r="D59" s="220" t="s">
        <v>2971</v>
      </c>
      <c r="E59" s="220" t="s">
        <v>1839</v>
      </c>
      <c r="F59" s="220" t="s">
        <v>2744</v>
      </c>
    </row>
    <row r="60" spans="2:6" x14ac:dyDescent="0.3">
      <c r="B60" s="218" t="s">
        <v>1928</v>
      </c>
      <c r="C60" s="220" t="s">
        <v>2972</v>
      </c>
      <c r="D60" s="220" t="s">
        <v>2973</v>
      </c>
      <c r="E60" s="220" t="s">
        <v>1929</v>
      </c>
      <c r="F60" s="220" t="s">
        <v>2653</v>
      </c>
    </row>
    <row r="61" spans="2:6" x14ac:dyDescent="0.3">
      <c r="B61" s="218">
        <v>2258517</v>
      </c>
      <c r="C61" s="220" t="s">
        <v>2974</v>
      </c>
      <c r="D61" s="220" t="s">
        <v>2975</v>
      </c>
      <c r="E61" s="220" t="s">
        <v>1006</v>
      </c>
      <c r="F61" s="220" t="s">
        <v>2801</v>
      </c>
    </row>
    <row r="62" spans="2:6" x14ac:dyDescent="0.3">
      <c r="B62" s="218">
        <v>2280902</v>
      </c>
      <c r="C62" s="220" t="s">
        <v>2974</v>
      </c>
      <c r="D62" s="220" t="s">
        <v>2976</v>
      </c>
      <c r="E62" s="220" t="s">
        <v>1977</v>
      </c>
      <c r="F62" s="220" t="s">
        <v>2678</v>
      </c>
    </row>
    <row r="63" spans="2:6" x14ac:dyDescent="0.3">
      <c r="B63" s="218">
        <v>2244740</v>
      </c>
      <c r="C63" s="220" t="s">
        <v>2977</v>
      </c>
      <c r="D63" s="220" t="s">
        <v>2978</v>
      </c>
      <c r="E63" s="220" t="s">
        <v>1797</v>
      </c>
      <c r="F63" s="220" t="s">
        <v>2725</v>
      </c>
    </row>
    <row r="64" spans="2:6" x14ac:dyDescent="0.3">
      <c r="B64" s="218" t="s">
        <v>1943</v>
      </c>
      <c r="C64" s="220" t="s">
        <v>2979</v>
      </c>
      <c r="D64" s="220" t="s">
        <v>2980</v>
      </c>
      <c r="E64" s="220" t="s">
        <v>1944</v>
      </c>
      <c r="F64" s="220" t="s">
        <v>2654</v>
      </c>
    </row>
    <row r="65" spans="2:6" x14ac:dyDescent="0.3">
      <c r="B65" s="218">
        <v>2258073</v>
      </c>
      <c r="C65" s="220" t="s">
        <v>2981</v>
      </c>
      <c r="D65" s="220" t="s">
        <v>2982</v>
      </c>
      <c r="E65" s="220" t="s">
        <v>1902</v>
      </c>
      <c r="F65" s="220" t="s">
        <v>2781</v>
      </c>
    </row>
    <row r="66" spans="2:6" x14ac:dyDescent="0.3">
      <c r="B66" s="218">
        <v>2254051</v>
      </c>
      <c r="C66" s="220" t="s">
        <v>2983</v>
      </c>
      <c r="D66" s="220" t="s">
        <v>2984</v>
      </c>
      <c r="E66" s="220" t="s">
        <v>981</v>
      </c>
      <c r="F66" s="220" t="s">
        <v>2776</v>
      </c>
    </row>
    <row r="67" spans="2:6" x14ac:dyDescent="0.3">
      <c r="B67" s="218">
        <v>2247371</v>
      </c>
      <c r="C67" s="220" t="s">
        <v>2985</v>
      </c>
      <c r="D67" s="220" t="s">
        <v>2986</v>
      </c>
      <c r="E67" s="220" t="s">
        <v>1809</v>
      </c>
      <c r="F67" s="220" t="s">
        <v>2745</v>
      </c>
    </row>
    <row r="68" spans="2:6" x14ac:dyDescent="0.3">
      <c r="B68" s="218">
        <v>2244760</v>
      </c>
      <c r="C68" s="220" t="s">
        <v>2987</v>
      </c>
      <c r="D68" s="220" t="s">
        <v>2988</v>
      </c>
      <c r="E68" s="220" t="s">
        <v>1803</v>
      </c>
      <c r="F68" s="220" t="s">
        <v>2726</v>
      </c>
    </row>
    <row r="69" spans="2:6" x14ac:dyDescent="0.3">
      <c r="B69" s="218">
        <v>2258550</v>
      </c>
      <c r="C69" s="220" t="s">
        <v>2989</v>
      </c>
      <c r="D69" s="220" t="s">
        <v>2990</v>
      </c>
      <c r="E69" s="220" t="s">
        <v>1015</v>
      </c>
      <c r="F69" s="220" t="s">
        <v>2792</v>
      </c>
    </row>
    <row r="70" spans="2:6" x14ac:dyDescent="0.3">
      <c r="B70" s="218">
        <v>2236011</v>
      </c>
      <c r="C70" s="220" t="s">
        <v>2991</v>
      </c>
      <c r="D70" s="220" t="s">
        <v>2992</v>
      </c>
      <c r="E70" s="220" t="s">
        <v>870</v>
      </c>
      <c r="F70" s="220" t="s">
        <v>2993</v>
      </c>
    </row>
    <row r="71" spans="2:6" x14ac:dyDescent="0.3">
      <c r="B71" s="218">
        <v>2253036</v>
      </c>
      <c r="C71" s="220" t="s">
        <v>2994</v>
      </c>
      <c r="D71" s="220" t="s">
        <v>2995</v>
      </c>
      <c r="E71" s="220" t="s">
        <v>2366</v>
      </c>
      <c r="F71" s="220" t="s">
        <v>2759</v>
      </c>
    </row>
    <row r="72" spans="2:6" x14ac:dyDescent="0.3">
      <c r="B72" s="218">
        <v>2258066</v>
      </c>
      <c r="C72" s="220" t="s">
        <v>2996</v>
      </c>
      <c r="D72" s="220" t="s">
        <v>2997</v>
      </c>
      <c r="E72" s="220" t="s">
        <v>1899</v>
      </c>
      <c r="F72" s="220" t="s">
        <v>2691</v>
      </c>
    </row>
    <row r="73" spans="2:6" x14ac:dyDescent="0.3">
      <c r="B73" s="218">
        <v>2254043</v>
      </c>
      <c r="C73" s="220" t="s">
        <v>2998</v>
      </c>
      <c r="D73" s="220" t="s">
        <v>2999</v>
      </c>
      <c r="E73" s="220" t="s">
        <v>957</v>
      </c>
      <c r="F73" s="220" t="s">
        <v>2768</v>
      </c>
    </row>
    <row r="74" spans="2:6" x14ac:dyDescent="0.3">
      <c r="B74" s="218">
        <v>1285305</v>
      </c>
      <c r="C74" s="220" t="s">
        <v>3000</v>
      </c>
      <c r="D74" s="220" t="s">
        <v>3001</v>
      </c>
      <c r="E74" s="220" t="s">
        <v>1428</v>
      </c>
      <c r="F74" s="220" t="s">
        <v>2681</v>
      </c>
    </row>
    <row r="75" spans="2:6" x14ac:dyDescent="0.3">
      <c r="B75" s="218">
        <v>2282987</v>
      </c>
      <c r="C75" s="220" t="s">
        <v>3002</v>
      </c>
      <c r="D75" s="220" t="s">
        <v>3003</v>
      </c>
      <c r="E75" s="220" t="s">
        <v>2040</v>
      </c>
      <c r="F75" s="220" t="s">
        <v>2846</v>
      </c>
    </row>
    <row r="76" spans="2:6" x14ac:dyDescent="0.3">
      <c r="B76" s="218">
        <v>2233676</v>
      </c>
      <c r="C76" s="220" t="s">
        <v>3004</v>
      </c>
      <c r="D76" s="220" t="s">
        <v>3005</v>
      </c>
      <c r="E76" s="220" t="s">
        <v>855</v>
      </c>
      <c r="F76" s="220" t="s">
        <v>3006</v>
      </c>
    </row>
    <row r="77" spans="2:6" x14ac:dyDescent="0.3">
      <c r="B77" s="218">
        <v>2254053</v>
      </c>
      <c r="C77" s="220" t="s">
        <v>3007</v>
      </c>
      <c r="D77" s="220" t="s">
        <v>3008</v>
      </c>
      <c r="E77" s="220" t="s">
        <v>2760</v>
      </c>
      <c r="F77" s="220" t="s">
        <v>2761</v>
      </c>
    </row>
    <row r="78" spans="2:6" x14ac:dyDescent="0.3">
      <c r="B78" s="218">
        <v>2243272</v>
      </c>
      <c r="C78" s="220" t="s">
        <v>3009</v>
      </c>
      <c r="D78" s="220" t="s">
        <v>3010</v>
      </c>
      <c r="E78" s="220" t="s">
        <v>909</v>
      </c>
      <c r="F78" s="220" t="s">
        <v>2705</v>
      </c>
    </row>
    <row r="79" spans="2:6" x14ac:dyDescent="0.3">
      <c r="B79" s="218">
        <v>2109649</v>
      </c>
      <c r="C79" s="220" t="s">
        <v>3011</v>
      </c>
      <c r="D79" s="220" t="s">
        <v>3012</v>
      </c>
      <c r="E79" s="220" t="s">
        <v>675</v>
      </c>
      <c r="F79" s="220" t="s">
        <v>2709</v>
      </c>
    </row>
    <row r="80" spans="2:6" x14ac:dyDescent="0.3">
      <c r="B80" s="218">
        <v>2258515</v>
      </c>
      <c r="C80" s="220" t="s">
        <v>3013</v>
      </c>
      <c r="D80" s="220" t="s">
        <v>3014</v>
      </c>
      <c r="E80" s="220" t="s">
        <v>999</v>
      </c>
      <c r="F80" s="220" t="s">
        <v>2786</v>
      </c>
    </row>
    <row r="81" spans="2:6" x14ac:dyDescent="0.3">
      <c r="B81" s="218">
        <v>1937547</v>
      </c>
      <c r="C81" s="220" t="s">
        <v>3013</v>
      </c>
      <c r="D81" s="220" t="s">
        <v>3015</v>
      </c>
      <c r="E81" s="220" t="s">
        <v>1574</v>
      </c>
      <c r="F81" s="220" t="s">
        <v>2843</v>
      </c>
    </row>
    <row r="82" spans="2:6" x14ac:dyDescent="0.3">
      <c r="B82" s="218">
        <v>2258018</v>
      </c>
      <c r="C82" s="220" t="s">
        <v>3016</v>
      </c>
      <c r="D82" s="220" t="s">
        <v>3017</v>
      </c>
      <c r="E82" s="220" t="s">
        <v>1875</v>
      </c>
      <c r="F82" s="220" t="s">
        <v>2680</v>
      </c>
    </row>
    <row r="83" spans="2:6" x14ac:dyDescent="0.3">
      <c r="B83" s="218">
        <v>2247367</v>
      </c>
      <c r="C83" s="220" t="s">
        <v>3018</v>
      </c>
      <c r="D83" s="220" t="s">
        <v>3019</v>
      </c>
      <c r="E83" s="220" t="s">
        <v>1806</v>
      </c>
      <c r="F83" s="220" t="s">
        <v>2746</v>
      </c>
    </row>
    <row r="84" spans="2:6" x14ac:dyDescent="0.3">
      <c r="B84" s="218">
        <v>2243253</v>
      </c>
      <c r="C84" s="220" t="s">
        <v>3020</v>
      </c>
      <c r="D84" s="220" t="s">
        <v>3021</v>
      </c>
      <c r="E84" s="220" t="s">
        <v>1794</v>
      </c>
      <c r="F84" s="220" t="s">
        <v>2727</v>
      </c>
    </row>
    <row r="85" spans="2:6" x14ac:dyDescent="0.3">
      <c r="B85" s="218">
        <v>2236086</v>
      </c>
      <c r="C85" s="220" t="s">
        <v>3022</v>
      </c>
      <c r="D85" s="220" t="s">
        <v>3023</v>
      </c>
      <c r="E85" s="220" t="s">
        <v>885</v>
      </c>
      <c r="F85" s="220" t="s">
        <v>3024</v>
      </c>
    </row>
    <row r="86" spans="2:6" x14ac:dyDescent="0.3">
      <c r="B86" s="218">
        <v>2250907</v>
      </c>
      <c r="C86" s="220" t="s">
        <v>3025</v>
      </c>
      <c r="D86" s="220" t="s">
        <v>3026</v>
      </c>
      <c r="E86" s="220" t="s">
        <v>1830</v>
      </c>
      <c r="F86" s="220" t="s">
        <v>2747</v>
      </c>
    </row>
    <row r="87" spans="2:6" x14ac:dyDescent="0.3">
      <c r="B87" s="218">
        <v>2282551</v>
      </c>
      <c r="C87" s="220" t="s">
        <v>3027</v>
      </c>
      <c r="D87" s="220" t="s">
        <v>3028</v>
      </c>
      <c r="E87" s="220" t="s">
        <v>2034</v>
      </c>
      <c r="F87" s="220" t="s">
        <v>2841</v>
      </c>
    </row>
    <row r="88" spans="2:6" x14ac:dyDescent="0.3">
      <c r="B88" s="218">
        <v>2258536</v>
      </c>
      <c r="C88" s="220" t="s">
        <v>3029</v>
      </c>
      <c r="D88" s="220" t="s">
        <v>3030</v>
      </c>
      <c r="E88" s="220" t="s">
        <v>1012</v>
      </c>
      <c r="F88" s="220" t="s">
        <v>2791</v>
      </c>
    </row>
    <row r="89" spans="2:6" x14ac:dyDescent="0.3">
      <c r="B89" s="218">
        <v>2258516</v>
      </c>
      <c r="C89" s="220" t="s">
        <v>3031</v>
      </c>
      <c r="D89" s="220" t="s">
        <v>3032</v>
      </c>
      <c r="E89" s="220" t="s">
        <v>1003</v>
      </c>
      <c r="F89" s="220" t="s">
        <v>2793</v>
      </c>
    </row>
    <row r="90" spans="2:6" x14ac:dyDescent="0.3">
      <c r="B90" s="218">
        <v>2258056</v>
      </c>
      <c r="C90" s="220" t="s">
        <v>3033</v>
      </c>
      <c r="D90" s="220" t="s">
        <v>3034</v>
      </c>
      <c r="E90" s="220" t="s">
        <v>1896</v>
      </c>
      <c r="F90" s="220" t="s">
        <v>2689</v>
      </c>
    </row>
    <row r="91" spans="2:6" x14ac:dyDescent="0.3">
      <c r="B91" s="218">
        <v>2243223</v>
      </c>
      <c r="C91" s="220" t="s">
        <v>3035</v>
      </c>
      <c r="D91" s="220" t="s">
        <v>3036</v>
      </c>
      <c r="E91" s="220" t="s">
        <v>1767</v>
      </c>
      <c r="F91" s="220" t="s">
        <v>2728</v>
      </c>
    </row>
    <row r="92" spans="2:6" x14ac:dyDescent="0.3">
      <c r="B92" s="218" t="s">
        <v>1922</v>
      </c>
      <c r="C92" s="220" t="s">
        <v>3037</v>
      </c>
      <c r="D92" s="220" t="s">
        <v>3038</v>
      </c>
      <c r="E92" s="220" t="s">
        <v>1923</v>
      </c>
      <c r="F92" s="220" t="s">
        <v>2655</v>
      </c>
    </row>
    <row r="93" spans="2:6" x14ac:dyDescent="0.3">
      <c r="B93" s="218">
        <v>2258048</v>
      </c>
      <c r="C93" s="220" t="s">
        <v>3039</v>
      </c>
      <c r="D93" s="220" t="s">
        <v>3040</v>
      </c>
      <c r="E93" s="220" t="s">
        <v>1893</v>
      </c>
      <c r="F93" s="220" t="s">
        <v>2684</v>
      </c>
    </row>
    <row r="94" spans="2:6" x14ac:dyDescent="0.3">
      <c r="B94" s="218">
        <v>2243285</v>
      </c>
      <c r="C94" s="220" t="s">
        <v>3041</v>
      </c>
      <c r="D94" s="220" t="s">
        <v>3042</v>
      </c>
      <c r="E94" s="220" t="s">
        <v>912</v>
      </c>
      <c r="F94" s="220" t="s">
        <v>2707</v>
      </c>
    </row>
    <row r="95" spans="2:6" x14ac:dyDescent="0.3">
      <c r="B95" s="218">
        <v>2260128</v>
      </c>
      <c r="C95" s="220" t="s">
        <v>3043</v>
      </c>
      <c r="D95" s="220" t="s">
        <v>3044</v>
      </c>
      <c r="E95" s="220" t="s">
        <v>1036</v>
      </c>
      <c r="F95" s="220" t="s">
        <v>2787</v>
      </c>
    </row>
    <row r="96" spans="2:6" x14ac:dyDescent="0.3">
      <c r="B96" s="218">
        <v>2243222</v>
      </c>
      <c r="C96" s="220" t="s">
        <v>3045</v>
      </c>
      <c r="D96" s="220" t="s">
        <v>3046</v>
      </c>
      <c r="E96" s="220" t="s">
        <v>1764</v>
      </c>
      <c r="F96" s="220" t="s">
        <v>2729</v>
      </c>
    </row>
    <row r="97" spans="2:6" x14ac:dyDescent="0.3">
      <c r="B97" s="218">
        <v>2258571</v>
      </c>
      <c r="C97" s="220" t="s">
        <v>3047</v>
      </c>
      <c r="D97" s="220" t="s">
        <v>3048</v>
      </c>
      <c r="E97" s="220" t="s">
        <v>1018</v>
      </c>
      <c r="F97" s="220" t="s">
        <v>2794</v>
      </c>
    </row>
    <row r="98" spans="2:6" x14ac:dyDescent="0.3">
      <c r="B98" s="218">
        <v>2250925</v>
      </c>
      <c r="C98" s="220" t="s">
        <v>3049</v>
      </c>
      <c r="D98" s="220" t="s">
        <v>3050</v>
      </c>
      <c r="E98" s="220" t="s">
        <v>1842</v>
      </c>
      <c r="F98" s="220" t="s">
        <v>2748</v>
      </c>
    </row>
    <row r="99" spans="2:6" x14ac:dyDescent="0.3">
      <c r="B99" s="218">
        <v>2243236</v>
      </c>
      <c r="C99" s="220" t="s">
        <v>3051</v>
      </c>
      <c r="D99" s="220" t="s">
        <v>3052</v>
      </c>
      <c r="E99" s="220" t="s">
        <v>1782</v>
      </c>
      <c r="F99" s="220" t="s">
        <v>2730</v>
      </c>
    </row>
    <row r="100" spans="2:6" x14ac:dyDescent="0.3">
      <c r="B100" s="218">
        <v>2247414</v>
      </c>
      <c r="C100" s="220" t="s">
        <v>3053</v>
      </c>
      <c r="D100" s="220" t="s">
        <v>3054</v>
      </c>
      <c r="E100" s="220" t="s">
        <v>2355</v>
      </c>
      <c r="F100" s="220" t="s">
        <v>2749</v>
      </c>
    </row>
    <row r="101" spans="2:6" x14ac:dyDescent="0.3">
      <c r="B101" s="218" t="s">
        <v>992</v>
      </c>
      <c r="C101" s="220" t="s">
        <v>3055</v>
      </c>
      <c r="D101" s="220" t="s">
        <v>3052</v>
      </c>
      <c r="E101" s="220" t="s">
        <v>993</v>
      </c>
      <c r="F101" s="220" t="s">
        <v>2777</v>
      </c>
    </row>
    <row r="102" spans="2:6" x14ac:dyDescent="0.3">
      <c r="B102" s="218" t="s">
        <v>1949</v>
      </c>
      <c r="C102" s="220" t="s">
        <v>3056</v>
      </c>
      <c r="D102" s="220" t="s">
        <v>3057</v>
      </c>
      <c r="E102" s="220" t="s">
        <v>1950</v>
      </c>
      <c r="F102" s="220" t="s">
        <v>2656</v>
      </c>
    </row>
    <row r="103" spans="2:6" x14ac:dyDescent="0.3">
      <c r="B103" s="218" t="s">
        <v>1934</v>
      </c>
      <c r="C103" s="220" t="s">
        <v>3058</v>
      </c>
      <c r="D103" s="220" t="s">
        <v>3059</v>
      </c>
      <c r="E103" s="220" t="s">
        <v>1935</v>
      </c>
      <c r="F103" s="220" t="s">
        <v>2657</v>
      </c>
    </row>
    <row r="104" spans="2:6" x14ac:dyDescent="0.3">
      <c r="B104" s="218">
        <v>2238202</v>
      </c>
      <c r="C104" s="220" t="s">
        <v>3060</v>
      </c>
      <c r="D104" s="220" t="s">
        <v>3061</v>
      </c>
      <c r="E104" s="220" t="s">
        <v>891</v>
      </c>
      <c r="F104" s="220" t="s">
        <v>2694</v>
      </c>
    </row>
    <row r="105" spans="2:6" x14ac:dyDescent="0.3">
      <c r="B105" s="218" t="s">
        <v>2806</v>
      </c>
      <c r="C105" s="220" t="s">
        <v>3062</v>
      </c>
      <c r="D105" s="220" t="s">
        <v>3063</v>
      </c>
      <c r="E105" s="220" t="s">
        <v>2807</v>
      </c>
      <c r="F105" s="220" t="s">
        <v>2808</v>
      </c>
    </row>
    <row r="106" spans="2:6" x14ac:dyDescent="0.3">
      <c r="B106" s="218">
        <v>2250910</v>
      </c>
      <c r="C106" s="220" t="s">
        <v>3064</v>
      </c>
      <c r="D106" s="220" t="s">
        <v>3065</v>
      </c>
      <c r="E106" s="220" t="s">
        <v>1833</v>
      </c>
      <c r="F106" s="220" t="s">
        <v>2750</v>
      </c>
    </row>
    <row r="107" spans="2:6" x14ac:dyDescent="0.3">
      <c r="B107" s="218">
        <v>2283016</v>
      </c>
      <c r="C107" s="220" t="s">
        <v>3066</v>
      </c>
      <c r="D107" s="220" t="s">
        <v>3067</v>
      </c>
      <c r="E107" s="220" t="s">
        <v>2043</v>
      </c>
      <c r="F107" s="220" t="s">
        <v>2842</v>
      </c>
    </row>
    <row r="108" spans="2:6" x14ac:dyDescent="0.3">
      <c r="B108" s="218" t="s">
        <v>1940</v>
      </c>
      <c r="C108" s="220" t="s">
        <v>3068</v>
      </c>
      <c r="D108" s="220" t="s">
        <v>3069</v>
      </c>
      <c r="E108" s="220" t="s">
        <v>1941</v>
      </c>
      <c r="F108" s="220" t="s">
        <v>2658</v>
      </c>
    </row>
    <row r="109" spans="2:6" x14ac:dyDescent="0.3">
      <c r="B109" s="218">
        <v>2258005</v>
      </c>
      <c r="C109" s="220" t="s">
        <v>3070</v>
      </c>
      <c r="D109" s="220" t="s">
        <v>3071</v>
      </c>
      <c r="E109" s="220" t="s">
        <v>1860</v>
      </c>
      <c r="F109" s="220" t="s">
        <v>2682</v>
      </c>
    </row>
    <row r="110" spans="2:6" x14ac:dyDescent="0.3">
      <c r="B110" s="218">
        <v>2233020</v>
      </c>
      <c r="C110" s="220" t="s">
        <v>3072</v>
      </c>
      <c r="D110" s="220" t="s">
        <v>3073</v>
      </c>
      <c r="E110" s="220" t="s">
        <v>852</v>
      </c>
      <c r="F110" s="220" t="s">
        <v>3074</v>
      </c>
    </row>
    <row r="111" spans="2:6" x14ac:dyDescent="0.3">
      <c r="B111" s="218">
        <v>2247380</v>
      </c>
      <c r="C111" s="220" t="s">
        <v>3075</v>
      </c>
      <c r="D111" s="220" t="s">
        <v>3076</v>
      </c>
      <c r="E111" s="220" t="s">
        <v>1815</v>
      </c>
      <c r="F111" s="220" t="s">
        <v>2751</v>
      </c>
    </row>
    <row r="112" spans="2:6" x14ac:dyDescent="0.3">
      <c r="B112" s="218">
        <v>2247405</v>
      </c>
      <c r="C112" s="220" t="s">
        <v>3077</v>
      </c>
      <c r="D112" s="220" t="s">
        <v>3078</v>
      </c>
      <c r="E112" s="220" t="s">
        <v>1821</v>
      </c>
      <c r="F112" s="220" t="s">
        <v>2752</v>
      </c>
    </row>
    <row r="113" spans="2:6" x14ac:dyDescent="0.3">
      <c r="B113" s="218">
        <v>2250947</v>
      </c>
      <c r="C113" s="220" t="s">
        <v>3079</v>
      </c>
      <c r="D113" s="220" t="s">
        <v>3080</v>
      </c>
      <c r="E113" s="220" t="s">
        <v>1851</v>
      </c>
      <c r="F113" s="220" t="s">
        <v>2753</v>
      </c>
    </row>
    <row r="114" spans="2:6" x14ac:dyDescent="0.3">
      <c r="B114" s="218">
        <v>2258009</v>
      </c>
      <c r="C114" s="220" t="s">
        <v>3081</v>
      </c>
      <c r="D114" s="220" t="s">
        <v>3082</v>
      </c>
      <c r="E114" s="220" t="s">
        <v>1866</v>
      </c>
      <c r="F114" s="220" t="s">
        <v>2687</v>
      </c>
    </row>
    <row r="115" spans="2:6" x14ac:dyDescent="0.3">
      <c r="B115" s="218">
        <v>2254046</v>
      </c>
      <c r="C115" s="220" t="s">
        <v>3083</v>
      </c>
      <c r="D115" s="220" t="s">
        <v>3084</v>
      </c>
      <c r="E115" s="220" t="s">
        <v>966</v>
      </c>
      <c r="F115" s="220" t="s">
        <v>2762</v>
      </c>
    </row>
    <row r="116" spans="2:6" x14ac:dyDescent="0.3">
      <c r="B116" s="218">
        <v>2254047</v>
      </c>
      <c r="C116" s="220" t="s">
        <v>3085</v>
      </c>
      <c r="D116" s="220" t="s">
        <v>3086</v>
      </c>
      <c r="E116" s="220" t="s">
        <v>969</v>
      </c>
      <c r="F116" s="220" t="s">
        <v>2767</v>
      </c>
    </row>
    <row r="117" spans="2:6" x14ac:dyDescent="0.3">
      <c r="B117" s="218">
        <v>2244157</v>
      </c>
      <c r="C117" s="220" t="s">
        <v>3087</v>
      </c>
      <c r="D117" s="220" t="s">
        <v>3088</v>
      </c>
      <c r="E117" s="220" t="s">
        <v>921</v>
      </c>
      <c r="F117" s="220" t="s">
        <v>2712</v>
      </c>
    </row>
    <row r="118" spans="2:6" x14ac:dyDescent="0.3">
      <c r="B118" s="218">
        <v>2282540</v>
      </c>
      <c r="C118" s="220" t="s">
        <v>3089</v>
      </c>
      <c r="D118" s="220" t="s">
        <v>3090</v>
      </c>
      <c r="E118" s="220" t="s">
        <v>2837</v>
      </c>
      <c r="F118" s="220" t="s">
        <v>2838</v>
      </c>
    </row>
    <row r="119" spans="2:6" x14ac:dyDescent="0.3">
      <c r="B119" s="218">
        <v>2235981</v>
      </c>
      <c r="C119" s="220" t="s">
        <v>3091</v>
      </c>
      <c r="D119" s="220" t="s">
        <v>3092</v>
      </c>
      <c r="E119" s="220" t="s">
        <v>861</v>
      </c>
      <c r="F119" s="220" t="s">
        <v>3093</v>
      </c>
    </row>
    <row r="120" spans="2:6" x14ac:dyDescent="0.3">
      <c r="B120" s="218">
        <v>2243231</v>
      </c>
      <c r="C120" s="220" t="s">
        <v>3094</v>
      </c>
      <c r="D120" s="220" t="s">
        <v>3095</v>
      </c>
      <c r="E120" s="220" t="s">
        <v>1773</v>
      </c>
      <c r="F120" s="220" t="s">
        <v>2731</v>
      </c>
    </row>
    <row r="121" spans="2:6" x14ac:dyDescent="0.3">
      <c r="B121" s="218" t="s">
        <v>1486</v>
      </c>
      <c r="C121" s="220" t="s">
        <v>3096</v>
      </c>
      <c r="D121" s="220" t="s">
        <v>3097</v>
      </c>
      <c r="E121" s="220" t="s">
        <v>1487</v>
      </c>
      <c r="F121" s="220" t="s">
        <v>2659</v>
      </c>
    </row>
    <row r="122" spans="2:6" x14ac:dyDescent="0.3">
      <c r="B122" s="218">
        <v>2238244</v>
      </c>
      <c r="C122" s="220" t="s">
        <v>3098</v>
      </c>
      <c r="D122" s="220" t="s">
        <v>3099</v>
      </c>
      <c r="E122" s="220" t="s">
        <v>894</v>
      </c>
      <c r="F122" s="220" t="s">
        <v>2695</v>
      </c>
    </row>
    <row r="123" spans="2:6" x14ac:dyDescent="0.3">
      <c r="B123" s="218">
        <v>2254042</v>
      </c>
      <c r="C123" s="220" t="s">
        <v>3100</v>
      </c>
      <c r="D123" s="220" t="s">
        <v>3101</v>
      </c>
      <c r="E123" s="220" t="s">
        <v>954</v>
      </c>
      <c r="F123" s="220" t="s">
        <v>2764</v>
      </c>
    </row>
    <row r="124" spans="2:6" x14ac:dyDescent="0.3">
      <c r="B124" s="218">
        <v>2280901</v>
      </c>
      <c r="C124" s="220" t="s">
        <v>3102</v>
      </c>
      <c r="D124" s="220" t="s">
        <v>3103</v>
      </c>
      <c r="E124" s="220" t="s">
        <v>2815</v>
      </c>
      <c r="F124" s="220" t="s">
        <v>2671</v>
      </c>
    </row>
    <row r="125" spans="2:6" x14ac:dyDescent="0.3">
      <c r="B125" s="218">
        <v>2243271</v>
      </c>
      <c r="C125" s="220" t="s">
        <v>3104</v>
      </c>
      <c r="D125" s="220" t="s">
        <v>3105</v>
      </c>
      <c r="E125" s="220" t="s">
        <v>906</v>
      </c>
      <c r="F125" s="220" t="s">
        <v>2699</v>
      </c>
    </row>
    <row r="126" spans="2:6" x14ac:dyDescent="0.3">
      <c r="B126" s="218">
        <v>2232915</v>
      </c>
      <c r="C126" s="220" t="s">
        <v>3106</v>
      </c>
      <c r="D126" s="220" t="s">
        <v>3107</v>
      </c>
      <c r="E126" s="220" t="s">
        <v>840</v>
      </c>
      <c r="F126" s="220" t="s">
        <v>3108</v>
      </c>
    </row>
    <row r="127" spans="2:6" x14ac:dyDescent="0.3">
      <c r="B127" s="218">
        <v>2282954</v>
      </c>
      <c r="C127" s="220" t="s">
        <v>3109</v>
      </c>
      <c r="D127" s="220" t="s">
        <v>3110</v>
      </c>
      <c r="E127" s="220" t="s">
        <v>2844</v>
      </c>
      <c r="F127" s="220" t="s">
        <v>2845</v>
      </c>
    </row>
    <row r="128" spans="2:6" x14ac:dyDescent="0.3">
      <c r="B128" s="218">
        <v>2280855</v>
      </c>
      <c r="C128" s="220" t="s">
        <v>3111</v>
      </c>
      <c r="D128" s="220" t="s">
        <v>3112</v>
      </c>
      <c r="E128" s="220" t="s">
        <v>2816</v>
      </c>
      <c r="F128" s="220" t="s">
        <v>2817</v>
      </c>
    </row>
    <row r="129" spans="2:6" x14ac:dyDescent="0.3">
      <c r="B129" s="218">
        <v>2243267</v>
      </c>
      <c r="C129" s="220" t="s">
        <v>3113</v>
      </c>
      <c r="D129" s="220" t="s">
        <v>3114</v>
      </c>
      <c r="E129" s="220" t="s">
        <v>903</v>
      </c>
      <c r="F129" s="220" t="s">
        <v>2713</v>
      </c>
    </row>
    <row r="130" spans="2:6" x14ac:dyDescent="0.3">
      <c r="B130" s="218">
        <v>2282037</v>
      </c>
      <c r="C130" s="220" t="s">
        <v>3115</v>
      </c>
      <c r="D130" s="220" t="s">
        <v>3116</v>
      </c>
      <c r="E130" s="220" t="s">
        <v>2001</v>
      </c>
      <c r="F130" s="220" t="s">
        <v>2668</v>
      </c>
    </row>
    <row r="131" spans="2:6" x14ac:dyDescent="0.3">
      <c r="B131" s="218">
        <v>2281785</v>
      </c>
      <c r="C131" s="220" t="s">
        <v>3117</v>
      </c>
      <c r="D131" s="220" t="s">
        <v>3118</v>
      </c>
      <c r="E131" s="220" t="s">
        <v>2818</v>
      </c>
      <c r="F131" s="220" t="s">
        <v>2819</v>
      </c>
    </row>
    <row r="132" spans="2:6" x14ac:dyDescent="0.3">
      <c r="B132" s="218">
        <v>2258518</v>
      </c>
      <c r="C132" s="220" t="s">
        <v>3119</v>
      </c>
      <c r="D132" s="220" t="s">
        <v>3120</v>
      </c>
      <c r="E132" s="220" t="s">
        <v>1009</v>
      </c>
      <c r="F132" s="220" t="s">
        <v>2802</v>
      </c>
    </row>
    <row r="133" spans="2:6" x14ac:dyDescent="0.3">
      <c r="B133" s="218">
        <v>2244263</v>
      </c>
      <c r="C133" s="220" t="s">
        <v>3121</v>
      </c>
      <c r="D133" s="220" t="s">
        <v>3122</v>
      </c>
      <c r="E133" s="220" t="s">
        <v>927</v>
      </c>
      <c r="F133" s="220" t="s">
        <v>2697</v>
      </c>
    </row>
    <row r="134" spans="2:6" x14ac:dyDescent="0.3">
      <c r="B134" s="218">
        <v>2254757</v>
      </c>
      <c r="C134" s="220" t="s">
        <v>3123</v>
      </c>
      <c r="D134" s="220" t="s">
        <v>3124</v>
      </c>
      <c r="E134" s="220" t="s">
        <v>2778</v>
      </c>
      <c r="F134" s="220" t="s">
        <v>2779</v>
      </c>
    </row>
    <row r="135" spans="2:6" x14ac:dyDescent="0.3">
      <c r="B135" s="218">
        <v>2245220</v>
      </c>
      <c r="C135" s="220" t="s">
        <v>3125</v>
      </c>
      <c r="D135" s="220" t="s">
        <v>3126</v>
      </c>
      <c r="E135" s="220" t="s">
        <v>951</v>
      </c>
      <c r="F135" s="220" t="s">
        <v>2706</v>
      </c>
    </row>
    <row r="136" spans="2:6" x14ac:dyDescent="0.3">
      <c r="B136" s="218">
        <v>2260224</v>
      </c>
      <c r="C136" s="220" t="s">
        <v>3127</v>
      </c>
      <c r="D136" s="220" t="s">
        <v>3128</v>
      </c>
      <c r="E136" s="220" t="s">
        <v>2797</v>
      </c>
      <c r="F136" s="220" t="s">
        <v>2798</v>
      </c>
    </row>
    <row r="137" spans="2:6" x14ac:dyDescent="0.3">
      <c r="B137" s="218">
        <v>2254771</v>
      </c>
      <c r="C137" s="220" t="s">
        <v>3129</v>
      </c>
      <c r="D137" s="220" t="s">
        <v>3130</v>
      </c>
      <c r="E137" s="220" t="s">
        <v>996</v>
      </c>
      <c r="F137" s="220" t="s">
        <v>2780</v>
      </c>
    </row>
    <row r="138" spans="2:6" x14ac:dyDescent="0.3">
      <c r="B138" s="218">
        <v>2258011</v>
      </c>
      <c r="C138" s="220" t="s">
        <v>3129</v>
      </c>
      <c r="D138" s="220" t="s">
        <v>3131</v>
      </c>
      <c r="E138" s="220" t="s">
        <v>1872</v>
      </c>
      <c r="F138" s="220" t="s">
        <v>2686</v>
      </c>
    </row>
    <row r="139" spans="2:6" x14ac:dyDescent="0.3">
      <c r="B139" s="218">
        <v>2282129</v>
      </c>
      <c r="C139" s="220" t="s">
        <v>3129</v>
      </c>
      <c r="D139" s="220" t="s">
        <v>3132</v>
      </c>
      <c r="E139" s="220" t="s">
        <v>2820</v>
      </c>
      <c r="F139" s="220" t="s">
        <v>2821</v>
      </c>
    </row>
    <row r="140" spans="2:6" x14ac:dyDescent="0.3">
      <c r="B140" s="218">
        <v>2282116</v>
      </c>
      <c r="C140" s="220" t="s">
        <v>3133</v>
      </c>
      <c r="D140" s="220" t="s">
        <v>3134</v>
      </c>
      <c r="E140" s="220" t="s">
        <v>2822</v>
      </c>
      <c r="F140" s="220" t="s">
        <v>2823</v>
      </c>
    </row>
    <row r="141" spans="2:6" x14ac:dyDescent="0.3">
      <c r="B141" s="218">
        <v>2243238</v>
      </c>
      <c r="C141" s="220" t="s">
        <v>3135</v>
      </c>
      <c r="D141" s="220" t="s">
        <v>3136</v>
      </c>
      <c r="E141" s="220" t="s">
        <v>1785</v>
      </c>
      <c r="F141" s="220" t="s">
        <v>2732</v>
      </c>
    </row>
    <row r="142" spans="2:6" x14ac:dyDescent="0.3">
      <c r="B142" s="218">
        <v>2258591</v>
      </c>
      <c r="C142" s="220" t="s">
        <v>3137</v>
      </c>
      <c r="D142" s="220" t="s">
        <v>3138</v>
      </c>
      <c r="E142" s="220" t="s">
        <v>1030</v>
      </c>
      <c r="F142" s="220" t="s">
        <v>2788</v>
      </c>
    </row>
    <row r="143" spans="2:6" x14ac:dyDescent="0.3">
      <c r="B143" s="218">
        <v>2243195</v>
      </c>
      <c r="C143" s="220" t="s">
        <v>3139</v>
      </c>
      <c r="D143" s="220" t="s">
        <v>3140</v>
      </c>
      <c r="E143" s="220" t="s">
        <v>1755</v>
      </c>
      <c r="F143" s="220" t="s">
        <v>2733</v>
      </c>
    </row>
    <row r="144" spans="2:6" x14ac:dyDescent="0.3">
      <c r="B144" s="218">
        <v>2260158</v>
      </c>
      <c r="C144" s="220" t="s">
        <v>3141</v>
      </c>
      <c r="D144" s="220" t="s">
        <v>3142</v>
      </c>
      <c r="E144" s="220" t="s">
        <v>1039</v>
      </c>
      <c r="F144" s="220" t="s">
        <v>2795</v>
      </c>
    </row>
    <row r="145" spans="2:6" x14ac:dyDescent="0.3">
      <c r="B145" s="218">
        <v>2254041</v>
      </c>
      <c r="C145" s="220" t="s">
        <v>3143</v>
      </c>
      <c r="D145" s="220" t="s">
        <v>3144</v>
      </c>
      <c r="E145" s="220" t="s">
        <v>2771</v>
      </c>
      <c r="F145" s="220" t="s">
        <v>2772</v>
      </c>
    </row>
    <row r="146" spans="2:6" x14ac:dyDescent="0.3">
      <c r="B146" s="218">
        <v>2281997</v>
      </c>
      <c r="C146" s="220" t="s">
        <v>3145</v>
      </c>
      <c r="D146" s="220" t="s">
        <v>3146</v>
      </c>
      <c r="E146" s="220" t="s">
        <v>2824</v>
      </c>
      <c r="F146" s="220" t="s">
        <v>2825</v>
      </c>
    </row>
    <row r="147" spans="2:6" x14ac:dyDescent="0.3">
      <c r="B147" s="218">
        <v>2244762</v>
      </c>
      <c r="C147" s="220" t="s">
        <v>3147</v>
      </c>
      <c r="D147" s="220" t="s">
        <v>3148</v>
      </c>
      <c r="E147" s="220" t="s">
        <v>948</v>
      </c>
      <c r="F147" s="220" t="s">
        <v>2700</v>
      </c>
    </row>
    <row r="148" spans="2:6" x14ac:dyDescent="0.3">
      <c r="B148" s="218">
        <v>2250911</v>
      </c>
      <c r="C148" s="220" t="s">
        <v>3149</v>
      </c>
      <c r="D148" s="220" t="s">
        <v>3150</v>
      </c>
      <c r="E148" s="220" t="s">
        <v>1836</v>
      </c>
      <c r="F148" s="220" t="s">
        <v>2754</v>
      </c>
    </row>
    <row r="149" spans="2:6" x14ac:dyDescent="0.3">
      <c r="B149" s="218">
        <v>2281572</v>
      </c>
      <c r="C149" s="220" t="s">
        <v>3151</v>
      </c>
      <c r="D149" s="220" t="s">
        <v>3152</v>
      </c>
      <c r="E149" s="220" t="s">
        <v>2826</v>
      </c>
      <c r="F149" s="220" t="s">
        <v>2827</v>
      </c>
    </row>
    <row r="150" spans="2:6" x14ac:dyDescent="0.3">
      <c r="B150" s="218">
        <v>2244265</v>
      </c>
      <c r="C150" s="220" t="s">
        <v>3153</v>
      </c>
      <c r="D150" s="220" t="s">
        <v>3154</v>
      </c>
      <c r="E150" s="220" t="s">
        <v>933</v>
      </c>
      <c r="F150" s="220" t="s">
        <v>2716</v>
      </c>
    </row>
    <row r="151" spans="2:6" x14ac:dyDescent="0.3">
      <c r="B151" s="218">
        <v>2282139</v>
      </c>
      <c r="C151" s="220" t="s">
        <v>3155</v>
      </c>
      <c r="D151" s="220" t="s">
        <v>3156</v>
      </c>
      <c r="E151" s="220" t="s">
        <v>2828</v>
      </c>
      <c r="F151" s="220" t="s">
        <v>2829</v>
      </c>
    </row>
    <row r="152" spans="2:6" x14ac:dyDescent="0.3">
      <c r="B152" s="218">
        <v>2247404</v>
      </c>
      <c r="C152" s="220" t="s">
        <v>3157</v>
      </c>
      <c r="D152" s="220" t="s">
        <v>3158</v>
      </c>
      <c r="E152" s="220" t="s">
        <v>1818</v>
      </c>
      <c r="F152" s="220" t="s">
        <v>2755</v>
      </c>
    </row>
    <row r="153" spans="2:6" x14ac:dyDescent="0.3">
      <c r="B153" s="218">
        <v>2247372</v>
      </c>
      <c r="C153" s="220" t="s">
        <v>3159</v>
      </c>
      <c r="D153" s="220" t="s">
        <v>3160</v>
      </c>
      <c r="E153" s="220" t="s">
        <v>1812</v>
      </c>
      <c r="F153" s="220" t="s">
        <v>2756</v>
      </c>
    </row>
    <row r="154" spans="2:6" x14ac:dyDescent="0.3">
      <c r="B154" s="218">
        <v>2282019</v>
      </c>
      <c r="C154" s="220" t="s">
        <v>3161</v>
      </c>
      <c r="D154" s="220" t="s">
        <v>3162</v>
      </c>
      <c r="E154" s="220" t="s">
        <v>1998</v>
      </c>
      <c r="F154" s="220" t="s">
        <v>2830</v>
      </c>
    </row>
    <row r="155" spans="2:6" x14ac:dyDescent="0.3">
      <c r="B155" s="218">
        <v>2243289</v>
      </c>
      <c r="C155" s="220" t="s">
        <v>3163</v>
      </c>
      <c r="D155" s="220" t="s">
        <v>3164</v>
      </c>
      <c r="E155" s="220" t="s">
        <v>915</v>
      </c>
      <c r="F155" s="220" t="s">
        <v>2698</v>
      </c>
    </row>
    <row r="156" spans="2:6" x14ac:dyDescent="0.3">
      <c r="B156" s="218">
        <v>2254052</v>
      </c>
      <c r="C156" s="220" t="s">
        <v>3165</v>
      </c>
      <c r="D156" s="220" t="s">
        <v>3166</v>
      </c>
      <c r="E156" s="220" t="s">
        <v>984</v>
      </c>
      <c r="F156" s="220" t="s">
        <v>2774</v>
      </c>
    </row>
    <row r="157" spans="2:6" x14ac:dyDescent="0.3">
      <c r="B157" s="218">
        <v>2243210</v>
      </c>
      <c r="C157" s="220" t="s">
        <v>3167</v>
      </c>
      <c r="D157" s="220" t="s">
        <v>3168</v>
      </c>
      <c r="E157" s="220" t="s">
        <v>1761</v>
      </c>
      <c r="F157" s="220" t="s">
        <v>2734</v>
      </c>
    </row>
    <row r="158" spans="2:6" x14ac:dyDescent="0.3">
      <c r="B158" s="218">
        <v>2247421</v>
      </c>
      <c r="C158" s="220" t="s">
        <v>3169</v>
      </c>
      <c r="D158" s="220" t="s">
        <v>3170</v>
      </c>
      <c r="E158" s="220" t="s">
        <v>1827</v>
      </c>
      <c r="F158" s="220" t="s">
        <v>2757</v>
      </c>
    </row>
    <row r="159" spans="2:6" x14ac:dyDescent="0.3">
      <c r="B159" s="218">
        <v>2282550</v>
      </c>
      <c r="C159" s="220" t="s">
        <v>3171</v>
      </c>
      <c r="D159" s="220" t="s">
        <v>3172</v>
      </c>
      <c r="E159" s="220" t="s">
        <v>2839</v>
      </c>
      <c r="F159" s="220" t="s">
        <v>2840</v>
      </c>
    </row>
    <row r="160" spans="2:6" x14ac:dyDescent="0.3">
      <c r="B160" s="218">
        <v>2244170</v>
      </c>
      <c r="C160" s="220" t="s">
        <v>3173</v>
      </c>
      <c r="D160" s="220" t="s">
        <v>3174</v>
      </c>
      <c r="E160" s="220" t="s">
        <v>2735</v>
      </c>
      <c r="F160" s="220" t="s">
        <v>2736</v>
      </c>
    </row>
    <row r="161" spans="2:6" x14ac:dyDescent="0.3">
      <c r="B161" s="218">
        <v>2238298</v>
      </c>
      <c r="C161" s="220" t="s">
        <v>3175</v>
      </c>
      <c r="D161" s="220" t="s">
        <v>3176</v>
      </c>
      <c r="E161" s="220" t="s">
        <v>897</v>
      </c>
      <c r="F161" s="220" t="s">
        <v>2696</v>
      </c>
    </row>
    <row r="162" spans="2:6" x14ac:dyDescent="0.3">
      <c r="B162" s="218">
        <v>2260223</v>
      </c>
      <c r="C162" s="220" t="s">
        <v>3177</v>
      </c>
      <c r="D162" s="220" t="s">
        <v>3178</v>
      </c>
      <c r="E162" s="220" t="s">
        <v>1045</v>
      </c>
      <c r="F162" s="220" t="s">
        <v>2790</v>
      </c>
    </row>
    <row r="163" spans="2:6" x14ac:dyDescent="0.3">
      <c r="B163" s="218">
        <v>2236010</v>
      </c>
      <c r="C163" s="220" t="s">
        <v>3179</v>
      </c>
      <c r="D163" s="220" t="s">
        <v>3180</v>
      </c>
      <c r="E163" s="220" t="s">
        <v>867</v>
      </c>
      <c r="F163" s="220" t="s">
        <v>3181</v>
      </c>
    </row>
    <row r="164" spans="2:6" x14ac:dyDescent="0.3">
      <c r="B164" s="218">
        <v>2280853</v>
      </c>
      <c r="C164" s="220" t="s">
        <v>3182</v>
      </c>
      <c r="D164" s="220" t="s">
        <v>3183</v>
      </c>
      <c r="E164" s="220" t="s">
        <v>1953</v>
      </c>
      <c r="F164" s="220" t="s">
        <v>2831</v>
      </c>
    </row>
    <row r="165" spans="2:6" x14ac:dyDescent="0.3">
      <c r="B165" s="218">
        <v>2254055</v>
      </c>
      <c r="C165" s="220" t="s">
        <v>3184</v>
      </c>
      <c r="D165" s="220" t="s">
        <v>3185</v>
      </c>
      <c r="E165" s="220" t="s">
        <v>990</v>
      </c>
      <c r="F165" s="220" t="s">
        <v>2765</v>
      </c>
    </row>
    <row r="166" spans="2:6" x14ac:dyDescent="0.3">
      <c r="B166" s="218">
        <v>2244273</v>
      </c>
      <c r="C166" s="220" t="s">
        <v>3186</v>
      </c>
      <c r="D166" s="220" t="s">
        <v>3187</v>
      </c>
      <c r="E166" s="220" t="s">
        <v>939</v>
      </c>
      <c r="F166" s="220" t="s">
        <v>2711</v>
      </c>
    </row>
    <row r="167" spans="2:6" x14ac:dyDescent="0.3">
      <c r="B167" s="218">
        <v>2280873</v>
      </c>
      <c r="C167" s="220" t="s">
        <v>3188</v>
      </c>
      <c r="D167" s="220" t="s">
        <v>3189</v>
      </c>
      <c r="E167" s="220" t="s">
        <v>1965</v>
      </c>
      <c r="F167" s="220" t="s">
        <v>2832</v>
      </c>
    </row>
    <row r="168" spans="2:6" x14ac:dyDescent="0.3">
      <c r="B168" s="218">
        <v>2260213</v>
      </c>
      <c r="C168" s="220" t="s">
        <v>3190</v>
      </c>
      <c r="D168" s="220" t="s">
        <v>3191</v>
      </c>
      <c r="E168" s="220" t="s">
        <v>1042</v>
      </c>
      <c r="F168" s="220" t="s">
        <v>2796</v>
      </c>
    </row>
    <row r="169" spans="2:6" x14ac:dyDescent="0.3">
      <c r="B169" s="218">
        <v>2244264</v>
      </c>
      <c r="C169" s="220" t="s">
        <v>3192</v>
      </c>
      <c r="D169" s="220" t="s">
        <v>3193</v>
      </c>
      <c r="E169" s="220" t="s">
        <v>930</v>
      </c>
      <c r="F169" s="220" t="s">
        <v>2704</v>
      </c>
    </row>
    <row r="170" spans="2:6" x14ac:dyDescent="0.3">
      <c r="B170" s="218">
        <v>2282123</v>
      </c>
      <c r="C170" s="220" t="s">
        <v>3194</v>
      </c>
      <c r="D170" s="220" t="s">
        <v>3195</v>
      </c>
      <c r="E170" s="220" t="s">
        <v>2833</v>
      </c>
      <c r="F170" s="220" t="s">
        <v>2834</v>
      </c>
    </row>
    <row r="171" spans="2:6" x14ac:dyDescent="0.3">
      <c r="B171" s="218" t="s">
        <v>1910</v>
      </c>
      <c r="C171" s="220" t="s">
        <v>3196</v>
      </c>
      <c r="D171" s="220" t="s">
        <v>3197</v>
      </c>
      <c r="E171" s="220" t="s">
        <v>1911</v>
      </c>
      <c r="F171" s="220" t="s">
        <v>2660</v>
      </c>
    </row>
    <row r="172" spans="2:6" x14ac:dyDescent="0.3">
      <c r="B172" s="218">
        <v>2244659</v>
      </c>
      <c r="C172" s="220" t="s">
        <v>3198</v>
      </c>
      <c r="D172" s="220" t="s">
        <v>3199</v>
      </c>
      <c r="E172" s="220" t="s">
        <v>945</v>
      </c>
      <c r="F172" s="220" t="s">
        <v>2703</v>
      </c>
    </row>
    <row r="173" spans="2:6" x14ac:dyDescent="0.3">
      <c r="B173" s="218">
        <v>2254048</v>
      </c>
      <c r="C173" s="220" t="s">
        <v>3200</v>
      </c>
      <c r="D173" s="220" t="s">
        <v>3201</v>
      </c>
      <c r="E173" s="220" t="s">
        <v>972</v>
      </c>
      <c r="F173" s="220" t="s">
        <v>2763</v>
      </c>
    </row>
    <row r="174" spans="2:6" x14ac:dyDescent="0.3">
      <c r="B174" s="218">
        <v>2254050</v>
      </c>
      <c r="C174" s="220" t="s">
        <v>3202</v>
      </c>
      <c r="D174" s="220" t="s">
        <v>3203</v>
      </c>
      <c r="E174" s="220" t="s">
        <v>978</v>
      </c>
      <c r="F174" s="220" t="s">
        <v>2770</v>
      </c>
    </row>
    <row r="175" spans="2:6" x14ac:dyDescent="0.3">
      <c r="B175" s="218">
        <v>2243232</v>
      </c>
      <c r="C175" s="220" t="s">
        <v>3204</v>
      </c>
      <c r="D175" s="220" t="s">
        <v>3205</v>
      </c>
      <c r="E175" s="220" t="s">
        <v>1776</v>
      </c>
      <c r="F175" s="220" t="s">
        <v>2737</v>
      </c>
    </row>
    <row r="176" spans="2:6" x14ac:dyDescent="0.3">
      <c r="B176" s="218" t="s">
        <v>1937</v>
      </c>
      <c r="C176" s="220" t="s">
        <v>3206</v>
      </c>
      <c r="D176" s="220" t="s">
        <v>3207</v>
      </c>
      <c r="E176" s="220" t="s">
        <v>1938</v>
      </c>
      <c r="F176" s="220" t="s">
        <v>2661</v>
      </c>
    </row>
    <row r="177" spans="2:6" x14ac:dyDescent="0.3">
      <c r="B177" s="218">
        <v>2258019</v>
      </c>
      <c r="C177" s="220" t="s">
        <v>3208</v>
      </c>
      <c r="D177" s="220" t="s">
        <v>3209</v>
      </c>
      <c r="E177" s="220" t="s">
        <v>1878</v>
      </c>
      <c r="F177" s="220" t="s">
        <v>2679</v>
      </c>
    </row>
    <row r="178" spans="2:6" x14ac:dyDescent="0.3">
      <c r="B178" s="218">
        <v>2254044</v>
      </c>
      <c r="C178" s="220" t="s">
        <v>3210</v>
      </c>
      <c r="D178" s="220" t="s">
        <v>3211</v>
      </c>
      <c r="E178" s="220" t="s">
        <v>960</v>
      </c>
      <c r="F178" s="220" t="s">
        <v>2769</v>
      </c>
    </row>
    <row r="179" spans="2:6" x14ac:dyDescent="0.3">
      <c r="B179" s="218">
        <v>2258578</v>
      </c>
      <c r="C179" s="220" t="s">
        <v>3212</v>
      </c>
      <c r="D179" s="220" t="s">
        <v>3213</v>
      </c>
      <c r="E179" s="220" t="s">
        <v>1027</v>
      </c>
      <c r="F179" s="220" t="s">
        <v>2800</v>
      </c>
    </row>
    <row r="180" spans="2:6" x14ac:dyDescent="0.3">
      <c r="B180" s="218">
        <v>2250928</v>
      </c>
      <c r="C180" s="220" t="s">
        <v>3214</v>
      </c>
      <c r="D180" s="220" t="s">
        <v>3215</v>
      </c>
      <c r="E180" s="220" t="s">
        <v>1845</v>
      </c>
      <c r="F180" s="220" t="s">
        <v>2758</v>
      </c>
    </row>
    <row r="181" spans="2:6" x14ac:dyDescent="0.3">
      <c r="B181" s="218">
        <v>2243241</v>
      </c>
      <c r="C181" s="220" t="s">
        <v>3216</v>
      </c>
      <c r="D181" s="220" t="s">
        <v>3217</v>
      </c>
      <c r="E181" s="220" t="s">
        <v>1788</v>
      </c>
      <c r="F181" s="220" t="s">
        <v>2738</v>
      </c>
    </row>
    <row r="182" spans="2:6" x14ac:dyDescent="0.3">
      <c r="B182" s="218">
        <v>2282131</v>
      </c>
      <c r="C182" s="220" t="s">
        <v>3218</v>
      </c>
      <c r="D182" s="220" t="s">
        <v>3219</v>
      </c>
      <c r="E182" s="220" t="s">
        <v>2835</v>
      </c>
      <c r="F182" s="220" t="s">
        <v>2836</v>
      </c>
    </row>
    <row r="183" spans="2:6" x14ac:dyDescent="0.3">
      <c r="B183" s="218">
        <v>1255279</v>
      </c>
      <c r="C183" s="220" t="s">
        <v>3220</v>
      </c>
      <c r="D183" s="220" t="s">
        <v>3221</v>
      </c>
      <c r="E183" s="220" t="s">
        <v>373</v>
      </c>
      <c r="F183" s="220" t="s">
        <v>2710</v>
      </c>
    </row>
    <row r="184" spans="2:6" x14ac:dyDescent="0.3">
      <c r="B184" s="218">
        <v>2233005</v>
      </c>
      <c r="C184" s="220" t="s">
        <v>3222</v>
      </c>
      <c r="D184" s="220" t="s">
        <v>3223</v>
      </c>
      <c r="E184" s="220" t="s">
        <v>849</v>
      </c>
      <c r="F184" s="220" t="s">
        <v>3224</v>
      </c>
    </row>
    <row r="185" spans="2:6" x14ac:dyDescent="0.3">
      <c r="B185" s="218" t="s">
        <v>1919</v>
      </c>
      <c r="C185" s="220" t="s">
        <v>3225</v>
      </c>
      <c r="D185" s="220" t="s">
        <v>3226</v>
      </c>
      <c r="E185" s="220" t="s">
        <v>1920</v>
      </c>
      <c r="F185" s="220" t="s">
        <v>2662</v>
      </c>
    </row>
    <row r="186" spans="2:6" x14ac:dyDescent="0.3">
      <c r="B186" s="218">
        <v>2244749</v>
      </c>
      <c r="C186" s="220" t="s">
        <v>3227</v>
      </c>
      <c r="D186" s="220" t="s">
        <v>3228</v>
      </c>
      <c r="E186" s="220" t="s">
        <v>1800</v>
      </c>
      <c r="F186" s="220" t="s">
        <v>2739</v>
      </c>
    </row>
    <row r="187" spans="2:6" x14ac:dyDescent="0.3">
      <c r="B187" s="218">
        <v>2258020</v>
      </c>
      <c r="C187" s="220" t="s">
        <v>3229</v>
      </c>
      <c r="D187" s="220" t="s">
        <v>3230</v>
      </c>
      <c r="E187" s="220" t="s">
        <v>1881</v>
      </c>
      <c r="F187" s="220" t="s">
        <v>2693</v>
      </c>
    </row>
    <row r="188" spans="2:6" x14ac:dyDescent="0.3">
      <c r="B188" s="218" t="s">
        <v>1925</v>
      </c>
      <c r="C188" s="220" t="s">
        <v>3231</v>
      </c>
      <c r="D188" s="220" t="s">
        <v>3232</v>
      </c>
      <c r="E188" s="220" t="s">
        <v>1926</v>
      </c>
      <c r="F188" s="220" t="s">
        <v>2663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4450D-705B-4D57-9D65-E1C644B44B01}">
  <dimension ref="A1:G189"/>
  <sheetViews>
    <sheetView workbookViewId="0">
      <selection activeCell="D2" sqref="D2:D189"/>
    </sheetView>
  </sheetViews>
  <sheetFormatPr defaultRowHeight="14.5" x14ac:dyDescent="0.35"/>
  <cols>
    <col min="1" max="1" width="30.81640625" bestFit="1" customWidth="1"/>
    <col min="2" max="2" width="10.81640625" bestFit="1" customWidth="1"/>
    <col min="4" max="4" width="17" bestFit="1" customWidth="1"/>
    <col min="6" max="6" width="13.7265625" bestFit="1" customWidth="1"/>
  </cols>
  <sheetData>
    <row r="1" spans="1:7" ht="16" x14ac:dyDescent="0.4">
      <c r="A1" s="104" t="s">
        <v>2314</v>
      </c>
      <c r="B1" s="105" t="s">
        <v>313</v>
      </c>
      <c r="C1" s="105" t="s">
        <v>2315</v>
      </c>
      <c r="D1" s="105" t="s">
        <v>2316</v>
      </c>
      <c r="E1" s="105" t="s">
        <v>311</v>
      </c>
      <c r="F1" s="105" t="s">
        <v>2317</v>
      </c>
      <c r="G1" s="130" t="s">
        <v>2376</v>
      </c>
    </row>
    <row r="2" spans="1:7" x14ac:dyDescent="0.35">
      <c r="A2" s="106" t="s">
        <v>1891</v>
      </c>
      <c r="B2" s="106" t="s">
        <v>1890</v>
      </c>
      <c r="C2" s="106" t="s">
        <v>1889</v>
      </c>
      <c r="D2" s="108" t="s">
        <v>2369</v>
      </c>
      <c r="E2" s="106" t="s">
        <v>1345</v>
      </c>
      <c r="F2" s="106" t="s">
        <v>2370</v>
      </c>
      <c r="G2" s="131" t="s">
        <v>2377</v>
      </c>
    </row>
    <row r="3" spans="1:7" x14ac:dyDescent="0.35">
      <c r="A3" s="106" t="s">
        <v>877</v>
      </c>
      <c r="B3" s="107" t="s">
        <v>876</v>
      </c>
      <c r="C3" s="106" t="s">
        <v>875</v>
      </c>
      <c r="D3" s="108" t="s">
        <v>2318</v>
      </c>
      <c r="E3" s="108" t="s">
        <v>2319</v>
      </c>
      <c r="F3" s="108" t="s">
        <v>2320</v>
      </c>
      <c r="G3" s="131" t="s">
        <v>2377</v>
      </c>
    </row>
    <row r="4" spans="1:7" x14ac:dyDescent="0.35">
      <c r="A4" s="110" t="s">
        <v>919</v>
      </c>
      <c r="B4" s="111" t="s">
        <v>918</v>
      </c>
      <c r="C4" s="110" t="s">
        <v>917</v>
      </c>
      <c r="D4" s="112" t="s">
        <v>2321</v>
      </c>
      <c r="E4" s="112" t="s">
        <v>2319</v>
      </c>
      <c r="F4" s="112" t="s">
        <v>2322</v>
      </c>
      <c r="G4" s="131" t="s">
        <v>2377</v>
      </c>
    </row>
    <row r="5" spans="1:7" x14ac:dyDescent="0.35">
      <c r="A5" s="106" t="s">
        <v>1885</v>
      </c>
      <c r="B5" s="106" t="s">
        <v>1884</v>
      </c>
      <c r="C5" s="106" t="s">
        <v>1883</v>
      </c>
      <c r="D5" s="108" t="s">
        <v>2369</v>
      </c>
      <c r="E5" s="106" t="s">
        <v>1345</v>
      </c>
      <c r="F5" s="106" t="s">
        <v>2370</v>
      </c>
      <c r="G5" s="131" t="s">
        <v>2377</v>
      </c>
    </row>
    <row r="6" spans="1:7" x14ac:dyDescent="0.35">
      <c r="A6" s="129" t="s">
        <v>2026</v>
      </c>
      <c r="B6" s="129" t="s">
        <v>2025</v>
      </c>
      <c r="C6" s="129" t="s">
        <v>2024</v>
      </c>
      <c r="D6" s="120" t="s">
        <v>2324</v>
      </c>
      <c r="E6" s="118" t="s">
        <v>1345</v>
      </c>
      <c r="F6" s="118" t="s">
        <v>2375</v>
      </c>
      <c r="G6" s="131" t="s">
        <v>2378</v>
      </c>
    </row>
    <row r="7" spans="1:7" x14ac:dyDescent="0.35">
      <c r="A7" s="122" t="s">
        <v>988</v>
      </c>
      <c r="B7" s="122" t="s">
        <v>987</v>
      </c>
      <c r="C7" s="122" t="s">
        <v>986</v>
      </c>
      <c r="D7" s="123" t="s">
        <v>2367</v>
      </c>
      <c r="E7" s="124" t="s">
        <v>2319</v>
      </c>
      <c r="F7" s="124" t="s">
        <v>2368</v>
      </c>
      <c r="G7" s="131" t="s">
        <v>2377</v>
      </c>
    </row>
    <row r="8" spans="1:7" x14ac:dyDescent="0.35">
      <c r="A8" s="129" t="s">
        <v>1981</v>
      </c>
      <c r="B8" s="129" t="s">
        <v>1980</v>
      </c>
      <c r="C8" s="129" t="s">
        <v>1979</v>
      </c>
      <c r="D8" s="120" t="s">
        <v>2324</v>
      </c>
      <c r="E8" s="118" t="s">
        <v>1345</v>
      </c>
      <c r="F8" s="118" t="s">
        <v>2375</v>
      </c>
      <c r="G8" s="131" t="s">
        <v>2378</v>
      </c>
    </row>
    <row r="9" spans="1:7" x14ac:dyDescent="0.35">
      <c r="A9" s="114" t="s">
        <v>1049</v>
      </c>
      <c r="B9" s="114" t="s">
        <v>1048</v>
      </c>
      <c r="C9" s="114" t="s">
        <v>1047</v>
      </c>
      <c r="D9" s="112" t="s">
        <v>2371</v>
      </c>
      <c r="E9" s="110" t="s">
        <v>2319</v>
      </c>
      <c r="F9" s="110" t="s">
        <v>2372</v>
      </c>
      <c r="G9" s="131" t="s">
        <v>2377</v>
      </c>
    </row>
    <row r="10" spans="1:7" x14ac:dyDescent="0.35">
      <c r="A10" s="129" t="s">
        <v>1475</v>
      </c>
      <c r="B10" s="129" t="s">
        <v>1474</v>
      </c>
      <c r="C10" s="129" t="s">
        <v>1473</v>
      </c>
      <c r="D10" s="120" t="s">
        <v>2324</v>
      </c>
      <c r="E10" s="118" t="s">
        <v>1345</v>
      </c>
      <c r="F10" s="118" t="s">
        <v>2375</v>
      </c>
      <c r="G10" s="131" t="s">
        <v>2378</v>
      </c>
    </row>
    <row r="11" spans="1:7" x14ac:dyDescent="0.35">
      <c r="A11" s="128" t="s">
        <v>1513</v>
      </c>
      <c r="B11" s="128" t="s">
        <v>1512</v>
      </c>
      <c r="C11" s="128" t="s">
        <v>1511</v>
      </c>
      <c r="D11" s="117" t="s">
        <v>2373</v>
      </c>
      <c r="E11" s="116" t="s">
        <v>1345</v>
      </c>
      <c r="F11" s="116" t="s">
        <v>2374</v>
      </c>
      <c r="G11" s="131" t="s">
        <v>2377</v>
      </c>
    </row>
    <row r="12" spans="1:7" x14ac:dyDescent="0.35">
      <c r="A12" s="116" t="s">
        <v>2323</v>
      </c>
      <c r="B12" s="116" t="s">
        <v>1779</v>
      </c>
      <c r="C12" s="116">
        <v>2243233</v>
      </c>
      <c r="D12" s="117" t="s">
        <v>2324</v>
      </c>
      <c r="E12" s="116" t="s">
        <v>1345</v>
      </c>
      <c r="F12" s="116" t="s">
        <v>2325</v>
      </c>
      <c r="G12" s="131" t="s">
        <v>2377</v>
      </c>
    </row>
    <row r="13" spans="1:7" x14ac:dyDescent="0.35">
      <c r="A13" s="128" t="s">
        <v>1915</v>
      </c>
      <c r="B13" s="128" t="s">
        <v>1914</v>
      </c>
      <c r="C13" s="128" t="s">
        <v>1913</v>
      </c>
      <c r="D13" s="117" t="s">
        <v>2373</v>
      </c>
      <c r="E13" s="116" t="s">
        <v>1345</v>
      </c>
      <c r="F13" s="116" t="s">
        <v>2374</v>
      </c>
      <c r="G13" s="131" t="s">
        <v>2377</v>
      </c>
    </row>
    <row r="14" spans="1:7" x14ac:dyDescent="0.35">
      <c r="A14" s="127" t="s">
        <v>2005</v>
      </c>
      <c r="B14" s="127" t="s">
        <v>2004</v>
      </c>
      <c r="C14" s="127" t="s">
        <v>2003</v>
      </c>
      <c r="D14" s="108" t="s">
        <v>178</v>
      </c>
      <c r="E14" s="106" t="s">
        <v>1345</v>
      </c>
      <c r="F14" s="106" t="s">
        <v>2313</v>
      </c>
      <c r="G14" s="131" t="s">
        <v>2378</v>
      </c>
    </row>
    <row r="15" spans="1:7" x14ac:dyDescent="0.35">
      <c r="A15" s="114" t="s">
        <v>1022</v>
      </c>
      <c r="B15" s="114" t="s">
        <v>1021</v>
      </c>
      <c r="C15" s="114" t="s">
        <v>1020</v>
      </c>
      <c r="D15" s="112" t="s">
        <v>2371</v>
      </c>
      <c r="E15" s="110" t="s">
        <v>2319</v>
      </c>
      <c r="F15" s="110" t="s">
        <v>2372</v>
      </c>
      <c r="G15" s="131" t="s">
        <v>2377</v>
      </c>
    </row>
    <row r="16" spans="1:7" x14ac:dyDescent="0.35">
      <c r="A16" s="106" t="s">
        <v>847</v>
      </c>
      <c r="B16" s="109" t="s">
        <v>846</v>
      </c>
      <c r="C16" s="106" t="s">
        <v>845</v>
      </c>
      <c r="D16" s="108" t="s">
        <v>2318</v>
      </c>
      <c r="E16" s="108" t="s">
        <v>2319</v>
      </c>
      <c r="F16" s="108" t="s">
        <v>2320</v>
      </c>
      <c r="G16" s="131" t="s">
        <v>2377</v>
      </c>
    </row>
    <row r="17" spans="1:7" x14ac:dyDescent="0.35">
      <c r="A17" s="106" t="s">
        <v>883</v>
      </c>
      <c r="B17" s="109" t="s">
        <v>882</v>
      </c>
      <c r="C17" s="106" t="s">
        <v>881</v>
      </c>
      <c r="D17" s="108" t="s">
        <v>2318</v>
      </c>
      <c r="E17" s="108" t="s">
        <v>2319</v>
      </c>
      <c r="F17" s="108" t="s">
        <v>2320</v>
      </c>
      <c r="G17" s="131" t="s">
        <v>2377</v>
      </c>
    </row>
    <row r="18" spans="1:7" x14ac:dyDescent="0.35">
      <c r="A18" s="110" t="s">
        <v>937</v>
      </c>
      <c r="B18" s="113" t="s">
        <v>936</v>
      </c>
      <c r="C18" s="110" t="s">
        <v>935</v>
      </c>
      <c r="D18" s="112" t="s">
        <v>2321</v>
      </c>
      <c r="E18" s="112" t="s">
        <v>2319</v>
      </c>
      <c r="F18" s="112" t="s">
        <v>2322</v>
      </c>
      <c r="G18" s="131" t="s">
        <v>2377</v>
      </c>
    </row>
    <row r="19" spans="1:7" x14ac:dyDescent="0.35">
      <c r="A19" s="110" t="s">
        <v>925</v>
      </c>
      <c r="B19" s="113" t="s">
        <v>924</v>
      </c>
      <c r="C19" s="110" t="s">
        <v>923</v>
      </c>
      <c r="D19" s="112" t="s">
        <v>2321</v>
      </c>
      <c r="E19" s="112" t="s">
        <v>2319</v>
      </c>
      <c r="F19" s="112" t="s">
        <v>2322</v>
      </c>
      <c r="G19" s="131" t="s">
        <v>2377</v>
      </c>
    </row>
    <row r="20" spans="1:7" x14ac:dyDescent="0.35">
      <c r="A20" s="129" t="s">
        <v>1969</v>
      </c>
      <c r="B20" s="129" t="s">
        <v>1968</v>
      </c>
      <c r="C20" s="129" t="s">
        <v>1967</v>
      </c>
      <c r="D20" s="120" t="s">
        <v>2324</v>
      </c>
      <c r="E20" s="118" t="s">
        <v>1345</v>
      </c>
      <c r="F20" s="118" t="s">
        <v>2375</v>
      </c>
      <c r="G20" s="131" t="s">
        <v>2378</v>
      </c>
    </row>
    <row r="21" spans="1:7" x14ac:dyDescent="0.35">
      <c r="A21" s="106" t="s">
        <v>874</v>
      </c>
      <c r="B21" s="109" t="s">
        <v>873</v>
      </c>
      <c r="C21" s="106" t="s">
        <v>872</v>
      </c>
      <c r="D21" s="108" t="s">
        <v>2318</v>
      </c>
      <c r="E21" s="108" t="s">
        <v>2319</v>
      </c>
      <c r="F21" s="108" t="s">
        <v>2320</v>
      </c>
      <c r="G21" s="131" t="s">
        <v>2377</v>
      </c>
    </row>
    <row r="22" spans="1:7" x14ac:dyDescent="0.35">
      <c r="A22" s="129" t="s">
        <v>1996</v>
      </c>
      <c r="B22" s="129" t="s">
        <v>1995</v>
      </c>
      <c r="C22" s="129" t="s">
        <v>1994</v>
      </c>
      <c r="D22" s="120" t="s">
        <v>2324</v>
      </c>
      <c r="E22" s="118" t="s">
        <v>1345</v>
      </c>
      <c r="F22" s="118" t="s">
        <v>2375</v>
      </c>
      <c r="G22" s="131" t="s">
        <v>2378</v>
      </c>
    </row>
    <row r="23" spans="1:7" x14ac:dyDescent="0.35">
      <c r="A23" s="125" t="s">
        <v>558</v>
      </c>
      <c r="B23" s="125" t="s">
        <v>557</v>
      </c>
      <c r="C23" s="126" t="s">
        <v>556</v>
      </c>
      <c r="D23" s="123" t="s">
        <v>2367</v>
      </c>
      <c r="E23" s="124" t="s">
        <v>2319</v>
      </c>
      <c r="F23" s="124" t="s">
        <v>2368</v>
      </c>
      <c r="G23" s="131" t="s">
        <v>2377</v>
      </c>
    </row>
    <row r="24" spans="1:7" x14ac:dyDescent="0.35">
      <c r="A24" s="129" t="s">
        <v>1963</v>
      </c>
      <c r="B24" s="129" t="s">
        <v>1962</v>
      </c>
      <c r="C24" s="129" t="s">
        <v>1961</v>
      </c>
      <c r="D24" s="120" t="s">
        <v>2324</v>
      </c>
      <c r="E24" s="118" t="s">
        <v>1345</v>
      </c>
      <c r="F24" s="118" t="s">
        <v>2375</v>
      </c>
      <c r="G24" s="131" t="s">
        <v>2378</v>
      </c>
    </row>
    <row r="25" spans="1:7" x14ac:dyDescent="0.35">
      <c r="A25" s="116" t="s">
        <v>2326</v>
      </c>
      <c r="B25" s="116" t="s">
        <v>1758</v>
      </c>
      <c r="C25" s="116">
        <v>2243209</v>
      </c>
      <c r="D25" s="117" t="s">
        <v>2324</v>
      </c>
      <c r="E25" s="116" t="s">
        <v>1345</v>
      </c>
      <c r="F25" s="116" t="s">
        <v>2325</v>
      </c>
      <c r="G25" s="131" t="s">
        <v>2377</v>
      </c>
    </row>
    <row r="26" spans="1:7" x14ac:dyDescent="0.35">
      <c r="A26" s="127" t="s">
        <v>1531</v>
      </c>
      <c r="B26" s="127" t="s">
        <v>1530</v>
      </c>
      <c r="C26" s="127" t="s">
        <v>1529</v>
      </c>
      <c r="D26" s="108" t="s">
        <v>178</v>
      </c>
      <c r="E26" s="106" t="s">
        <v>1345</v>
      </c>
      <c r="F26" s="106" t="s">
        <v>2313</v>
      </c>
      <c r="G26" s="131" t="s">
        <v>2378</v>
      </c>
    </row>
    <row r="27" spans="1:7" x14ac:dyDescent="0.35">
      <c r="A27" s="116" t="s">
        <v>2327</v>
      </c>
      <c r="B27" s="116" t="s">
        <v>1791</v>
      </c>
      <c r="C27" s="116">
        <v>2243245</v>
      </c>
      <c r="D27" s="117" t="s">
        <v>2324</v>
      </c>
      <c r="E27" s="116" t="s">
        <v>1345</v>
      </c>
      <c r="F27" s="116" t="s">
        <v>2325</v>
      </c>
      <c r="G27" s="131" t="s">
        <v>2377</v>
      </c>
    </row>
    <row r="28" spans="1:7" x14ac:dyDescent="0.35">
      <c r="A28" s="128" t="s">
        <v>1918</v>
      </c>
      <c r="B28" s="128" t="s">
        <v>1917</v>
      </c>
      <c r="C28" s="128" t="s">
        <v>1916</v>
      </c>
      <c r="D28" s="117" t="s">
        <v>2373</v>
      </c>
      <c r="E28" s="116" t="s">
        <v>1345</v>
      </c>
      <c r="F28" s="116" t="s">
        <v>2374</v>
      </c>
      <c r="G28" s="131" t="s">
        <v>2377</v>
      </c>
    </row>
    <row r="29" spans="1:7" x14ac:dyDescent="0.35">
      <c r="A29" s="110" t="s">
        <v>943</v>
      </c>
      <c r="B29" s="114" t="s">
        <v>942</v>
      </c>
      <c r="C29" s="110" t="s">
        <v>941</v>
      </c>
      <c r="D29" s="112" t="s">
        <v>2321</v>
      </c>
      <c r="E29" s="112" t="s">
        <v>2319</v>
      </c>
      <c r="F29" s="112" t="s">
        <v>2322</v>
      </c>
      <c r="G29" s="131" t="s">
        <v>2377</v>
      </c>
    </row>
    <row r="30" spans="1:7" x14ac:dyDescent="0.35">
      <c r="A30" s="106" t="s">
        <v>1888</v>
      </c>
      <c r="B30" s="106" t="s">
        <v>1887</v>
      </c>
      <c r="C30" s="106" t="s">
        <v>1886</v>
      </c>
      <c r="D30" s="108" t="s">
        <v>2369</v>
      </c>
      <c r="E30" s="106" t="s">
        <v>1345</v>
      </c>
      <c r="F30" s="106" t="s">
        <v>2370</v>
      </c>
      <c r="G30" s="131" t="s">
        <v>2377</v>
      </c>
    </row>
    <row r="31" spans="1:7" x14ac:dyDescent="0.35">
      <c r="A31" s="106" t="s">
        <v>1472</v>
      </c>
      <c r="B31" s="106" t="s">
        <v>1471</v>
      </c>
      <c r="C31" s="106" t="s">
        <v>1470</v>
      </c>
      <c r="D31" s="108" t="s">
        <v>2369</v>
      </c>
      <c r="E31" s="106" t="s">
        <v>1345</v>
      </c>
      <c r="F31" s="106" t="s">
        <v>2370</v>
      </c>
      <c r="G31" s="131" t="s">
        <v>2377</v>
      </c>
    </row>
    <row r="32" spans="1:7" x14ac:dyDescent="0.35">
      <c r="A32" s="118" t="s">
        <v>2342</v>
      </c>
      <c r="B32" s="119" t="s">
        <v>1857</v>
      </c>
      <c r="C32" s="119">
        <v>2250957</v>
      </c>
      <c r="D32" s="120" t="s">
        <v>178</v>
      </c>
      <c r="E32" s="118" t="s">
        <v>1345</v>
      </c>
      <c r="F32" s="118" t="s">
        <v>2343</v>
      </c>
      <c r="G32" s="131" t="s">
        <v>2377</v>
      </c>
    </row>
    <row r="33" spans="1:7" x14ac:dyDescent="0.35">
      <c r="A33" s="128" t="s">
        <v>1909</v>
      </c>
      <c r="B33" s="128" t="s">
        <v>1908</v>
      </c>
      <c r="C33" s="128" t="s">
        <v>1907</v>
      </c>
      <c r="D33" s="117" t="s">
        <v>2373</v>
      </c>
      <c r="E33" s="116" t="s">
        <v>1345</v>
      </c>
      <c r="F33" s="116" t="s">
        <v>2374</v>
      </c>
      <c r="G33" s="131" t="s">
        <v>2377</v>
      </c>
    </row>
    <row r="34" spans="1:7" x14ac:dyDescent="0.35">
      <c r="A34" s="129" t="s">
        <v>2053</v>
      </c>
      <c r="B34" s="129" t="s">
        <v>2052</v>
      </c>
      <c r="C34" s="129" t="s">
        <v>2051</v>
      </c>
      <c r="D34" s="120" t="s">
        <v>2324</v>
      </c>
      <c r="E34" s="118" t="s">
        <v>1345</v>
      </c>
      <c r="F34" s="118" t="s">
        <v>2375</v>
      </c>
      <c r="G34" s="131" t="s">
        <v>2378</v>
      </c>
    </row>
    <row r="35" spans="1:7" x14ac:dyDescent="0.35">
      <c r="A35" s="106" t="s">
        <v>889</v>
      </c>
      <c r="B35" s="109" t="s">
        <v>888</v>
      </c>
      <c r="C35" s="106" t="s">
        <v>887</v>
      </c>
      <c r="D35" s="108" t="s">
        <v>2318</v>
      </c>
      <c r="E35" s="108" t="s">
        <v>2319</v>
      </c>
      <c r="F35" s="108" t="s">
        <v>2320</v>
      </c>
      <c r="G35" s="131" t="s">
        <v>2377</v>
      </c>
    </row>
    <row r="36" spans="1:7" x14ac:dyDescent="0.35">
      <c r="A36" s="129" t="s">
        <v>1957</v>
      </c>
      <c r="B36" s="118" t="s">
        <v>1956</v>
      </c>
      <c r="C36" s="129" t="s">
        <v>1955</v>
      </c>
      <c r="D36" s="120" t="s">
        <v>2324</v>
      </c>
      <c r="E36" s="118" t="s">
        <v>1345</v>
      </c>
      <c r="F36" s="118" t="s">
        <v>2375</v>
      </c>
      <c r="G36" s="131" t="s">
        <v>2378</v>
      </c>
    </row>
    <row r="37" spans="1:7" x14ac:dyDescent="0.35">
      <c r="A37" s="106" t="s">
        <v>865</v>
      </c>
      <c r="B37" s="109" t="s">
        <v>864</v>
      </c>
      <c r="C37" s="106" t="s">
        <v>863</v>
      </c>
      <c r="D37" s="108" t="s">
        <v>2318</v>
      </c>
      <c r="E37" s="108" t="s">
        <v>2319</v>
      </c>
      <c r="F37" s="108" t="s">
        <v>2320</v>
      </c>
      <c r="G37" s="131" t="s">
        <v>2377</v>
      </c>
    </row>
    <row r="38" spans="1:7" x14ac:dyDescent="0.35">
      <c r="A38" s="114" t="s">
        <v>1025</v>
      </c>
      <c r="B38" s="114" t="s">
        <v>1024</v>
      </c>
      <c r="C38" s="114" t="s">
        <v>1023</v>
      </c>
      <c r="D38" s="112" t="s">
        <v>2371</v>
      </c>
      <c r="E38" s="110" t="s">
        <v>2319</v>
      </c>
      <c r="F38" s="110" t="s">
        <v>2372</v>
      </c>
      <c r="G38" s="131" t="s">
        <v>2377</v>
      </c>
    </row>
    <row r="39" spans="1:7" x14ac:dyDescent="0.35">
      <c r="A39" s="110" t="s">
        <v>901</v>
      </c>
      <c r="B39" s="114" t="s">
        <v>900</v>
      </c>
      <c r="C39" s="110" t="s">
        <v>899</v>
      </c>
      <c r="D39" s="112" t="s">
        <v>2321</v>
      </c>
      <c r="E39" s="112" t="s">
        <v>2319</v>
      </c>
      <c r="F39" s="112" t="s">
        <v>2322</v>
      </c>
      <c r="G39" s="131" t="s">
        <v>2377</v>
      </c>
    </row>
    <row r="40" spans="1:7" x14ac:dyDescent="0.35">
      <c r="A40" s="106" t="s">
        <v>1864</v>
      </c>
      <c r="B40" s="106" t="s">
        <v>1863</v>
      </c>
      <c r="C40" s="106" t="s">
        <v>1862</v>
      </c>
      <c r="D40" s="108" t="s">
        <v>2369</v>
      </c>
      <c r="E40" s="106" t="s">
        <v>1345</v>
      </c>
      <c r="F40" s="106" t="s">
        <v>2370</v>
      </c>
      <c r="G40" s="131" t="s">
        <v>2377</v>
      </c>
    </row>
    <row r="41" spans="1:7" x14ac:dyDescent="0.35">
      <c r="A41" s="125" t="s">
        <v>964</v>
      </c>
      <c r="B41" s="122" t="s">
        <v>963</v>
      </c>
      <c r="C41" s="126" t="s">
        <v>962</v>
      </c>
      <c r="D41" s="123" t="s">
        <v>2367</v>
      </c>
      <c r="E41" s="124" t="s">
        <v>2319</v>
      </c>
      <c r="F41" s="124" t="s">
        <v>2368</v>
      </c>
      <c r="G41" s="131" t="s">
        <v>2377</v>
      </c>
    </row>
    <row r="42" spans="1:7" x14ac:dyDescent="0.35">
      <c r="A42" s="106" t="s">
        <v>880</v>
      </c>
      <c r="B42" s="109" t="s">
        <v>879</v>
      </c>
      <c r="C42" s="106" t="s">
        <v>878</v>
      </c>
      <c r="D42" s="108" t="s">
        <v>2318</v>
      </c>
      <c r="E42" s="108" t="s">
        <v>2319</v>
      </c>
      <c r="F42" s="108" t="s">
        <v>2320</v>
      </c>
      <c r="G42" s="131" t="s">
        <v>2377</v>
      </c>
    </row>
    <row r="43" spans="1:7" x14ac:dyDescent="0.35">
      <c r="A43" s="129" t="s">
        <v>1984</v>
      </c>
      <c r="B43" s="129" t="s">
        <v>1983</v>
      </c>
      <c r="C43" s="129" t="s">
        <v>1982</v>
      </c>
      <c r="D43" s="120" t="s">
        <v>2324</v>
      </c>
      <c r="E43" s="118" t="s">
        <v>1345</v>
      </c>
      <c r="F43" s="118" t="s">
        <v>2375</v>
      </c>
      <c r="G43" s="131" t="s">
        <v>2378</v>
      </c>
    </row>
    <row r="44" spans="1:7" x14ac:dyDescent="0.35">
      <c r="A44" s="129" t="s">
        <v>1960</v>
      </c>
      <c r="B44" s="129" t="s">
        <v>1959</v>
      </c>
      <c r="C44" s="129" t="s">
        <v>1958</v>
      </c>
      <c r="D44" s="120" t="s">
        <v>2324</v>
      </c>
      <c r="E44" s="118" t="s">
        <v>1345</v>
      </c>
      <c r="F44" s="118" t="s">
        <v>2375</v>
      </c>
      <c r="G44" s="131" t="s">
        <v>2378</v>
      </c>
    </row>
    <row r="45" spans="1:7" x14ac:dyDescent="0.35">
      <c r="A45" s="118" t="s">
        <v>2344</v>
      </c>
      <c r="B45" s="119" t="s">
        <v>1848</v>
      </c>
      <c r="C45" s="119">
        <v>2250934</v>
      </c>
      <c r="D45" s="120" t="s">
        <v>178</v>
      </c>
      <c r="E45" s="118" t="s">
        <v>1345</v>
      </c>
      <c r="F45" s="118" t="s">
        <v>2343</v>
      </c>
      <c r="G45" s="131" t="s">
        <v>2377</v>
      </c>
    </row>
    <row r="46" spans="1:7" x14ac:dyDescent="0.35">
      <c r="A46" s="106" t="s">
        <v>1906</v>
      </c>
      <c r="B46" s="106" t="s">
        <v>1905</v>
      </c>
      <c r="C46" s="106" t="s">
        <v>1904</v>
      </c>
      <c r="D46" s="108" t="s">
        <v>2369</v>
      </c>
      <c r="E46" s="106" t="s">
        <v>1345</v>
      </c>
      <c r="F46" s="106" t="s">
        <v>2370</v>
      </c>
      <c r="G46" s="131" t="s">
        <v>2377</v>
      </c>
    </row>
    <row r="47" spans="1:7" x14ac:dyDescent="0.35">
      <c r="A47" s="129" t="s">
        <v>2017</v>
      </c>
      <c r="B47" s="129" t="s">
        <v>2016</v>
      </c>
      <c r="C47" s="129" t="s">
        <v>2015</v>
      </c>
      <c r="D47" s="120" t="s">
        <v>2324</v>
      </c>
      <c r="E47" s="118" t="s">
        <v>1345</v>
      </c>
      <c r="F47" s="118" t="s">
        <v>2375</v>
      </c>
      <c r="G47" s="131" t="s">
        <v>2378</v>
      </c>
    </row>
    <row r="48" spans="1:7" x14ac:dyDescent="0.35">
      <c r="A48" s="106" t="s">
        <v>1870</v>
      </c>
      <c r="B48" s="106" t="s">
        <v>1869</v>
      </c>
      <c r="C48" s="106" t="s">
        <v>1868</v>
      </c>
      <c r="D48" s="108" t="s">
        <v>2369</v>
      </c>
      <c r="E48" s="106" t="s">
        <v>1345</v>
      </c>
      <c r="F48" s="106" t="s">
        <v>2370</v>
      </c>
      <c r="G48" s="131" t="s">
        <v>2377</v>
      </c>
    </row>
    <row r="49" spans="1:7" x14ac:dyDescent="0.35">
      <c r="A49" s="118" t="s">
        <v>2345</v>
      </c>
      <c r="B49" s="119" t="s">
        <v>1824</v>
      </c>
      <c r="C49" s="119">
        <v>2247420</v>
      </c>
      <c r="D49" s="120" t="s">
        <v>178</v>
      </c>
      <c r="E49" s="118" t="s">
        <v>1345</v>
      </c>
      <c r="F49" s="118" t="s">
        <v>2343</v>
      </c>
      <c r="G49" s="131" t="s">
        <v>2377</v>
      </c>
    </row>
    <row r="50" spans="1:7" x14ac:dyDescent="0.35">
      <c r="A50" s="129" t="s">
        <v>1753</v>
      </c>
      <c r="B50" s="129" t="s">
        <v>1752</v>
      </c>
      <c r="C50" s="129" t="s">
        <v>1751</v>
      </c>
      <c r="D50" s="120" t="s">
        <v>2324</v>
      </c>
      <c r="E50" s="118" t="s">
        <v>1345</v>
      </c>
      <c r="F50" s="118" t="s">
        <v>2375</v>
      </c>
      <c r="G50" s="131" t="s">
        <v>2378</v>
      </c>
    </row>
    <row r="51" spans="1:7" x14ac:dyDescent="0.35">
      <c r="A51" s="116" t="s">
        <v>2328</v>
      </c>
      <c r="B51" s="116" t="s">
        <v>1770</v>
      </c>
      <c r="C51" s="116">
        <v>2243226</v>
      </c>
      <c r="D51" s="117" t="s">
        <v>2324</v>
      </c>
      <c r="E51" s="116" t="s">
        <v>1345</v>
      </c>
      <c r="F51" s="116" t="s">
        <v>2325</v>
      </c>
      <c r="G51" s="131" t="s">
        <v>2377</v>
      </c>
    </row>
    <row r="52" spans="1:7" x14ac:dyDescent="0.35">
      <c r="A52" s="128" t="s">
        <v>1933</v>
      </c>
      <c r="B52" s="128" t="s">
        <v>1932</v>
      </c>
      <c r="C52" s="128" t="s">
        <v>1931</v>
      </c>
      <c r="D52" s="117" t="s">
        <v>2373</v>
      </c>
      <c r="E52" s="116" t="s">
        <v>1345</v>
      </c>
      <c r="F52" s="116" t="s">
        <v>2374</v>
      </c>
      <c r="G52" s="131" t="s">
        <v>2377</v>
      </c>
    </row>
    <row r="53" spans="1:7" x14ac:dyDescent="0.35">
      <c r="A53" s="118" t="s">
        <v>2346</v>
      </c>
      <c r="B53" s="119" t="s">
        <v>1854</v>
      </c>
      <c r="C53" s="119">
        <v>2250954</v>
      </c>
      <c r="D53" s="120" t="s">
        <v>178</v>
      </c>
      <c r="E53" s="118" t="s">
        <v>1345</v>
      </c>
      <c r="F53" s="118" t="s">
        <v>2343</v>
      </c>
      <c r="G53" s="131" t="s">
        <v>2377</v>
      </c>
    </row>
    <row r="54" spans="1:7" x14ac:dyDescent="0.35">
      <c r="A54" s="106" t="s">
        <v>859</v>
      </c>
      <c r="B54" s="109" t="s">
        <v>858</v>
      </c>
      <c r="C54" s="106" t="s">
        <v>857</v>
      </c>
      <c r="D54" s="108" t="s">
        <v>2318</v>
      </c>
      <c r="E54" s="108" t="s">
        <v>2319</v>
      </c>
      <c r="F54" s="108" t="s">
        <v>2320</v>
      </c>
      <c r="G54" s="131" t="s">
        <v>2377</v>
      </c>
    </row>
    <row r="55" spans="1:7" x14ac:dyDescent="0.35">
      <c r="A55" s="114" t="s">
        <v>1034</v>
      </c>
      <c r="B55" s="114" t="s">
        <v>1033</v>
      </c>
      <c r="C55" s="114" t="s">
        <v>1032</v>
      </c>
      <c r="D55" s="112" t="s">
        <v>2371</v>
      </c>
      <c r="E55" s="110" t="s">
        <v>2319</v>
      </c>
      <c r="F55" s="110" t="s">
        <v>2372</v>
      </c>
      <c r="G55" s="131" t="s">
        <v>2377</v>
      </c>
    </row>
    <row r="56" spans="1:7" x14ac:dyDescent="0.35">
      <c r="A56" s="106" t="s">
        <v>844</v>
      </c>
      <c r="B56" s="109" t="s">
        <v>843</v>
      </c>
      <c r="C56" s="106" t="s">
        <v>842</v>
      </c>
      <c r="D56" s="108" t="s">
        <v>2318</v>
      </c>
      <c r="E56" s="108" t="s">
        <v>2319</v>
      </c>
      <c r="F56" s="108" t="s">
        <v>2320</v>
      </c>
      <c r="G56" s="131" t="s">
        <v>2377</v>
      </c>
    </row>
    <row r="57" spans="1:7" x14ac:dyDescent="0.35">
      <c r="A57" s="128" t="s">
        <v>1948</v>
      </c>
      <c r="B57" s="128" t="s">
        <v>1947</v>
      </c>
      <c r="C57" s="128" t="s">
        <v>1946</v>
      </c>
      <c r="D57" s="117" t="s">
        <v>2373</v>
      </c>
      <c r="E57" s="116" t="s">
        <v>1345</v>
      </c>
      <c r="F57" s="116" t="s">
        <v>2374</v>
      </c>
      <c r="G57" s="131" t="s">
        <v>2377</v>
      </c>
    </row>
    <row r="58" spans="1:7" x14ac:dyDescent="0.35">
      <c r="A58" s="129" t="s">
        <v>1972</v>
      </c>
      <c r="B58" s="129" t="s">
        <v>1971</v>
      </c>
      <c r="C58" s="129" t="s">
        <v>1970</v>
      </c>
      <c r="D58" s="120" t="s">
        <v>2324</v>
      </c>
      <c r="E58" s="118" t="s">
        <v>1345</v>
      </c>
      <c r="F58" s="118" t="s">
        <v>2375</v>
      </c>
      <c r="G58" s="131" t="s">
        <v>2378</v>
      </c>
    </row>
    <row r="59" spans="1:7" x14ac:dyDescent="0.35">
      <c r="A59" s="125" t="s">
        <v>976</v>
      </c>
      <c r="B59" s="125" t="s">
        <v>975</v>
      </c>
      <c r="C59" s="126" t="s">
        <v>974</v>
      </c>
      <c r="D59" s="123" t="s">
        <v>2367</v>
      </c>
      <c r="E59" s="124" t="s">
        <v>2319</v>
      </c>
      <c r="F59" s="124" t="s">
        <v>2368</v>
      </c>
      <c r="G59" s="131" t="s">
        <v>2377</v>
      </c>
    </row>
    <row r="60" spans="1:7" x14ac:dyDescent="0.35">
      <c r="A60" s="118" t="s">
        <v>2347</v>
      </c>
      <c r="B60" s="119" t="s">
        <v>1839</v>
      </c>
      <c r="C60" s="119">
        <v>2250913</v>
      </c>
      <c r="D60" s="120" t="s">
        <v>178</v>
      </c>
      <c r="E60" s="118" t="s">
        <v>1345</v>
      </c>
      <c r="F60" s="118" t="s">
        <v>2343</v>
      </c>
      <c r="G60" s="131" t="s">
        <v>2377</v>
      </c>
    </row>
    <row r="61" spans="1:7" x14ac:dyDescent="0.35">
      <c r="A61" s="128" t="s">
        <v>1930</v>
      </c>
      <c r="B61" s="128" t="s">
        <v>1929</v>
      </c>
      <c r="C61" s="128" t="s">
        <v>1928</v>
      </c>
      <c r="D61" s="117" t="s">
        <v>2373</v>
      </c>
      <c r="E61" s="116" t="s">
        <v>1345</v>
      </c>
      <c r="F61" s="116" t="s">
        <v>2374</v>
      </c>
      <c r="G61" s="131" t="s">
        <v>2377</v>
      </c>
    </row>
    <row r="62" spans="1:7" x14ac:dyDescent="0.35">
      <c r="A62" s="129" t="s">
        <v>1978</v>
      </c>
      <c r="B62" s="129" t="s">
        <v>1977</v>
      </c>
      <c r="C62" s="129" t="s">
        <v>1976</v>
      </c>
      <c r="D62" s="120" t="s">
        <v>2324</v>
      </c>
      <c r="E62" s="118" t="s">
        <v>1345</v>
      </c>
      <c r="F62" s="118" t="s">
        <v>2375</v>
      </c>
      <c r="G62" s="131" t="s">
        <v>2378</v>
      </c>
    </row>
    <row r="63" spans="1:7" x14ac:dyDescent="0.35">
      <c r="A63" s="114" t="s">
        <v>1007</v>
      </c>
      <c r="B63" s="114" t="s">
        <v>1006</v>
      </c>
      <c r="C63" s="114" t="s">
        <v>1005</v>
      </c>
      <c r="D63" s="112" t="s">
        <v>2371</v>
      </c>
      <c r="E63" s="110" t="s">
        <v>2319</v>
      </c>
      <c r="F63" s="110" t="s">
        <v>2372</v>
      </c>
      <c r="G63" s="131" t="s">
        <v>2377</v>
      </c>
    </row>
    <row r="64" spans="1:7" x14ac:dyDescent="0.35">
      <c r="A64" s="116" t="s">
        <v>2339</v>
      </c>
      <c r="B64" s="116" t="s">
        <v>1797</v>
      </c>
      <c r="C64" s="116">
        <v>2244740</v>
      </c>
      <c r="D64" s="117" t="s">
        <v>2324</v>
      </c>
      <c r="E64" s="116" t="s">
        <v>1345</v>
      </c>
      <c r="F64" s="116" t="s">
        <v>2325</v>
      </c>
      <c r="G64" s="131" t="s">
        <v>2377</v>
      </c>
    </row>
    <row r="65" spans="1:7" x14ac:dyDescent="0.35">
      <c r="A65" s="128" t="s">
        <v>1945</v>
      </c>
      <c r="B65" s="128" t="s">
        <v>1944</v>
      </c>
      <c r="C65" s="128" t="s">
        <v>1943</v>
      </c>
      <c r="D65" s="117" t="s">
        <v>2373</v>
      </c>
      <c r="E65" s="116" t="s">
        <v>1345</v>
      </c>
      <c r="F65" s="116" t="s">
        <v>2374</v>
      </c>
      <c r="G65" s="131" t="s">
        <v>2377</v>
      </c>
    </row>
    <row r="66" spans="1:7" x14ac:dyDescent="0.35">
      <c r="A66" s="106" t="s">
        <v>1903</v>
      </c>
      <c r="B66" s="106" t="s">
        <v>1902</v>
      </c>
      <c r="C66" s="106" t="s">
        <v>1901</v>
      </c>
      <c r="D66" s="108" t="s">
        <v>2369</v>
      </c>
      <c r="E66" s="106" t="s">
        <v>1345</v>
      </c>
      <c r="F66" s="106" t="s">
        <v>2370</v>
      </c>
      <c r="G66" s="131" t="s">
        <v>2377</v>
      </c>
    </row>
    <row r="67" spans="1:7" x14ac:dyDescent="0.35">
      <c r="A67" s="125" t="s">
        <v>982</v>
      </c>
      <c r="B67" s="125" t="s">
        <v>981</v>
      </c>
      <c r="C67" s="126" t="s">
        <v>980</v>
      </c>
      <c r="D67" s="123" t="s">
        <v>2367</v>
      </c>
      <c r="E67" s="124" t="s">
        <v>2319</v>
      </c>
      <c r="F67" s="124" t="s">
        <v>2368</v>
      </c>
      <c r="G67" s="131" t="s">
        <v>2377</v>
      </c>
    </row>
    <row r="68" spans="1:7" x14ac:dyDescent="0.35">
      <c r="A68" s="118" t="s">
        <v>2348</v>
      </c>
      <c r="B68" s="119" t="s">
        <v>1809</v>
      </c>
      <c r="C68" s="119">
        <v>2247371</v>
      </c>
      <c r="D68" s="120" t="s">
        <v>178</v>
      </c>
      <c r="E68" s="118" t="s">
        <v>1345</v>
      </c>
      <c r="F68" s="118" t="s">
        <v>2343</v>
      </c>
      <c r="G68" s="131" t="s">
        <v>2377</v>
      </c>
    </row>
    <row r="69" spans="1:7" x14ac:dyDescent="0.35">
      <c r="A69" s="116" t="s">
        <v>2340</v>
      </c>
      <c r="B69" s="116" t="s">
        <v>1803</v>
      </c>
      <c r="C69" s="116">
        <v>2244760</v>
      </c>
      <c r="D69" s="117" t="s">
        <v>2324</v>
      </c>
      <c r="E69" s="116" t="s">
        <v>1345</v>
      </c>
      <c r="F69" s="116" t="s">
        <v>2325</v>
      </c>
      <c r="G69" s="131" t="s">
        <v>2377</v>
      </c>
    </row>
    <row r="70" spans="1:7" x14ac:dyDescent="0.35">
      <c r="A70" s="114" t="s">
        <v>1016</v>
      </c>
      <c r="B70" s="114" t="s">
        <v>1015</v>
      </c>
      <c r="C70" s="114" t="s">
        <v>1014</v>
      </c>
      <c r="D70" s="112" t="s">
        <v>2371</v>
      </c>
      <c r="E70" s="110" t="s">
        <v>2319</v>
      </c>
      <c r="F70" s="110" t="s">
        <v>2372</v>
      </c>
      <c r="G70" s="131" t="s">
        <v>2377</v>
      </c>
    </row>
    <row r="71" spans="1:7" x14ac:dyDescent="0.35">
      <c r="A71" s="106" t="s">
        <v>871</v>
      </c>
      <c r="B71" s="109" t="s">
        <v>870</v>
      </c>
      <c r="C71" s="106" t="s">
        <v>869</v>
      </c>
      <c r="D71" s="108" t="s">
        <v>2318</v>
      </c>
      <c r="E71" s="108" t="s">
        <v>2319</v>
      </c>
      <c r="F71" s="108" t="s">
        <v>2320</v>
      </c>
      <c r="G71" s="131" t="s">
        <v>2377</v>
      </c>
    </row>
    <row r="72" spans="1:7" x14ac:dyDescent="0.35">
      <c r="A72" s="118" t="s">
        <v>2365</v>
      </c>
      <c r="B72" s="118" t="s">
        <v>2366</v>
      </c>
      <c r="C72" s="118">
        <v>2253036</v>
      </c>
      <c r="D72" s="120" t="s">
        <v>178</v>
      </c>
      <c r="E72" s="118" t="s">
        <v>1345</v>
      </c>
      <c r="F72" s="118" t="s">
        <v>2343</v>
      </c>
      <c r="G72" s="131" t="s">
        <v>2377</v>
      </c>
    </row>
    <row r="73" spans="1:7" x14ac:dyDescent="0.35">
      <c r="A73" s="118" t="s">
        <v>2349</v>
      </c>
      <c r="B73" s="119" t="s">
        <v>2350</v>
      </c>
      <c r="C73" s="119">
        <v>2247366</v>
      </c>
      <c r="D73" s="120" t="s">
        <v>178</v>
      </c>
      <c r="E73" s="118" t="s">
        <v>1345</v>
      </c>
      <c r="F73" s="118" t="s">
        <v>2343</v>
      </c>
      <c r="G73" s="131" t="s">
        <v>2377</v>
      </c>
    </row>
    <row r="74" spans="1:7" x14ac:dyDescent="0.35">
      <c r="A74" s="106" t="s">
        <v>1900</v>
      </c>
      <c r="B74" s="106" t="s">
        <v>1899</v>
      </c>
      <c r="C74" s="106" t="s">
        <v>1898</v>
      </c>
      <c r="D74" s="108" t="s">
        <v>2369</v>
      </c>
      <c r="E74" s="106" t="s">
        <v>1345</v>
      </c>
      <c r="F74" s="106" t="s">
        <v>2370</v>
      </c>
      <c r="G74" s="131" t="s">
        <v>2377</v>
      </c>
    </row>
    <row r="75" spans="1:7" x14ac:dyDescent="0.35">
      <c r="A75" s="125" t="s">
        <v>958</v>
      </c>
      <c r="B75" s="125" t="s">
        <v>957</v>
      </c>
      <c r="C75" s="126" t="s">
        <v>956</v>
      </c>
      <c r="D75" s="123" t="s">
        <v>2367</v>
      </c>
      <c r="E75" s="124" t="s">
        <v>2319</v>
      </c>
      <c r="F75" s="124" t="s">
        <v>2368</v>
      </c>
      <c r="G75" s="131" t="s">
        <v>2377</v>
      </c>
    </row>
    <row r="76" spans="1:7" x14ac:dyDescent="0.35">
      <c r="A76" s="106" t="s">
        <v>1429</v>
      </c>
      <c r="B76" s="106" t="s">
        <v>1428</v>
      </c>
      <c r="C76" s="106" t="s">
        <v>1427</v>
      </c>
      <c r="D76" s="108" t="s">
        <v>2369</v>
      </c>
      <c r="E76" s="106" t="s">
        <v>1345</v>
      </c>
      <c r="F76" s="106" t="s">
        <v>2370</v>
      </c>
      <c r="G76" s="131" t="s">
        <v>2377</v>
      </c>
    </row>
    <row r="77" spans="1:7" x14ac:dyDescent="0.35">
      <c r="A77" s="127" t="s">
        <v>2041</v>
      </c>
      <c r="B77" s="127" t="s">
        <v>2040</v>
      </c>
      <c r="C77" s="127" t="s">
        <v>2039</v>
      </c>
      <c r="D77" s="108" t="s">
        <v>178</v>
      </c>
      <c r="E77" s="106" t="s">
        <v>1345</v>
      </c>
      <c r="F77" s="106" t="s">
        <v>2313</v>
      </c>
      <c r="G77" s="131" t="s">
        <v>2378</v>
      </c>
    </row>
    <row r="78" spans="1:7" x14ac:dyDescent="0.35">
      <c r="A78" s="106" t="s">
        <v>856</v>
      </c>
      <c r="B78" s="109" t="s">
        <v>855</v>
      </c>
      <c r="C78" s="106" t="s">
        <v>854</v>
      </c>
      <c r="D78" s="108" t="s">
        <v>2318</v>
      </c>
      <c r="E78" s="108" t="s">
        <v>2319</v>
      </c>
      <c r="F78" s="108" t="s">
        <v>2320</v>
      </c>
      <c r="G78" s="131" t="s">
        <v>2377</v>
      </c>
    </row>
    <row r="79" spans="1:7" x14ac:dyDescent="0.35">
      <c r="A79" s="110" t="s">
        <v>910</v>
      </c>
      <c r="B79" s="115" t="s">
        <v>909</v>
      </c>
      <c r="C79" s="110" t="s">
        <v>908</v>
      </c>
      <c r="D79" s="112" t="s">
        <v>2321</v>
      </c>
      <c r="E79" s="112" t="s">
        <v>2319</v>
      </c>
      <c r="F79" s="112" t="s">
        <v>2322</v>
      </c>
      <c r="G79" s="131" t="s">
        <v>2377</v>
      </c>
    </row>
    <row r="80" spans="1:7" x14ac:dyDescent="0.35">
      <c r="A80" s="110" t="s">
        <v>676</v>
      </c>
      <c r="B80" s="113" t="s">
        <v>675</v>
      </c>
      <c r="C80" s="110" t="s">
        <v>674</v>
      </c>
      <c r="D80" s="112" t="s">
        <v>2321</v>
      </c>
      <c r="E80" s="112" t="s">
        <v>2319</v>
      </c>
      <c r="F80" s="112" t="s">
        <v>2322</v>
      </c>
      <c r="G80" s="131" t="s">
        <v>2377</v>
      </c>
    </row>
    <row r="81" spans="1:7" x14ac:dyDescent="0.35">
      <c r="A81" s="128" t="s">
        <v>1747</v>
      </c>
      <c r="B81" s="128" t="s">
        <v>1746</v>
      </c>
      <c r="C81" s="128" t="s">
        <v>1745</v>
      </c>
      <c r="D81" s="117" t="s">
        <v>2373</v>
      </c>
      <c r="E81" s="116" t="s">
        <v>1345</v>
      </c>
      <c r="F81" s="116" t="s">
        <v>2374</v>
      </c>
      <c r="G81" s="131" t="s">
        <v>2377</v>
      </c>
    </row>
    <row r="82" spans="1:7" x14ac:dyDescent="0.35">
      <c r="A82" s="114" t="s">
        <v>1000</v>
      </c>
      <c r="B82" s="114" t="s">
        <v>999</v>
      </c>
      <c r="C82" s="114" t="s">
        <v>998</v>
      </c>
      <c r="D82" s="112" t="s">
        <v>2371</v>
      </c>
      <c r="E82" s="110" t="s">
        <v>2319</v>
      </c>
      <c r="F82" s="110" t="s">
        <v>2372</v>
      </c>
      <c r="G82" s="131" t="s">
        <v>2377</v>
      </c>
    </row>
    <row r="83" spans="1:7" x14ac:dyDescent="0.35">
      <c r="A83" s="127" t="s">
        <v>1575</v>
      </c>
      <c r="B83" s="127" t="s">
        <v>1574</v>
      </c>
      <c r="C83" s="127" t="s">
        <v>1573</v>
      </c>
      <c r="D83" s="108" t="s">
        <v>178</v>
      </c>
      <c r="E83" s="106" t="s">
        <v>1345</v>
      </c>
      <c r="F83" s="106" t="s">
        <v>2313</v>
      </c>
      <c r="G83" s="131" t="s">
        <v>2378</v>
      </c>
    </row>
    <row r="84" spans="1:7" x14ac:dyDescent="0.35">
      <c r="A84" s="106" t="s">
        <v>1876</v>
      </c>
      <c r="B84" s="106" t="s">
        <v>1875</v>
      </c>
      <c r="C84" s="106" t="s">
        <v>1874</v>
      </c>
      <c r="D84" s="108" t="s">
        <v>2369</v>
      </c>
      <c r="E84" s="106" t="s">
        <v>1345</v>
      </c>
      <c r="F84" s="106" t="s">
        <v>2370</v>
      </c>
      <c r="G84" s="131" t="s">
        <v>2377</v>
      </c>
    </row>
    <row r="85" spans="1:7" x14ac:dyDescent="0.35">
      <c r="A85" s="118" t="s">
        <v>2351</v>
      </c>
      <c r="B85" s="119" t="s">
        <v>1806</v>
      </c>
      <c r="C85" s="119">
        <v>2247367</v>
      </c>
      <c r="D85" s="120" t="s">
        <v>178</v>
      </c>
      <c r="E85" s="118" t="s">
        <v>1345</v>
      </c>
      <c r="F85" s="118" t="s">
        <v>2343</v>
      </c>
      <c r="G85" s="131" t="s">
        <v>2377</v>
      </c>
    </row>
    <row r="86" spans="1:7" x14ac:dyDescent="0.35">
      <c r="A86" s="116" t="s">
        <v>2329</v>
      </c>
      <c r="B86" s="116" t="s">
        <v>1794</v>
      </c>
      <c r="C86" s="116">
        <v>2243253</v>
      </c>
      <c r="D86" s="117" t="s">
        <v>2324</v>
      </c>
      <c r="E86" s="116" t="s">
        <v>1345</v>
      </c>
      <c r="F86" s="116" t="s">
        <v>2325</v>
      </c>
      <c r="G86" s="131" t="s">
        <v>2377</v>
      </c>
    </row>
    <row r="87" spans="1:7" x14ac:dyDescent="0.35">
      <c r="A87" s="106" t="s">
        <v>886</v>
      </c>
      <c r="B87" s="109" t="s">
        <v>885</v>
      </c>
      <c r="C87" s="106" t="s">
        <v>884</v>
      </c>
      <c r="D87" s="108" t="s">
        <v>2318</v>
      </c>
      <c r="E87" s="108" t="s">
        <v>2319</v>
      </c>
      <c r="F87" s="108" t="s">
        <v>2320</v>
      </c>
      <c r="G87" s="131" t="s">
        <v>2377</v>
      </c>
    </row>
    <row r="88" spans="1:7" x14ac:dyDescent="0.35">
      <c r="A88" s="118" t="s">
        <v>2352</v>
      </c>
      <c r="B88" s="119" t="s">
        <v>1830</v>
      </c>
      <c r="C88" s="119">
        <v>2250907</v>
      </c>
      <c r="D88" s="120" t="s">
        <v>178</v>
      </c>
      <c r="E88" s="118" t="s">
        <v>1345</v>
      </c>
      <c r="F88" s="118" t="s">
        <v>2343</v>
      </c>
      <c r="G88" s="131" t="s">
        <v>2377</v>
      </c>
    </row>
    <row r="89" spans="1:7" x14ac:dyDescent="0.35">
      <c r="A89" s="127" t="s">
        <v>2035</v>
      </c>
      <c r="B89" s="127" t="s">
        <v>2034</v>
      </c>
      <c r="C89" s="127" t="s">
        <v>2033</v>
      </c>
      <c r="D89" s="108" t="s">
        <v>178</v>
      </c>
      <c r="E89" s="106" t="s">
        <v>1345</v>
      </c>
      <c r="F89" s="106" t="s">
        <v>2313</v>
      </c>
      <c r="G89" s="131" t="s">
        <v>2378</v>
      </c>
    </row>
    <row r="90" spans="1:7" x14ac:dyDescent="0.35">
      <c r="A90" s="114" t="s">
        <v>1013</v>
      </c>
      <c r="B90" s="114" t="s">
        <v>1012</v>
      </c>
      <c r="C90" s="114" t="s">
        <v>1011</v>
      </c>
      <c r="D90" s="112" t="s">
        <v>2371</v>
      </c>
      <c r="E90" s="110" t="s">
        <v>2319</v>
      </c>
      <c r="F90" s="110" t="s">
        <v>2372</v>
      </c>
      <c r="G90" s="131" t="s">
        <v>2377</v>
      </c>
    </row>
    <row r="91" spans="1:7" x14ac:dyDescent="0.35">
      <c r="A91" s="114" t="s">
        <v>1004</v>
      </c>
      <c r="B91" s="114" t="s">
        <v>1003</v>
      </c>
      <c r="C91" s="114" t="s">
        <v>1002</v>
      </c>
      <c r="D91" s="112" t="s">
        <v>2371</v>
      </c>
      <c r="E91" s="110" t="s">
        <v>2319</v>
      </c>
      <c r="F91" s="110" t="s">
        <v>2372</v>
      </c>
      <c r="G91" s="131" t="s">
        <v>2377</v>
      </c>
    </row>
    <row r="92" spans="1:7" x14ac:dyDescent="0.35">
      <c r="A92" s="106" t="s">
        <v>1897</v>
      </c>
      <c r="B92" s="106" t="s">
        <v>1896</v>
      </c>
      <c r="C92" s="106" t="s">
        <v>1895</v>
      </c>
      <c r="D92" s="108" t="s">
        <v>2369</v>
      </c>
      <c r="E92" s="106" t="s">
        <v>1345</v>
      </c>
      <c r="F92" s="106" t="s">
        <v>2370</v>
      </c>
      <c r="G92" s="131" t="s">
        <v>2377</v>
      </c>
    </row>
    <row r="93" spans="1:7" x14ac:dyDescent="0.35">
      <c r="A93" s="116" t="s">
        <v>2330</v>
      </c>
      <c r="B93" s="116" t="s">
        <v>1767</v>
      </c>
      <c r="C93" s="116">
        <v>2243223</v>
      </c>
      <c r="D93" s="117" t="s">
        <v>2324</v>
      </c>
      <c r="E93" s="116" t="s">
        <v>1345</v>
      </c>
      <c r="F93" s="116" t="s">
        <v>2325</v>
      </c>
      <c r="G93" s="131" t="s">
        <v>2377</v>
      </c>
    </row>
    <row r="94" spans="1:7" x14ac:dyDescent="0.35">
      <c r="A94" s="128" t="s">
        <v>1924</v>
      </c>
      <c r="B94" s="128" t="s">
        <v>1923</v>
      </c>
      <c r="C94" s="128" t="s">
        <v>1922</v>
      </c>
      <c r="D94" s="117" t="s">
        <v>2373</v>
      </c>
      <c r="E94" s="116" t="s">
        <v>1345</v>
      </c>
      <c r="F94" s="116" t="s">
        <v>2374</v>
      </c>
      <c r="G94" s="131" t="s">
        <v>2377</v>
      </c>
    </row>
    <row r="95" spans="1:7" x14ac:dyDescent="0.35">
      <c r="A95" s="106" t="s">
        <v>1894</v>
      </c>
      <c r="B95" s="106" t="s">
        <v>1893</v>
      </c>
      <c r="C95" s="106" t="s">
        <v>1892</v>
      </c>
      <c r="D95" s="108" t="s">
        <v>2369</v>
      </c>
      <c r="E95" s="106" t="s">
        <v>1345</v>
      </c>
      <c r="F95" s="106" t="s">
        <v>2370</v>
      </c>
      <c r="G95" s="131" t="s">
        <v>2377</v>
      </c>
    </row>
    <row r="96" spans="1:7" x14ac:dyDescent="0.35">
      <c r="A96" s="110" t="s">
        <v>913</v>
      </c>
      <c r="B96" s="114" t="s">
        <v>912</v>
      </c>
      <c r="C96" s="110" t="s">
        <v>911</v>
      </c>
      <c r="D96" s="112" t="s">
        <v>2321</v>
      </c>
      <c r="E96" s="112" t="s">
        <v>2319</v>
      </c>
      <c r="F96" s="112" t="s">
        <v>2322</v>
      </c>
      <c r="G96" s="131" t="s">
        <v>2377</v>
      </c>
    </row>
    <row r="97" spans="1:7" x14ac:dyDescent="0.35">
      <c r="A97" s="114" t="s">
        <v>1037</v>
      </c>
      <c r="B97" s="114" t="s">
        <v>1036</v>
      </c>
      <c r="C97" s="114" t="s">
        <v>1035</v>
      </c>
      <c r="D97" s="112" t="s">
        <v>2371</v>
      </c>
      <c r="E97" s="110" t="s">
        <v>2319</v>
      </c>
      <c r="F97" s="110" t="s">
        <v>2372</v>
      </c>
      <c r="G97" s="131" t="s">
        <v>2377</v>
      </c>
    </row>
    <row r="98" spans="1:7" x14ac:dyDescent="0.35">
      <c r="A98" s="116" t="s">
        <v>2331</v>
      </c>
      <c r="B98" s="116" t="s">
        <v>1764</v>
      </c>
      <c r="C98" s="116">
        <v>2243222</v>
      </c>
      <c r="D98" s="117" t="s">
        <v>2324</v>
      </c>
      <c r="E98" s="116" t="s">
        <v>1345</v>
      </c>
      <c r="F98" s="116" t="s">
        <v>2325</v>
      </c>
      <c r="G98" s="131" t="s">
        <v>2377</v>
      </c>
    </row>
    <row r="99" spans="1:7" x14ac:dyDescent="0.35">
      <c r="A99" s="125" t="s">
        <v>446</v>
      </c>
      <c r="B99" s="125" t="s">
        <v>445</v>
      </c>
      <c r="C99" s="126" t="s">
        <v>444</v>
      </c>
      <c r="D99" s="123" t="s">
        <v>2367</v>
      </c>
      <c r="E99" s="124" t="s">
        <v>2319</v>
      </c>
      <c r="F99" s="124" t="s">
        <v>2368</v>
      </c>
      <c r="G99" s="131" t="s">
        <v>2377</v>
      </c>
    </row>
    <row r="100" spans="1:7" x14ac:dyDescent="0.35">
      <c r="A100" s="114" t="s">
        <v>1019</v>
      </c>
      <c r="B100" s="114" t="s">
        <v>1018</v>
      </c>
      <c r="C100" s="114" t="s">
        <v>1017</v>
      </c>
      <c r="D100" s="112" t="s">
        <v>2371</v>
      </c>
      <c r="E100" s="110" t="s">
        <v>2319</v>
      </c>
      <c r="F100" s="110" t="s">
        <v>2372</v>
      </c>
      <c r="G100" s="131" t="s">
        <v>2377</v>
      </c>
    </row>
    <row r="101" spans="1:7" x14ac:dyDescent="0.35">
      <c r="A101" s="118" t="s">
        <v>2353</v>
      </c>
      <c r="B101" s="119" t="s">
        <v>1842</v>
      </c>
      <c r="C101" s="119">
        <v>2250925</v>
      </c>
      <c r="D101" s="120" t="s">
        <v>178</v>
      </c>
      <c r="E101" s="118" t="s">
        <v>1345</v>
      </c>
      <c r="F101" s="118" t="s">
        <v>2343</v>
      </c>
      <c r="G101" s="131" t="s">
        <v>2377</v>
      </c>
    </row>
    <row r="102" spans="1:7" x14ac:dyDescent="0.35">
      <c r="A102" s="116" t="s">
        <v>2332</v>
      </c>
      <c r="B102" s="116" t="s">
        <v>1782</v>
      </c>
      <c r="C102" s="116">
        <v>2243236</v>
      </c>
      <c r="D102" s="117" t="s">
        <v>2324</v>
      </c>
      <c r="E102" s="116" t="s">
        <v>1345</v>
      </c>
      <c r="F102" s="116" t="s">
        <v>2325</v>
      </c>
      <c r="G102" s="131" t="s">
        <v>2377</v>
      </c>
    </row>
    <row r="103" spans="1:7" x14ac:dyDescent="0.35">
      <c r="A103" s="118" t="s">
        <v>2354</v>
      </c>
      <c r="B103" s="119" t="s">
        <v>2355</v>
      </c>
      <c r="C103" s="121">
        <v>2247414</v>
      </c>
      <c r="D103" s="120" t="s">
        <v>178</v>
      </c>
      <c r="E103" s="118" t="s">
        <v>1345</v>
      </c>
      <c r="F103" s="118" t="s">
        <v>2343</v>
      </c>
      <c r="G103" s="131" t="s">
        <v>2377</v>
      </c>
    </row>
    <row r="104" spans="1:7" x14ac:dyDescent="0.35">
      <c r="A104" s="125" t="s">
        <v>994</v>
      </c>
      <c r="B104" s="125" t="s">
        <v>993</v>
      </c>
      <c r="C104" s="126" t="s">
        <v>992</v>
      </c>
      <c r="D104" s="123" t="s">
        <v>2367</v>
      </c>
      <c r="E104" s="124" t="s">
        <v>2319</v>
      </c>
      <c r="F104" s="124" t="s">
        <v>2368</v>
      </c>
      <c r="G104" s="131" t="s">
        <v>2377</v>
      </c>
    </row>
    <row r="105" spans="1:7" x14ac:dyDescent="0.35">
      <c r="A105" s="128" t="s">
        <v>1951</v>
      </c>
      <c r="B105" s="128" t="s">
        <v>1950</v>
      </c>
      <c r="C105" s="128" t="s">
        <v>1949</v>
      </c>
      <c r="D105" s="117" t="s">
        <v>2373</v>
      </c>
      <c r="E105" s="116" t="s">
        <v>1345</v>
      </c>
      <c r="F105" s="116" t="s">
        <v>2374</v>
      </c>
      <c r="G105" s="131" t="s">
        <v>2377</v>
      </c>
    </row>
    <row r="106" spans="1:7" x14ac:dyDescent="0.35">
      <c r="A106" s="128" t="s">
        <v>1936</v>
      </c>
      <c r="B106" s="128" t="s">
        <v>1935</v>
      </c>
      <c r="C106" s="128" t="s">
        <v>1934</v>
      </c>
      <c r="D106" s="117" t="s">
        <v>2373</v>
      </c>
      <c r="E106" s="116" t="s">
        <v>1345</v>
      </c>
      <c r="F106" s="116" t="s">
        <v>2374</v>
      </c>
      <c r="G106" s="131" t="s">
        <v>2377</v>
      </c>
    </row>
    <row r="107" spans="1:7" x14ac:dyDescent="0.35">
      <c r="A107" s="106" t="s">
        <v>892</v>
      </c>
      <c r="B107" s="109" t="s">
        <v>891</v>
      </c>
      <c r="C107" s="106" t="s">
        <v>890</v>
      </c>
      <c r="D107" s="108" t="s">
        <v>2318</v>
      </c>
      <c r="E107" s="108" t="s">
        <v>2319</v>
      </c>
      <c r="F107" s="108" t="s">
        <v>2320</v>
      </c>
      <c r="G107" s="131" t="s">
        <v>2377</v>
      </c>
    </row>
    <row r="108" spans="1:7" x14ac:dyDescent="0.35">
      <c r="A108" s="118" t="s">
        <v>2356</v>
      </c>
      <c r="B108" s="119" t="s">
        <v>1833</v>
      </c>
      <c r="C108" s="119">
        <v>2250910</v>
      </c>
      <c r="D108" s="120" t="s">
        <v>178</v>
      </c>
      <c r="E108" s="118" t="s">
        <v>1345</v>
      </c>
      <c r="F108" s="118" t="s">
        <v>2343</v>
      </c>
      <c r="G108" s="131" t="s">
        <v>2377</v>
      </c>
    </row>
    <row r="109" spans="1:7" x14ac:dyDescent="0.35">
      <c r="A109" s="127" t="s">
        <v>2044</v>
      </c>
      <c r="B109" s="127" t="s">
        <v>2043</v>
      </c>
      <c r="C109" s="127" t="s">
        <v>2042</v>
      </c>
      <c r="D109" s="108" t="s">
        <v>178</v>
      </c>
      <c r="E109" s="106" t="s">
        <v>1345</v>
      </c>
      <c r="F109" s="106" t="s">
        <v>2313</v>
      </c>
      <c r="G109" s="131" t="s">
        <v>2378</v>
      </c>
    </row>
    <row r="110" spans="1:7" x14ac:dyDescent="0.35">
      <c r="A110" s="128" t="s">
        <v>1942</v>
      </c>
      <c r="B110" s="128" t="s">
        <v>1941</v>
      </c>
      <c r="C110" s="128" t="s">
        <v>1940</v>
      </c>
      <c r="D110" s="117" t="s">
        <v>2373</v>
      </c>
      <c r="E110" s="116" t="s">
        <v>1345</v>
      </c>
      <c r="F110" s="116" t="s">
        <v>2374</v>
      </c>
      <c r="G110" s="131" t="s">
        <v>2377</v>
      </c>
    </row>
    <row r="111" spans="1:7" x14ac:dyDescent="0.35">
      <c r="A111" s="106" t="s">
        <v>1861</v>
      </c>
      <c r="B111" s="106" t="s">
        <v>1860</v>
      </c>
      <c r="C111" s="106" t="s">
        <v>1859</v>
      </c>
      <c r="D111" s="108" t="s">
        <v>2369</v>
      </c>
      <c r="E111" s="106" t="s">
        <v>1345</v>
      </c>
      <c r="F111" s="106" t="s">
        <v>2370</v>
      </c>
      <c r="G111" s="131" t="s">
        <v>2377</v>
      </c>
    </row>
    <row r="112" spans="1:7" x14ac:dyDescent="0.35">
      <c r="A112" s="106" t="s">
        <v>853</v>
      </c>
      <c r="B112" s="109" t="s">
        <v>852</v>
      </c>
      <c r="C112" s="106" t="s">
        <v>851</v>
      </c>
      <c r="D112" s="108" t="s">
        <v>2318</v>
      </c>
      <c r="E112" s="108" t="s">
        <v>2319</v>
      </c>
      <c r="F112" s="108" t="s">
        <v>2320</v>
      </c>
      <c r="G112" s="131" t="s">
        <v>2377</v>
      </c>
    </row>
    <row r="113" spans="1:7" x14ac:dyDescent="0.35">
      <c r="A113" s="118" t="s">
        <v>2357</v>
      </c>
      <c r="B113" s="119" t="s">
        <v>1815</v>
      </c>
      <c r="C113" s="119">
        <v>2247380</v>
      </c>
      <c r="D113" s="120" t="s">
        <v>178</v>
      </c>
      <c r="E113" s="118" t="s">
        <v>1345</v>
      </c>
      <c r="F113" s="118" t="s">
        <v>2343</v>
      </c>
      <c r="G113" s="131" t="s">
        <v>2377</v>
      </c>
    </row>
    <row r="114" spans="1:7" x14ac:dyDescent="0.35">
      <c r="A114" s="118" t="s">
        <v>2358</v>
      </c>
      <c r="B114" s="119" t="s">
        <v>1821</v>
      </c>
      <c r="C114" s="119">
        <v>2247405</v>
      </c>
      <c r="D114" s="120" t="s">
        <v>178</v>
      </c>
      <c r="E114" s="118" t="s">
        <v>1345</v>
      </c>
      <c r="F114" s="118" t="s">
        <v>2343</v>
      </c>
      <c r="G114" s="131" t="s">
        <v>2377</v>
      </c>
    </row>
    <row r="115" spans="1:7" x14ac:dyDescent="0.35">
      <c r="A115" s="118" t="s">
        <v>2359</v>
      </c>
      <c r="B115" s="119" t="s">
        <v>1851</v>
      </c>
      <c r="C115" s="119">
        <v>2250947</v>
      </c>
      <c r="D115" s="120" t="s">
        <v>178</v>
      </c>
      <c r="E115" s="118" t="s">
        <v>1345</v>
      </c>
      <c r="F115" s="118" t="s">
        <v>2343</v>
      </c>
      <c r="G115" s="131" t="s">
        <v>2377</v>
      </c>
    </row>
    <row r="116" spans="1:7" x14ac:dyDescent="0.35">
      <c r="A116" s="106" t="s">
        <v>1867</v>
      </c>
      <c r="B116" s="106" t="s">
        <v>1866</v>
      </c>
      <c r="C116" s="106" t="s">
        <v>1865</v>
      </c>
      <c r="D116" s="108" t="s">
        <v>2369</v>
      </c>
      <c r="E116" s="106" t="s">
        <v>1345</v>
      </c>
      <c r="F116" s="106" t="s">
        <v>2370</v>
      </c>
      <c r="G116" s="131" t="s">
        <v>2377</v>
      </c>
    </row>
    <row r="117" spans="1:7" x14ac:dyDescent="0.35">
      <c r="A117" s="125" t="s">
        <v>967</v>
      </c>
      <c r="B117" s="125" t="s">
        <v>966</v>
      </c>
      <c r="C117" s="126" t="s">
        <v>965</v>
      </c>
      <c r="D117" s="123" t="s">
        <v>2367</v>
      </c>
      <c r="E117" s="124" t="s">
        <v>2319</v>
      </c>
      <c r="F117" s="124" t="s">
        <v>2368</v>
      </c>
      <c r="G117" s="131" t="s">
        <v>2377</v>
      </c>
    </row>
    <row r="118" spans="1:7" x14ac:dyDescent="0.35">
      <c r="A118" s="125" t="s">
        <v>970</v>
      </c>
      <c r="B118" s="125" t="s">
        <v>969</v>
      </c>
      <c r="C118" s="126" t="s">
        <v>968</v>
      </c>
      <c r="D118" s="123" t="s">
        <v>2367</v>
      </c>
      <c r="E118" s="124" t="s">
        <v>2319</v>
      </c>
      <c r="F118" s="124" t="s">
        <v>2368</v>
      </c>
      <c r="G118" s="131" t="s">
        <v>2377</v>
      </c>
    </row>
    <row r="119" spans="1:7" x14ac:dyDescent="0.35">
      <c r="A119" s="110" t="s">
        <v>922</v>
      </c>
      <c r="B119" s="114" t="s">
        <v>921</v>
      </c>
      <c r="C119" s="110" t="s">
        <v>920</v>
      </c>
      <c r="D119" s="112" t="s">
        <v>2321</v>
      </c>
      <c r="E119" s="112" t="s">
        <v>2319</v>
      </c>
      <c r="F119" s="112" t="s">
        <v>2322</v>
      </c>
      <c r="G119" s="131" t="s">
        <v>2377</v>
      </c>
    </row>
    <row r="120" spans="1:7" x14ac:dyDescent="0.35">
      <c r="A120" s="127" t="s">
        <v>2029</v>
      </c>
      <c r="B120" s="127" t="s">
        <v>2028</v>
      </c>
      <c r="C120" s="127" t="s">
        <v>2027</v>
      </c>
      <c r="D120" s="108" t="s">
        <v>178</v>
      </c>
      <c r="E120" s="106" t="s">
        <v>1345</v>
      </c>
      <c r="F120" s="106" t="s">
        <v>2313</v>
      </c>
      <c r="G120" s="131" t="s">
        <v>2378</v>
      </c>
    </row>
    <row r="121" spans="1:7" x14ac:dyDescent="0.35">
      <c r="A121" s="106" t="s">
        <v>862</v>
      </c>
      <c r="B121" s="109" t="s">
        <v>861</v>
      </c>
      <c r="C121" s="106" t="s">
        <v>860</v>
      </c>
      <c r="D121" s="108" t="s">
        <v>2318</v>
      </c>
      <c r="E121" s="108" t="s">
        <v>2319</v>
      </c>
      <c r="F121" s="108" t="s">
        <v>2320</v>
      </c>
      <c r="G121" s="131" t="s">
        <v>2377</v>
      </c>
    </row>
    <row r="122" spans="1:7" x14ac:dyDescent="0.35">
      <c r="A122" s="116" t="s">
        <v>2333</v>
      </c>
      <c r="B122" s="116" t="s">
        <v>1773</v>
      </c>
      <c r="C122" s="116">
        <v>2243231</v>
      </c>
      <c r="D122" s="117" t="s">
        <v>2324</v>
      </c>
      <c r="E122" s="116" t="s">
        <v>1345</v>
      </c>
      <c r="F122" s="116" t="s">
        <v>2325</v>
      </c>
      <c r="G122" s="131" t="s">
        <v>2377</v>
      </c>
    </row>
    <row r="123" spans="1:7" x14ac:dyDescent="0.35">
      <c r="A123" s="128" t="s">
        <v>1488</v>
      </c>
      <c r="B123" s="128" t="s">
        <v>1487</v>
      </c>
      <c r="C123" s="128" t="s">
        <v>1486</v>
      </c>
      <c r="D123" s="117" t="s">
        <v>2373</v>
      </c>
      <c r="E123" s="116" t="s">
        <v>1345</v>
      </c>
      <c r="F123" s="116" t="s">
        <v>2374</v>
      </c>
      <c r="G123" s="131" t="s">
        <v>2377</v>
      </c>
    </row>
    <row r="124" spans="1:7" x14ac:dyDescent="0.35">
      <c r="A124" s="106" t="s">
        <v>895</v>
      </c>
      <c r="B124" s="109" t="s">
        <v>894</v>
      </c>
      <c r="C124" s="106" t="s">
        <v>893</v>
      </c>
      <c r="D124" s="108" t="s">
        <v>2318</v>
      </c>
      <c r="E124" s="108" t="s">
        <v>2319</v>
      </c>
      <c r="F124" s="108" t="s">
        <v>2320</v>
      </c>
      <c r="G124" s="131" t="s">
        <v>2377</v>
      </c>
    </row>
    <row r="125" spans="1:7" x14ac:dyDescent="0.35">
      <c r="A125" s="125" t="s">
        <v>955</v>
      </c>
      <c r="B125" s="125" t="s">
        <v>954</v>
      </c>
      <c r="C125" s="126" t="s">
        <v>953</v>
      </c>
      <c r="D125" s="123" t="s">
        <v>2367</v>
      </c>
      <c r="E125" s="124" t="s">
        <v>2319</v>
      </c>
      <c r="F125" s="124" t="s">
        <v>2368</v>
      </c>
      <c r="G125" s="131" t="s">
        <v>2377</v>
      </c>
    </row>
    <row r="126" spans="1:7" x14ac:dyDescent="0.35">
      <c r="A126" s="129" t="s">
        <v>1975</v>
      </c>
      <c r="B126" s="129" t="s">
        <v>1974</v>
      </c>
      <c r="C126" s="129" t="s">
        <v>1973</v>
      </c>
      <c r="D126" s="120" t="s">
        <v>2324</v>
      </c>
      <c r="E126" s="118" t="s">
        <v>1345</v>
      </c>
      <c r="F126" s="118" t="s">
        <v>2375</v>
      </c>
      <c r="G126" s="131" t="s">
        <v>2378</v>
      </c>
    </row>
    <row r="127" spans="1:7" x14ac:dyDescent="0.35">
      <c r="A127" s="110" t="s">
        <v>907</v>
      </c>
      <c r="B127" s="114" t="s">
        <v>906</v>
      </c>
      <c r="C127" s="110" t="s">
        <v>905</v>
      </c>
      <c r="D127" s="112" t="s">
        <v>2321</v>
      </c>
      <c r="E127" s="112" t="s">
        <v>2319</v>
      </c>
      <c r="F127" s="112" t="s">
        <v>2322</v>
      </c>
      <c r="G127" s="131" t="s">
        <v>2377</v>
      </c>
    </row>
    <row r="128" spans="1:7" x14ac:dyDescent="0.35">
      <c r="A128" s="106" t="s">
        <v>841</v>
      </c>
      <c r="B128" s="109" t="s">
        <v>840</v>
      </c>
      <c r="C128" s="106" t="s">
        <v>839</v>
      </c>
      <c r="D128" s="108" t="s">
        <v>2318</v>
      </c>
      <c r="E128" s="108" t="s">
        <v>2319</v>
      </c>
      <c r="F128" s="108" t="s">
        <v>2320</v>
      </c>
      <c r="G128" s="131" t="s">
        <v>2377</v>
      </c>
    </row>
    <row r="129" spans="1:7" x14ac:dyDescent="0.35">
      <c r="A129" s="110" t="s">
        <v>904</v>
      </c>
      <c r="B129" s="114" t="s">
        <v>903</v>
      </c>
      <c r="C129" s="110" t="s">
        <v>902</v>
      </c>
      <c r="D129" s="112" t="s">
        <v>2321</v>
      </c>
      <c r="E129" s="112" t="s">
        <v>2319</v>
      </c>
      <c r="F129" s="112" t="s">
        <v>2322</v>
      </c>
      <c r="G129" s="131" t="s">
        <v>2377</v>
      </c>
    </row>
    <row r="130" spans="1:7" x14ac:dyDescent="0.35">
      <c r="A130" s="127" t="s">
        <v>2038</v>
      </c>
      <c r="B130" s="127" t="s">
        <v>2037</v>
      </c>
      <c r="C130" s="127" t="s">
        <v>2036</v>
      </c>
      <c r="D130" s="108" t="s">
        <v>178</v>
      </c>
      <c r="E130" s="106" t="s">
        <v>1345</v>
      </c>
      <c r="F130" s="106" t="s">
        <v>2313</v>
      </c>
      <c r="G130" s="131" t="s">
        <v>2378</v>
      </c>
    </row>
    <row r="131" spans="1:7" x14ac:dyDescent="0.35">
      <c r="A131" s="129" t="s">
        <v>2002</v>
      </c>
      <c r="B131" s="129" t="s">
        <v>2001</v>
      </c>
      <c r="C131" s="129" t="s">
        <v>2000</v>
      </c>
      <c r="D131" s="120" t="s">
        <v>2324</v>
      </c>
      <c r="E131" s="118" t="s">
        <v>1345</v>
      </c>
      <c r="F131" s="118" t="s">
        <v>2375</v>
      </c>
      <c r="G131" s="131" t="s">
        <v>2378</v>
      </c>
    </row>
    <row r="132" spans="1:7" x14ac:dyDescent="0.35">
      <c r="A132" s="127" t="s">
        <v>1990</v>
      </c>
      <c r="B132" s="127" t="s">
        <v>1989</v>
      </c>
      <c r="C132" s="127" t="s">
        <v>1988</v>
      </c>
      <c r="D132" s="108" t="s">
        <v>178</v>
      </c>
      <c r="E132" s="106" t="s">
        <v>1345</v>
      </c>
      <c r="F132" s="106" t="s">
        <v>2313</v>
      </c>
      <c r="G132" s="131" t="s">
        <v>2378</v>
      </c>
    </row>
    <row r="133" spans="1:7" x14ac:dyDescent="0.35">
      <c r="A133" s="114" t="s">
        <v>1010</v>
      </c>
      <c r="B133" s="114" t="s">
        <v>1009</v>
      </c>
      <c r="C133" s="114" t="s">
        <v>1008</v>
      </c>
      <c r="D133" s="112" t="s">
        <v>2371</v>
      </c>
      <c r="E133" s="110" t="s">
        <v>2319</v>
      </c>
      <c r="F133" s="110" t="s">
        <v>2372</v>
      </c>
      <c r="G133" s="131" t="s">
        <v>2377</v>
      </c>
    </row>
    <row r="134" spans="1:7" x14ac:dyDescent="0.35">
      <c r="A134" s="110" t="s">
        <v>928</v>
      </c>
      <c r="B134" s="114" t="s">
        <v>927</v>
      </c>
      <c r="C134" s="110" t="s">
        <v>926</v>
      </c>
      <c r="D134" s="112" t="s">
        <v>2321</v>
      </c>
      <c r="E134" s="112" t="s">
        <v>2319</v>
      </c>
      <c r="F134" s="112" t="s">
        <v>2322</v>
      </c>
      <c r="G134" s="131" t="s">
        <v>2377</v>
      </c>
    </row>
    <row r="135" spans="1:7" x14ac:dyDescent="0.35">
      <c r="A135" s="127" t="s">
        <v>2050</v>
      </c>
      <c r="B135" s="127" t="s">
        <v>2049</v>
      </c>
      <c r="C135" s="127" t="s">
        <v>2048</v>
      </c>
      <c r="D135" s="108" t="s">
        <v>178</v>
      </c>
      <c r="E135" s="106" t="s">
        <v>1345</v>
      </c>
      <c r="F135" s="106" t="s">
        <v>2313</v>
      </c>
      <c r="G135" s="131" t="s">
        <v>2378</v>
      </c>
    </row>
    <row r="136" spans="1:7" x14ac:dyDescent="0.35">
      <c r="A136" s="110" t="s">
        <v>952</v>
      </c>
      <c r="B136" s="114" t="s">
        <v>951</v>
      </c>
      <c r="C136" s="110" t="s">
        <v>950</v>
      </c>
      <c r="D136" s="112" t="s">
        <v>2321</v>
      </c>
      <c r="E136" s="112" t="s">
        <v>2319</v>
      </c>
      <c r="F136" s="112" t="s">
        <v>2322</v>
      </c>
      <c r="G136" s="131" t="s">
        <v>2377</v>
      </c>
    </row>
    <row r="137" spans="1:7" x14ac:dyDescent="0.35">
      <c r="A137" s="125" t="s">
        <v>997</v>
      </c>
      <c r="B137" s="125" t="s">
        <v>996</v>
      </c>
      <c r="C137" s="126" t="s">
        <v>995</v>
      </c>
      <c r="D137" s="123" t="s">
        <v>2367</v>
      </c>
      <c r="E137" s="124" t="s">
        <v>2319</v>
      </c>
      <c r="F137" s="124" t="s">
        <v>2368</v>
      </c>
      <c r="G137" s="131" t="s">
        <v>2377</v>
      </c>
    </row>
    <row r="138" spans="1:7" x14ac:dyDescent="0.35">
      <c r="A138" s="106" t="s">
        <v>1873</v>
      </c>
      <c r="B138" s="106" t="s">
        <v>1872</v>
      </c>
      <c r="C138" s="106" t="s">
        <v>1871</v>
      </c>
      <c r="D138" s="108" t="s">
        <v>2369</v>
      </c>
      <c r="E138" s="106" t="s">
        <v>1345</v>
      </c>
      <c r="F138" s="106" t="s">
        <v>2370</v>
      </c>
      <c r="G138" s="131" t="s">
        <v>2377</v>
      </c>
    </row>
    <row r="139" spans="1:7" x14ac:dyDescent="0.35">
      <c r="A139" s="127" t="s">
        <v>2014</v>
      </c>
      <c r="B139" s="127" t="s">
        <v>2013</v>
      </c>
      <c r="C139" s="127" t="s">
        <v>2012</v>
      </c>
      <c r="D139" s="108" t="s">
        <v>178</v>
      </c>
      <c r="E139" s="106" t="s">
        <v>1345</v>
      </c>
      <c r="F139" s="106" t="s">
        <v>2313</v>
      </c>
      <c r="G139" s="131" t="s">
        <v>2378</v>
      </c>
    </row>
    <row r="140" spans="1:7" x14ac:dyDescent="0.35">
      <c r="A140" s="127" t="s">
        <v>2008</v>
      </c>
      <c r="B140" s="127" t="s">
        <v>2007</v>
      </c>
      <c r="C140" s="127" t="s">
        <v>2006</v>
      </c>
      <c r="D140" s="108" t="s">
        <v>178</v>
      </c>
      <c r="E140" s="106" t="s">
        <v>1345</v>
      </c>
      <c r="F140" s="106" t="s">
        <v>2313</v>
      </c>
      <c r="G140" s="131" t="s">
        <v>2378</v>
      </c>
    </row>
    <row r="141" spans="1:7" x14ac:dyDescent="0.35">
      <c r="A141" s="116" t="s">
        <v>2334</v>
      </c>
      <c r="B141" s="116" t="s">
        <v>1785</v>
      </c>
      <c r="C141" s="116">
        <v>2243238</v>
      </c>
      <c r="D141" s="117" t="s">
        <v>2324</v>
      </c>
      <c r="E141" s="116" t="s">
        <v>1345</v>
      </c>
      <c r="F141" s="116" t="s">
        <v>2325</v>
      </c>
      <c r="G141" s="131" t="s">
        <v>2377</v>
      </c>
    </row>
    <row r="142" spans="1:7" x14ac:dyDescent="0.35">
      <c r="A142" s="114" t="s">
        <v>1031</v>
      </c>
      <c r="B142" s="114" t="s">
        <v>1030</v>
      </c>
      <c r="C142" s="114" t="s">
        <v>1029</v>
      </c>
      <c r="D142" s="112" t="s">
        <v>2371</v>
      </c>
      <c r="E142" s="110" t="s">
        <v>2319</v>
      </c>
      <c r="F142" s="110" t="s">
        <v>2372</v>
      </c>
      <c r="G142" s="131" t="s">
        <v>2377</v>
      </c>
    </row>
    <row r="143" spans="1:7" x14ac:dyDescent="0.35">
      <c r="A143" s="116" t="s">
        <v>2335</v>
      </c>
      <c r="B143" s="116" t="s">
        <v>1755</v>
      </c>
      <c r="C143" s="116">
        <v>2243195</v>
      </c>
      <c r="D143" s="117" t="s">
        <v>2324</v>
      </c>
      <c r="E143" s="116" t="s">
        <v>1345</v>
      </c>
      <c r="F143" s="116" t="s">
        <v>2325</v>
      </c>
      <c r="G143" s="131" t="s">
        <v>2377</v>
      </c>
    </row>
    <row r="144" spans="1:7" x14ac:dyDescent="0.35">
      <c r="A144" s="114" t="s">
        <v>1040</v>
      </c>
      <c r="B144" s="114" t="s">
        <v>1039</v>
      </c>
      <c r="C144" s="114" t="s">
        <v>1038</v>
      </c>
      <c r="D144" s="112" t="s">
        <v>2371</v>
      </c>
      <c r="E144" s="110" t="s">
        <v>2319</v>
      </c>
      <c r="F144" s="110" t="s">
        <v>2372</v>
      </c>
      <c r="G144" s="131" t="s">
        <v>2377</v>
      </c>
    </row>
    <row r="145" spans="1:7" x14ac:dyDescent="0.35">
      <c r="A145" s="127" t="s">
        <v>1993</v>
      </c>
      <c r="B145" s="127" t="s">
        <v>1992</v>
      </c>
      <c r="C145" s="127" t="s">
        <v>1991</v>
      </c>
      <c r="D145" s="108" t="s">
        <v>178</v>
      </c>
      <c r="E145" s="106" t="s">
        <v>1345</v>
      </c>
      <c r="F145" s="106" t="s">
        <v>2313</v>
      </c>
      <c r="G145" s="131" t="s">
        <v>2378</v>
      </c>
    </row>
    <row r="146" spans="1:7" x14ac:dyDescent="0.35">
      <c r="A146" s="110" t="s">
        <v>949</v>
      </c>
      <c r="B146" s="114" t="s">
        <v>948</v>
      </c>
      <c r="C146" s="110" t="s">
        <v>947</v>
      </c>
      <c r="D146" s="112" t="s">
        <v>2321</v>
      </c>
      <c r="E146" s="112" t="s">
        <v>2319</v>
      </c>
      <c r="F146" s="112" t="s">
        <v>2322</v>
      </c>
      <c r="G146" s="131" t="s">
        <v>2377</v>
      </c>
    </row>
    <row r="147" spans="1:7" x14ac:dyDescent="0.35">
      <c r="A147" s="118" t="s">
        <v>2360</v>
      </c>
      <c r="B147" s="119" t="s">
        <v>1836</v>
      </c>
      <c r="C147" s="119">
        <v>2250911</v>
      </c>
      <c r="D147" s="120" t="s">
        <v>178</v>
      </c>
      <c r="E147" s="118" t="s">
        <v>1345</v>
      </c>
      <c r="F147" s="118" t="s">
        <v>2343</v>
      </c>
      <c r="G147" s="131" t="s">
        <v>2377</v>
      </c>
    </row>
    <row r="148" spans="1:7" x14ac:dyDescent="0.35">
      <c r="A148" s="127" t="s">
        <v>1987</v>
      </c>
      <c r="B148" s="127" t="s">
        <v>1986</v>
      </c>
      <c r="C148" s="127" t="s">
        <v>1985</v>
      </c>
      <c r="D148" s="108" t="s">
        <v>178</v>
      </c>
      <c r="E148" s="106" t="s">
        <v>1345</v>
      </c>
      <c r="F148" s="106" t="s">
        <v>2313</v>
      </c>
      <c r="G148" s="131" t="s">
        <v>2378</v>
      </c>
    </row>
    <row r="149" spans="1:7" x14ac:dyDescent="0.35">
      <c r="A149" s="110" t="s">
        <v>934</v>
      </c>
      <c r="B149" s="114" t="s">
        <v>933</v>
      </c>
      <c r="C149" s="110" t="s">
        <v>932</v>
      </c>
      <c r="D149" s="112" t="s">
        <v>2321</v>
      </c>
      <c r="E149" s="112" t="s">
        <v>2319</v>
      </c>
      <c r="F149" s="112" t="s">
        <v>2322</v>
      </c>
      <c r="G149" s="131" t="s">
        <v>2377</v>
      </c>
    </row>
    <row r="150" spans="1:7" x14ac:dyDescent="0.35">
      <c r="A150" s="106" t="s">
        <v>750</v>
      </c>
      <c r="B150" s="109" t="s">
        <v>749</v>
      </c>
      <c r="C150" s="106" t="s">
        <v>748</v>
      </c>
      <c r="D150" s="108" t="s">
        <v>2318</v>
      </c>
      <c r="E150" s="108" t="s">
        <v>2319</v>
      </c>
      <c r="F150" s="108" t="s">
        <v>2320</v>
      </c>
      <c r="G150" s="131" t="s">
        <v>2377</v>
      </c>
    </row>
    <row r="151" spans="1:7" x14ac:dyDescent="0.35">
      <c r="A151" s="127" t="s">
        <v>2023</v>
      </c>
      <c r="B151" s="127" t="s">
        <v>2022</v>
      </c>
      <c r="C151" s="127" t="s">
        <v>2021</v>
      </c>
      <c r="D151" s="108" t="s">
        <v>178</v>
      </c>
      <c r="E151" s="106" t="s">
        <v>1345</v>
      </c>
      <c r="F151" s="106" t="s">
        <v>2313</v>
      </c>
      <c r="G151" s="131" t="s">
        <v>2378</v>
      </c>
    </row>
    <row r="152" spans="1:7" x14ac:dyDescent="0.35">
      <c r="A152" s="118" t="s">
        <v>2361</v>
      </c>
      <c r="B152" s="119" t="s">
        <v>1818</v>
      </c>
      <c r="C152" s="119">
        <v>2247404</v>
      </c>
      <c r="D152" s="120" t="s">
        <v>178</v>
      </c>
      <c r="E152" s="118" t="s">
        <v>1345</v>
      </c>
      <c r="F152" s="118" t="s">
        <v>2343</v>
      </c>
      <c r="G152" s="131" t="s">
        <v>2377</v>
      </c>
    </row>
    <row r="153" spans="1:7" x14ac:dyDescent="0.35">
      <c r="A153" s="118" t="s">
        <v>2362</v>
      </c>
      <c r="B153" s="119" t="s">
        <v>1812</v>
      </c>
      <c r="C153" s="119">
        <v>2247372</v>
      </c>
      <c r="D153" s="120" t="s">
        <v>178</v>
      </c>
      <c r="E153" s="118" t="s">
        <v>1345</v>
      </c>
      <c r="F153" s="118" t="s">
        <v>2343</v>
      </c>
      <c r="G153" s="131" t="s">
        <v>2377</v>
      </c>
    </row>
    <row r="154" spans="1:7" x14ac:dyDescent="0.35">
      <c r="A154" s="127" t="s">
        <v>1999</v>
      </c>
      <c r="B154" s="127" t="s">
        <v>1998</v>
      </c>
      <c r="C154" s="127" t="s">
        <v>1997</v>
      </c>
      <c r="D154" s="108" t="s">
        <v>178</v>
      </c>
      <c r="E154" s="106" t="s">
        <v>1345</v>
      </c>
      <c r="F154" s="106" t="s">
        <v>2313</v>
      </c>
      <c r="G154" s="131" t="s">
        <v>2378</v>
      </c>
    </row>
    <row r="155" spans="1:7" x14ac:dyDescent="0.35">
      <c r="A155" s="110" t="s">
        <v>916</v>
      </c>
      <c r="B155" s="113" t="s">
        <v>915</v>
      </c>
      <c r="C155" s="110" t="s">
        <v>914</v>
      </c>
      <c r="D155" s="112" t="s">
        <v>2321</v>
      </c>
      <c r="E155" s="112" t="s">
        <v>2319</v>
      </c>
      <c r="F155" s="112" t="s">
        <v>2322</v>
      </c>
      <c r="G155" s="131" t="s">
        <v>2377</v>
      </c>
    </row>
    <row r="156" spans="1:7" x14ac:dyDescent="0.35">
      <c r="A156" s="125" t="s">
        <v>985</v>
      </c>
      <c r="B156" s="125" t="s">
        <v>984</v>
      </c>
      <c r="C156" s="126" t="s">
        <v>983</v>
      </c>
      <c r="D156" s="123" t="s">
        <v>2367</v>
      </c>
      <c r="E156" s="124" t="s">
        <v>2319</v>
      </c>
      <c r="F156" s="124" t="s">
        <v>2368</v>
      </c>
      <c r="G156" s="131" t="s">
        <v>2377</v>
      </c>
    </row>
    <row r="157" spans="1:7" x14ac:dyDescent="0.35">
      <c r="A157" s="116" t="s">
        <v>2336</v>
      </c>
      <c r="B157" s="116" t="s">
        <v>1761</v>
      </c>
      <c r="C157" s="116">
        <v>2243210</v>
      </c>
      <c r="D157" s="117" t="s">
        <v>2324</v>
      </c>
      <c r="E157" s="116" t="s">
        <v>1345</v>
      </c>
      <c r="F157" s="116" t="s">
        <v>2325</v>
      </c>
      <c r="G157" s="131" t="s">
        <v>2377</v>
      </c>
    </row>
    <row r="158" spans="1:7" x14ac:dyDescent="0.35">
      <c r="A158" s="118" t="s">
        <v>2363</v>
      </c>
      <c r="B158" s="119" t="s">
        <v>1827</v>
      </c>
      <c r="C158" s="119">
        <v>2247421</v>
      </c>
      <c r="D158" s="120" t="s">
        <v>178</v>
      </c>
      <c r="E158" s="118" t="s">
        <v>1345</v>
      </c>
      <c r="F158" s="118" t="s">
        <v>2343</v>
      </c>
      <c r="G158" s="131" t="s">
        <v>2377</v>
      </c>
    </row>
    <row r="159" spans="1:7" x14ac:dyDescent="0.35">
      <c r="A159" s="127" t="s">
        <v>2032</v>
      </c>
      <c r="B159" s="127" t="s">
        <v>2031</v>
      </c>
      <c r="C159" s="127" t="s">
        <v>2030</v>
      </c>
      <c r="D159" s="108" t="s">
        <v>178</v>
      </c>
      <c r="E159" s="106" t="s">
        <v>1345</v>
      </c>
      <c r="F159" s="106" t="s">
        <v>2313</v>
      </c>
      <c r="G159" s="131" t="s">
        <v>2378</v>
      </c>
    </row>
    <row r="160" spans="1:7" x14ac:dyDescent="0.35">
      <c r="A160" s="106" t="s">
        <v>898</v>
      </c>
      <c r="B160" s="109" t="s">
        <v>897</v>
      </c>
      <c r="C160" s="106" t="s">
        <v>896</v>
      </c>
      <c r="D160" s="108" t="s">
        <v>2318</v>
      </c>
      <c r="E160" s="108" t="s">
        <v>2319</v>
      </c>
      <c r="F160" s="108" t="s">
        <v>2320</v>
      </c>
      <c r="G160" s="131" t="s">
        <v>2377</v>
      </c>
    </row>
    <row r="161" spans="1:7" x14ac:dyDescent="0.35">
      <c r="A161" s="114" t="s">
        <v>1046</v>
      </c>
      <c r="B161" s="114" t="s">
        <v>1045</v>
      </c>
      <c r="C161" s="114" t="s">
        <v>1044</v>
      </c>
      <c r="D161" s="112" t="s">
        <v>2371</v>
      </c>
      <c r="E161" s="110" t="s">
        <v>2319</v>
      </c>
      <c r="F161" s="110" t="s">
        <v>2372</v>
      </c>
      <c r="G161" s="131" t="s">
        <v>2377</v>
      </c>
    </row>
    <row r="162" spans="1:7" x14ac:dyDescent="0.35">
      <c r="A162" s="106" t="s">
        <v>868</v>
      </c>
      <c r="B162" s="109" t="s">
        <v>867</v>
      </c>
      <c r="C162" s="106" t="s">
        <v>866</v>
      </c>
      <c r="D162" s="108" t="s">
        <v>2318</v>
      </c>
      <c r="E162" s="108" t="s">
        <v>2319</v>
      </c>
      <c r="F162" s="108" t="s">
        <v>2320</v>
      </c>
      <c r="G162" s="131" t="s">
        <v>2377</v>
      </c>
    </row>
    <row r="163" spans="1:7" x14ac:dyDescent="0.35">
      <c r="A163" s="127" t="s">
        <v>1954</v>
      </c>
      <c r="B163" s="127" t="s">
        <v>1953</v>
      </c>
      <c r="C163" s="127" t="s">
        <v>1952</v>
      </c>
      <c r="D163" s="108" t="s">
        <v>178</v>
      </c>
      <c r="E163" s="106" t="s">
        <v>1345</v>
      </c>
      <c r="F163" s="106" t="s">
        <v>2313</v>
      </c>
      <c r="G163" s="131" t="s">
        <v>2378</v>
      </c>
    </row>
    <row r="164" spans="1:7" x14ac:dyDescent="0.35">
      <c r="A164" s="125" t="s">
        <v>991</v>
      </c>
      <c r="B164" s="125" t="s">
        <v>990</v>
      </c>
      <c r="C164" s="126" t="s">
        <v>989</v>
      </c>
      <c r="D164" s="123" t="s">
        <v>2367</v>
      </c>
      <c r="E164" s="124" t="s">
        <v>2319</v>
      </c>
      <c r="F164" s="124" t="s">
        <v>2368</v>
      </c>
      <c r="G164" s="131" t="s">
        <v>2377</v>
      </c>
    </row>
    <row r="165" spans="1:7" x14ac:dyDescent="0.35">
      <c r="A165" s="110" t="s">
        <v>940</v>
      </c>
      <c r="B165" s="113" t="s">
        <v>939</v>
      </c>
      <c r="C165" s="110" t="s">
        <v>938</v>
      </c>
      <c r="D165" s="112" t="s">
        <v>2321</v>
      </c>
      <c r="E165" s="112" t="s">
        <v>2319</v>
      </c>
      <c r="F165" s="112" t="s">
        <v>2322</v>
      </c>
      <c r="G165" s="131" t="s">
        <v>2377</v>
      </c>
    </row>
    <row r="166" spans="1:7" x14ac:dyDescent="0.35">
      <c r="A166" s="127" t="s">
        <v>1966</v>
      </c>
      <c r="B166" s="127" t="s">
        <v>1965</v>
      </c>
      <c r="C166" s="127" t="s">
        <v>1964</v>
      </c>
      <c r="D166" s="108" t="s">
        <v>178</v>
      </c>
      <c r="E166" s="106" t="s">
        <v>1345</v>
      </c>
      <c r="F166" s="106" t="s">
        <v>2313</v>
      </c>
      <c r="G166" s="131" t="s">
        <v>2378</v>
      </c>
    </row>
    <row r="167" spans="1:7" x14ac:dyDescent="0.35">
      <c r="A167" s="114" t="s">
        <v>1043</v>
      </c>
      <c r="B167" s="114" t="s">
        <v>1042</v>
      </c>
      <c r="C167" s="114" t="s">
        <v>1041</v>
      </c>
      <c r="D167" s="112" t="s">
        <v>2371</v>
      </c>
      <c r="E167" s="110" t="s">
        <v>2319</v>
      </c>
      <c r="F167" s="110" t="s">
        <v>2372</v>
      </c>
      <c r="G167" s="131" t="s">
        <v>2377</v>
      </c>
    </row>
    <row r="168" spans="1:7" x14ac:dyDescent="0.35">
      <c r="A168" s="110" t="s">
        <v>931</v>
      </c>
      <c r="B168" s="113" t="s">
        <v>930</v>
      </c>
      <c r="C168" s="110" t="s">
        <v>929</v>
      </c>
      <c r="D168" s="112" t="s">
        <v>2321</v>
      </c>
      <c r="E168" s="112" t="s">
        <v>2319</v>
      </c>
      <c r="F168" s="112" t="s">
        <v>2322</v>
      </c>
      <c r="G168" s="131" t="s">
        <v>2377</v>
      </c>
    </row>
    <row r="169" spans="1:7" x14ac:dyDescent="0.35">
      <c r="A169" s="127" t="s">
        <v>2011</v>
      </c>
      <c r="B169" s="127" t="s">
        <v>2010</v>
      </c>
      <c r="C169" s="127" t="s">
        <v>2009</v>
      </c>
      <c r="D169" s="108" t="s">
        <v>178</v>
      </c>
      <c r="E169" s="106" t="s">
        <v>1345</v>
      </c>
      <c r="F169" s="106" t="s">
        <v>2313</v>
      </c>
      <c r="G169" s="131" t="s">
        <v>2378</v>
      </c>
    </row>
    <row r="170" spans="1:7" x14ac:dyDescent="0.35">
      <c r="A170" s="128" t="s">
        <v>1912</v>
      </c>
      <c r="B170" s="128" t="s">
        <v>1911</v>
      </c>
      <c r="C170" s="128" t="s">
        <v>1910</v>
      </c>
      <c r="D170" s="117" t="s">
        <v>2373</v>
      </c>
      <c r="E170" s="116" t="s">
        <v>1345</v>
      </c>
      <c r="F170" s="116" t="s">
        <v>2374</v>
      </c>
      <c r="G170" s="131" t="s">
        <v>2377</v>
      </c>
    </row>
    <row r="171" spans="1:7" x14ac:dyDescent="0.35">
      <c r="A171" s="110" t="s">
        <v>946</v>
      </c>
      <c r="B171" s="113" t="s">
        <v>945</v>
      </c>
      <c r="C171" s="110" t="s">
        <v>944</v>
      </c>
      <c r="D171" s="112" t="s">
        <v>2321</v>
      </c>
      <c r="E171" s="112" t="s">
        <v>2319</v>
      </c>
      <c r="F171" s="112" t="s">
        <v>2322</v>
      </c>
      <c r="G171" s="131" t="s">
        <v>2377</v>
      </c>
    </row>
    <row r="172" spans="1:7" x14ac:dyDescent="0.35">
      <c r="A172" s="125" t="s">
        <v>973</v>
      </c>
      <c r="B172" s="122" t="s">
        <v>972</v>
      </c>
      <c r="C172" s="126" t="s">
        <v>971</v>
      </c>
      <c r="D172" s="123" t="s">
        <v>2367</v>
      </c>
      <c r="E172" s="124" t="s">
        <v>2319</v>
      </c>
      <c r="F172" s="124" t="s">
        <v>2368</v>
      </c>
      <c r="G172" s="131" t="s">
        <v>2377</v>
      </c>
    </row>
    <row r="173" spans="1:7" x14ac:dyDescent="0.35">
      <c r="A173" s="125" t="s">
        <v>979</v>
      </c>
      <c r="B173" s="125" t="s">
        <v>978</v>
      </c>
      <c r="C173" s="126" t="s">
        <v>977</v>
      </c>
      <c r="D173" s="123" t="s">
        <v>2367</v>
      </c>
      <c r="E173" s="124" t="s">
        <v>2319</v>
      </c>
      <c r="F173" s="124" t="s">
        <v>2368</v>
      </c>
      <c r="G173" s="131" t="s">
        <v>2377</v>
      </c>
    </row>
    <row r="174" spans="1:7" x14ac:dyDescent="0.35">
      <c r="A174" s="116" t="s">
        <v>2337</v>
      </c>
      <c r="B174" s="116" t="s">
        <v>1776</v>
      </c>
      <c r="C174" s="116">
        <v>2243232</v>
      </c>
      <c r="D174" s="117" t="s">
        <v>2324</v>
      </c>
      <c r="E174" s="116" t="s">
        <v>1345</v>
      </c>
      <c r="F174" s="116" t="s">
        <v>2325</v>
      </c>
      <c r="G174" s="131" t="s">
        <v>2377</v>
      </c>
    </row>
    <row r="175" spans="1:7" x14ac:dyDescent="0.35">
      <c r="A175" s="127" t="s">
        <v>2047</v>
      </c>
      <c r="B175" s="127" t="s">
        <v>2046</v>
      </c>
      <c r="C175" s="127" t="s">
        <v>2045</v>
      </c>
      <c r="D175" s="108" t="s">
        <v>178</v>
      </c>
      <c r="E175" s="106" t="s">
        <v>1345</v>
      </c>
      <c r="F175" s="106" t="s">
        <v>2313</v>
      </c>
      <c r="G175" s="131" t="s">
        <v>2378</v>
      </c>
    </row>
    <row r="176" spans="1:7" x14ac:dyDescent="0.35">
      <c r="A176" s="128" t="s">
        <v>1939</v>
      </c>
      <c r="B176" s="128" t="s">
        <v>1938</v>
      </c>
      <c r="C176" s="128" t="s">
        <v>1937</v>
      </c>
      <c r="D176" s="117" t="s">
        <v>2373</v>
      </c>
      <c r="E176" s="116" t="s">
        <v>1345</v>
      </c>
      <c r="F176" s="116" t="s">
        <v>2374</v>
      </c>
      <c r="G176" s="131" t="s">
        <v>2377</v>
      </c>
    </row>
    <row r="177" spans="1:7" x14ac:dyDescent="0.35">
      <c r="A177" s="106" t="s">
        <v>1879</v>
      </c>
      <c r="B177" s="106" t="s">
        <v>1878</v>
      </c>
      <c r="C177" s="106" t="s">
        <v>1877</v>
      </c>
      <c r="D177" s="108" t="s">
        <v>2369</v>
      </c>
      <c r="E177" s="106" t="s">
        <v>1345</v>
      </c>
      <c r="F177" s="106" t="s">
        <v>2370</v>
      </c>
      <c r="G177" s="131" t="s">
        <v>2377</v>
      </c>
    </row>
    <row r="178" spans="1:7" x14ac:dyDescent="0.35">
      <c r="A178" s="125" t="s">
        <v>961</v>
      </c>
      <c r="B178" s="125" t="s">
        <v>960</v>
      </c>
      <c r="C178" s="126" t="s">
        <v>959</v>
      </c>
      <c r="D178" s="123" t="s">
        <v>2367</v>
      </c>
      <c r="E178" s="124" t="s">
        <v>2319</v>
      </c>
      <c r="F178" s="124" t="s">
        <v>2368</v>
      </c>
      <c r="G178" s="131" t="s">
        <v>2377</v>
      </c>
    </row>
    <row r="179" spans="1:7" x14ac:dyDescent="0.35">
      <c r="A179" s="114" t="s">
        <v>1028</v>
      </c>
      <c r="B179" s="114" t="s">
        <v>1027</v>
      </c>
      <c r="C179" s="114" t="s">
        <v>1026</v>
      </c>
      <c r="D179" s="112" t="s">
        <v>2371</v>
      </c>
      <c r="E179" s="110" t="s">
        <v>2319</v>
      </c>
      <c r="F179" s="110" t="s">
        <v>2372</v>
      </c>
      <c r="G179" s="131" t="s">
        <v>2377</v>
      </c>
    </row>
    <row r="180" spans="1:7" x14ac:dyDescent="0.35">
      <c r="A180" s="106" t="s">
        <v>1687</v>
      </c>
      <c r="B180" s="106" t="s">
        <v>1686</v>
      </c>
      <c r="C180" s="106" t="s">
        <v>1685</v>
      </c>
      <c r="D180" s="108" t="s">
        <v>2369</v>
      </c>
      <c r="E180" s="106" t="s">
        <v>1345</v>
      </c>
      <c r="F180" s="106" t="s">
        <v>2370</v>
      </c>
      <c r="G180" s="131" t="s">
        <v>2377</v>
      </c>
    </row>
    <row r="181" spans="1:7" x14ac:dyDescent="0.35">
      <c r="A181" s="118" t="s">
        <v>2364</v>
      </c>
      <c r="B181" s="119" t="s">
        <v>1845</v>
      </c>
      <c r="C181" s="119">
        <v>2250928</v>
      </c>
      <c r="D181" s="120" t="s">
        <v>178</v>
      </c>
      <c r="E181" s="118" t="s">
        <v>1345</v>
      </c>
      <c r="F181" s="118" t="s">
        <v>2343</v>
      </c>
      <c r="G181" s="131" t="s">
        <v>2377</v>
      </c>
    </row>
    <row r="182" spans="1:7" x14ac:dyDescent="0.35">
      <c r="A182" s="116" t="s">
        <v>2338</v>
      </c>
      <c r="B182" s="116" t="s">
        <v>1788</v>
      </c>
      <c r="C182" s="116">
        <v>2243241</v>
      </c>
      <c r="D182" s="117" t="s">
        <v>2324</v>
      </c>
      <c r="E182" s="116" t="s">
        <v>1345</v>
      </c>
      <c r="F182" s="116" t="s">
        <v>2325</v>
      </c>
      <c r="G182" s="131" t="s">
        <v>2377</v>
      </c>
    </row>
    <row r="183" spans="1:7" x14ac:dyDescent="0.35">
      <c r="A183" s="127" t="s">
        <v>2020</v>
      </c>
      <c r="B183" s="127" t="s">
        <v>2019</v>
      </c>
      <c r="C183" s="127" t="s">
        <v>2018</v>
      </c>
      <c r="D183" s="108" t="s">
        <v>178</v>
      </c>
      <c r="E183" s="106" t="s">
        <v>1345</v>
      </c>
      <c r="F183" s="106" t="s">
        <v>2313</v>
      </c>
      <c r="G183" s="131" t="s">
        <v>2378</v>
      </c>
    </row>
    <row r="184" spans="1:7" x14ac:dyDescent="0.35">
      <c r="A184" s="110" t="s">
        <v>374</v>
      </c>
      <c r="B184" s="111" t="s">
        <v>373</v>
      </c>
      <c r="C184" s="110" t="s">
        <v>372</v>
      </c>
      <c r="D184" s="112" t="s">
        <v>2321</v>
      </c>
      <c r="E184" s="112" t="s">
        <v>2319</v>
      </c>
      <c r="F184" s="112" t="s">
        <v>2322</v>
      </c>
      <c r="G184" s="131" t="s">
        <v>2377</v>
      </c>
    </row>
    <row r="185" spans="1:7" x14ac:dyDescent="0.35">
      <c r="A185" s="106" t="s">
        <v>850</v>
      </c>
      <c r="B185" s="109" t="s">
        <v>849</v>
      </c>
      <c r="C185" s="106" t="s">
        <v>848</v>
      </c>
      <c r="D185" s="108" t="s">
        <v>2318</v>
      </c>
      <c r="E185" s="108" t="s">
        <v>2319</v>
      </c>
      <c r="F185" s="108" t="s">
        <v>2320</v>
      </c>
      <c r="G185" s="131" t="s">
        <v>2377</v>
      </c>
    </row>
    <row r="186" spans="1:7" x14ac:dyDescent="0.35">
      <c r="A186" s="128" t="s">
        <v>1921</v>
      </c>
      <c r="B186" s="128" t="s">
        <v>1920</v>
      </c>
      <c r="C186" s="128" t="s">
        <v>1919</v>
      </c>
      <c r="D186" s="117" t="s">
        <v>2373</v>
      </c>
      <c r="E186" s="116" t="s">
        <v>1345</v>
      </c>
      <c r="F186" s="116" t="s">
        <v>2374</v>
      </c>
      <c r="G186" s="131" t="s">
        <v>2377</v>
      </c>
    </row>
    <row r="187" spans="1:7" x14ac:dyDescent="0.35">
      <c r="A187" s="116" t="s">
        <v>2341</v>
      </c>
      <c r="B187" s="116" t="s">
        <v>1800</v>
      </c>
      <c r="C187" s="116">
        <v>2244749</v>
      </c>
      <c r="D187" s="117" t="s">
        <v>2324</v>
      </c>
      <c r="E187" s="116" t="s">
        <v>1345</v>
      </c>
      <c r="F187" s="116" t="s">
        <v>2325</v>
      </c>
      <c r="G187" s="131" t="s">
        <v>2377</v>
      </c>
    </row>
    <row r="188" spans="1:7" x14ac:dyDescent="0.35">
      <c r="A188" s="106" t="s">
        <v>1882</v>
      </c>
      <c r="B188" s="106" t="s">
        <v>1881</v>
      </c>
      <c r="C188" s="106" t="s">
        <v>1880</v>
      </c>
      <c r="D188" s="108" t="s">
        <v>2369</v>
      </c>
      <c r="E188" s="106" t="s">
        <v>1345</v>
      </c>
      <c r="F188" s="106" t="s">
        <v>2370</v>
      </c>
      <c r="G188" s="131" t="s">
        <v>2377</v>
      </c>
    </row>
    <row r="189" spans="1:7" x14ac:dyDescent="0.35">
      <c r="A189" s="128" t="s">
        <v>1927</v>
      </c>
      <c r="B189" s="128" t="s">
        <v>1926</v>
      </c>
      <c r="C189" s="128" t="s">
        <v>1925</v>
      </c>
      <c r="D189" s="117" t="s">
        <v>2373</v>
      </c>
      <c r="E189" s="116" t="s">
        <v>1345</v>
      </c>
      <c r="F189" s="116" t="s">
        <v>2374</v>
      </c>
      <c r="G189" s="131" t="s">
        <v>2377</v>
      </c>
    </row>
  </sheetData>
  <autoFilter ref="A1:G1" xr:uid="{5B04450D-705B-4D57-9D65-E1C644B44B01}"/>
  <sortState xmlns:xlrd2="http://schemas.microsoft.com/office/spreadsheetml/2017/richdata2" ref="A2:G189">
    <sortCondition ref="A2:A189"/>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504BD0BA30FC94C90A89426DB609EEB" ma:contentTypeVersion="45" ma:contentTypeDescription="Create a new document." ma:contentTypeScope="" ma:versionID="436889a33f70864c120f117626bff858">
  <xsd:schema xmlns:xsd="http://www.w3.org/2001/XMLSchema" xmlns:xs="http://www.w3.org/2001/XMLSchema" xmlns:p="http://schemas.microsoft.com/office/2006/metadata/properties" xmlns:ns2="378c054b-891d-4bfa-ba19-f29cde35ee53" xmlns:ns3="d78de73b-c20f-4a04-b25c-5eba93d0a099" targetNamespace="http://schemas.microsoft.com/office/2006/metadata/properties" ma:root="true" ma:fieldsID="7a9b08ebe39ef7ca187b676f3ed6eece" ns2:_="" ns3:_="">
    <xsd:import namespace="378c054b-891d-4bfa-ba19-f29cde35ee53"/>
    <xsd:import namespace="d78de73b-c20f-4a04-b25c-5eba93d0a099"/>
    <xsd:element name="properties">
      <xsd:complexType>
        <xsd:sequence>
          <xsd:element name="documentManagement">
            <xsd:complexType>
              <xsd:all>
                <xsd:element ref="ns2:TaxCatchAll" minOccurs="0"/>
                <xsd:element ref="ns2:CWRMItemRecordClassificationTaxHTField0"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LengthInSeconds" minOccurs="0"/>
                <xsd:element ref="ns3:MediaServiceLocation"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8c054b-891d-4bfa-ba19-f29cde35ee53" elementFormDefault="qualified">
    <xsd:import namespace="http://schemas.microsoft.com/office/2006/documentManagement/types"/>
    <xsd:import namespace="http://schemas.microsoft.com/office/infopath/2007/PartnerControls"/>
    <xsd:element name="TaxCatchAll" ma:index="4" nillable="true" ma:displayName="Taxonomy Catch All Column" ma:hidden="true" ma:list="{e3a01235-e64f-4b3c-b25b-049246315d79}" ma:internalName="TaxCatchAll" ma:showField="CatchAllData" ma:web="378c054b-891d-4bfa-ba19-f29cde35ee53">
      <xsd:complexType>
        <xsd:complexContent>
          <xsd:extension base="dms:MultiChoiceLookup">
            <xsd:sequence>
              <xsd:element name="Value" type="dms:Lookup" maxOccurs="unbounded" minOccurs="0" nillable="true"/>
            </xsd:sequence>
          </xsd:extension>
        </xsd:complexContent>
      </xsd:complexType>
    </xsd:element>
    <xsd:element name="CWRMItemRecordClassificationTaxHTField0" ma:index="5" nillable="true" ma:displayName="Record Classification_0" ma:hidden="true" ma:internalName="CWRMItemRecordClassificationTaxHTField0" ma:readOnly="false">
      <xsd:simpleType>
        <xsd:restriction base="dms:Note"/>
      </xsd:simpleType>
    </xsd:element>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78de73b-c20f-4a04-b25c-5eba93d0a099"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7" nillable="true" ma:displayName="Tags" ma:internalName="MediaServiceAutoTag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MediaServiceLocation" ma:index="23" nillable="true" ma:displayName="Location" ma:internalName="MediaServiceLocation" ma:readOnly="true">
      <xsd:simpleType>
        <xsd:restriction base="dms:Text"/>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2a6b2b66-40d8-4e06-8a39-adc3ecd4519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78de73b-c20f-4a04-b25c-5eba93d0a099">
      <Terms xmlns="http://schemas.microsoft.com/office/infopath/2007/PartnerControls"/>
    </lcf76f155ced4ddcb4097134ff3c332f>
    <CWRMItemRecordClassificationTaxHTField0 xmlns="378c054b-891d-4bfa-ba19-f29cde35ee53" xsi:nil="true"/>
    <TaxCatchAll xmlns="378c054b-891d-4bfa-ba19-f29cde35ee53" xsi:nil="true"/>
  </documentManagement>
</p:properties>
</file>

<file path=customXml/itemProps1.xml><?xml version="1.0" encoding="utf-8"?>
<ds:datastoreItem xmlns:ds="http://schemas.openxmlformats.org/officeDocument/2006/customXml" ds:itemID="{C94F9BEC-F4B1-4B63-8ED9-0F580B19B59D}">
  <ds:schemaRefs>
    <ds:schemaRef ds:uri="http://schemas.microsoft.com/sharepoint/v3/contenttype/forms"/>
  </ds:schemaRefs>
</ds:datastoreItem>
</file>

<file path=customXml/itemProps2.xml><?xml version="1.0" encoding="utf-8"?>
<ds:datastoreItem xmlns:ds="http://schemas.openxmlformats.org/officeDocument/2006/customXml" ds:itemID="{1F38C057-767B-410B-95DF-8279967AFB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8c054b-891d-4bfa-ba19-f29cde35ee53"/>
    <ds:schemaRef ds:uri="d78de73b-c20f-4a04-b25c-5eba93d0a0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F04E7C5-8717-4B80-B703-B2BD96D223D2}">
  <ds:schemaRefs>
    <ds:schemaRef ds:uri="378c054b-891d-4bfa-ba19-f29cde35ee53"/>
    <ds:schemaRef ds:uri="http://purl.org/dc/terms/"/>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d78de73b-c20f-4a04-b25c-5eba93d0a099"/>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Audit Form</vt:lpstr>
      <vt:lpstr>Nesting </vt:lpstr>
      <vt:lpstr>RAW</vt:lpstr>
      <vt:lpstr>Report</vt:lpstr>
      <vt:lpstr>Sheet6</vt:lpstr>
      <vt:lpstr>Validation List</vt:lpstr>
      <vt:lpstr>Sheet1</vt:lpstr>
      <vt:lpstr>ML</vt:lpstr>
      <vt:lpstr>NH ML with Email</vt:lpstr>
      <vt:lpstr>NEW HIRE ROSTER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Dacanay, Paolo C</dc:creator>
  <cp:lastModifiedBy>Dacanay, Paolo C</cp:lastModifiedBy>
  <dcterms:created xsi:type="dcterms:W3CDTF">2025-01-08T14:11:40Z</dcterms:created>
  <dcterms:modified xsi:type="dcterms:W3CDTF">2026-01-20T14:56:42Z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0eab11-f9db-49ae-a11f-d1cb7a96399a_Enabled">
    <vt:lpwstr>true</vt:lpwstr>
  </property>
  <property fmtid="{D5CDD505-2E9C-101B-9397-08002B2CF9AE}" pid="3" name="MSIP_Label_c10eab11-f9db-49ae-a11f-d1cb7a96399a_SetDate">
    <vt:lpwstr>2025-01-09T15:48:14Z</vt:lpwstr>
  </property>
  <property fmtid="{D5CDD505-2E9C-101B-9397-08002B2CF9AE}" pid="4" name="MSIP_Label_c10eab11-f9db-49ae-a11f-d1cb7a96399a_Method">
    <vt:lpwstr>Standard</vt:lpwstr>
  </property>
  <property fmtid="{D5CDD505-2E9C-101B-9397-08002B2CF9AE}" pid="5" name="MSIP_Label_c10eab11-f9db-49ae-a11f-d1cb7a96399a_Name">
    <vt:lpwstr>Protected Info</vt:lpwstr>
  </property>
  <property fmtid="{D5CDD505-2E9C-101B-9397-08002B2CF9AE}" pid="6" name="MSIP_Label_c10eab11-f9db-49ae-a11f-d1cb7a96399a_SiteId">
    <vt:lpwstr>db05faca-c82a-4b9d-b9c5-0f64b6755421</vt:lpwstr>
  </property>
  <property fmtid="{D5CDD505-2E9C-101B-9397-08002B2CF9AE}" pid="7" name="MSIP_Label_c10eab11-f9db-49ae-a11f-d1cb7a96399a_ActionId">
    <vt:lpwstr>4f0c9ca6-3f16-49dd-befc-12812a5a3092</vt:lpwstr>
  </property>
  <property fmtid="{D5CDD505-2E9C-101B-9397-08002B2CF9AE}" pid="8" name="MSIP_Label_c10eab11-f9db-49ae-a11f-d1cb7a96399a_ContentBits">
    <vt:lpwstr>0</vt:lpwstr>
  </property>
  <property fmtid="{D5CDD505-2E9C-101B-9397-08002B2CF9AE}" pid="9" name="ContentTypeId">
    <vt:lpwstr>0x0101006504BD0BA30FC94C90A89426DB609EEB</vt:lpwstr>
  </property>
  <property fmtid="{D5CDD505-2E9C-101B-9397-08002B2CF9AE}" pid="10" name="MediaServiceImageTags">
    <vt:lpwstr/>
  </property>
  <property fmtid="{D5CDD505-2E9C-101B-9397-08002B2CF9AE}" pid="11" name="CWRMItemRecordClassification">
    <vt:lpwstr/>
  </property>
</Properties>
</file>